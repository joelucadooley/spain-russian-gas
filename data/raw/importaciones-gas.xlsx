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codeName="ThisWorkbook"/>
  <xr:revisionPtr revIDLastSave="0" documentId="13_ncr:1_{E3731CF6-DA1F-48E8-8067-6745FAA7922D}" xr6:coauthVersionLast="47" xr6:coauthVersionMax="47" xr10:uidLastSave="{00000000-0000-0000-0000-000000000000}"/>
  <bookViews>
    <workbookView xWindow="-120" yWindow="-120" windowWidth="29040" windowHeight="15720" tabRatio="773" xr2:uid="{00000000-000D-0000-FFFF-FFFF00000000}"/>
  </bookViews>
  <sheets>
    <sheet name="Inicio" sheetId="11" r:id="rId1"/>
    <sheet name="África" sheetId="3" r:id="rId2"/>
    <sheet name="América" sheetId="2" r:id="rId3"/>
    <sheet name="Europa y Euroasia" sheetId="4" r:id="rId4"/>
    <sheet name="Oriente Medio" sheetId="12" r:id="rId5"/>
    <sheet name="Asia-Pacífico" sheetId="18" r:id="rId6"/>
    <sheet name="Todos" sheetId="10" r:id="rId7"/>
  </sheets>
  <definedNames>
    <definedName name="_xlnm._FilterDatabase" localSheetId="1" hidden="1">África!$A$6:$B$564</definedName>
    <definedName name="_xlnm._FilterDatabase" localSheetId="2" hidden="1">América!$A$6:$B$533</definedName>
    <definedName name="_xlnm._FilterDatabase" localSheetId="5" hidden="1">'Asia-Pacífico'!$A$6:$B$586</definedName>
    <definedName name="_xlnm._FilterDatabase" localSheetId="3" hidden="1">'Europa y Euroasia'!$A$6:$B$514</definedName>
    <definedName name="_xlnm._FilterDatabase" localSheetId="4" hidden="1">'Oriente Medio'!$A$6:$B$557</definedName>
    <definedName name="_xlnm._FilterDatabase" localSheetId="6" hidden="1">Todos!$A$6:$B$132</definedName>
    <definedName name="_xlnm.Print_Area" localSheetId="1">África!$A$2:$N$131</definedName>
    <definedName name="_xlnm.Print_Area" localSheetId="2">América!$A$2:$P$132</definedName>
    <definedName name="_xlnm.Print_Area" localSheetId="5">'Asia-Pacífico'!$A$2:$J$132</definedName>
    <definedName name="_xlnm.Print_Area" localSheetId="3">'Europa y Euroasia'!$A$2:$L$132</definedName>
    <definedName name="_xlnm.Print_Area" localSheetId="0">Inicio!$A$2:$G$16</definedName>
    <definedName name="_xlnm.Print_Area" localSheetId="4">'Oriente Medio'!$A$2:$G$132</definedName>
    <definedName name="_xlnm.Print_Area" localSheetId="6">Todos!$A$2:$BS$218</definedName>
    <definedName name="OLE_LINK1" localSheetId="3">'Europa y Euroasia'!#REF!</definedName>
    <definedName name="_xlnm.Print_Titles" localSheetId="1">África!$2:$6</definedName>
    <definedName name="_xlnm.Print_Titles" localSheetId="2">América!$2:$6</definedName>
    <definedName name="_xlnm.Print_Titles" localSheetId="5">'Asia-Pacífico'!$2:$6</definedName>
    <definedName name="_xlnm.Print_Titles" localSheetId="3">'Europa y Euroasia'!$2:$6</definedName>
    <definedName name="_xlnm.Print_Titles" localSheetId="4">'Oriente Medio'!$2:$6</definedName>
    <definedName name="_xlnm.Print_Titles" localSheetId="6">Todos!$A:$B,Todos!$2:$6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18" l="1"/>
  <c r="C3" i="12"/>
  <c r="D3" i="2"/>
  <c r="C3" i="4"/>
  <c r="C3" i="3"/>
  <c r="C3" i="10" s="1"/>
  <c r="W133" i="3" l="1"/>
  <c r="AD135" i="4"/>
  <c r="Z135" i="4"/>
  <c r="AA135" i="4"/>
  <c r="A4" i="12" l="1"/>
  <c r="R59" i="3" l="1"/>
  <c r="R60" i="3"/>
  <c r="R61" i="3"/>
  <c r="R62" i="3"/>
  <c r="R63" i="3"/>
  <c r="R64" i="3"/>
  <c r="R65" i="3"/>
  <c r="R66" i="3"/>
  <c r="R67" i="3"/>
  <c r="R68" i="3"/>
  <c r="R69" i="3"/>
  <c r="R70" i="3"/>
  <c r="R72" i="3"/>
  <c r="R73" i="3"/>
  <c r="R74" i="3"/>
  <c r="R75" i="3"/>
  <c r="R76" i="3"/>
  <c r="R77" i="3"/>
  <c r="R78" i="3"/>
  <c r="R79" i="3"/>
  <c r="R80" i="3"/>
  <c r="R81" i="3"/>
  <c r="R82" i="3"/>
  <c r="R83" i="3"/>
  <c r="R85" i="3"/>
  <c r="R86" i="3"/>
  <c r="R87" i="3"/>
  <c r="R88" i="3"/>
  <c r="R89" i="3"/>
  <c r="R90" i="3"/>
  <c r="R91" i="3"/>
  <c r="R92" i="3"/>
  <c r="R93" i="3"/>
  <c r="R94" i="3"/>
  <c r="R95" i="3"/>
  <c r="R96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O136" i="3"/>
  <c r="R136" i="3" s="1"/>
  <c r="O123" i="3"/>
  <c r="R123" i="3" s="1"/>
  <c r="O110" i="3"/>
  <c r="R110" i="3" s="1"/>
  <c r="O97" i="3"/>
  <c r="R97" i="3" s="1"/>
  <c r="O84" i="3"/>
  <c r="R84" i="3" s="1"/>
  <c r="O71" i="3"/>
  <c r="R71" i="3" s="1"/>
  <c r="AA8" i="4"/>
  <c r="AA9" i="4"/>
  <c r="AA10" i="4"/>
  <c r="AA11" i="4"/>
  <c r="AA12" i="4"/>
  <c r="AA13" i="4"/>
  <c r="AA14" i="4"/>
  <c r="AA15" i="4"/>
  <c r="AA16" i="4"/>
  <c r="AA17" i="4"/>
  <c r="AA18" i="4"/>
  <c r="AA7" i="4"/>
  <c r="Z8" i="4"/>
  <c r="Z9" i="4"/>
  <c r="Z10" i="4"/>
  <c r="Z11" i="4"/>
  <c r="Z12" i="4"/>
  <c r="Z13" i="4"/>
  <c r="Z14" i="4"/>
  <c r="Z15" i="4"/>
  <c r="Z16" i="4"/>
  <c r="Z17" i="4"/>
  <c r="Z18" i="4"/>
  <c r="Z20" i="4"/>
  <c r="AA20" i="4"/>
  <c r="Z21" i="4"/>
  <c r="AA21" i="4"/>
  <c r="Z22" i="4"/>
  <c r="AA22" i="4"/>
  <c r="Z23" i="4"/>
  <c r="AA23" i="4"/>
  <c r="Z24" i="4"/>
  <c r="AA24" i="4"/>
  <c r="Z25" i="4"/>
  <c r="AA25" i="4"/>
  <c r="Z26" i="4"/>
  <c r="AA26" i="4"/>
  <c r="Z27" i="4"/>
  <c r="AA27" i="4"/>
  <c r="Z28" i="4"/>
  <c r="AA28" i="4"/>
  <c r="Z29" i="4"/>
  <c r="AA29" i="4"/>
  <c r="Z30" i="4"/>
  <c r="AA30" i="4"/>
  <c r="Z31" i="4"/>
  <c r="AA31" i="4"/>
  <c r="Z33" i="4"/>
  <c r="AA33" i="4"/>
  <c r="Z34" i="4"/>
  <c r="AA34" i="4"/>
  <c r="Z35" i="4"/>
  <c r="AA35" i="4"/>
  <c r="Z36" i="4"/>
  <c r="AA36" i="4"/>
  <c r="Z37" i="4"/>
  <c r="AA37" i="4"/>
  <c r="Z38" i="4"/>
  <c r="AA38" i="4"/>
  <c r="Z39" i="4"/>
  <c r="AA39" i="4"/>
  <c r="Z40" i="4"/>
  <c r="AA40" i="4"/>
  <c r="Z41" i="4"/>
  <c r="AA41" i="4"/>
  <c r="Z42" i="4"/>
  <c r="AA42" i="4"/>
  <c r="Z43" i="4"/>
  <c r="AA43" i="4"/>
  <c r="Z44" i="4"/>
  <c r="AA44" i="4"/>
  <c r="Z46" i="4"/>
  <c r="AA46" i="4"/>
  <c r="Z47" i="4"/>
  <c r="AA47" i="4"/>
  <c r="Z48" i="4"/>
  <c r="AA48" i="4"/>
  <c r="Z49" i="4"/>
  <c r="AA49" i="4"/>
  <c r="Z50" i="4"/>
  <c r="AA50" i="4"/>
  <c r="Z51" i="4"/>
  <c r="AA51" i="4"/>
  <c r="Z52" i="4"/>
  <c r="AA52" i="4"/>
  <c r="Z53" i="4"/>
  <c r="AA53" i="4"/>
  <c r="Z54" i="4"/>
  <c r="AA54" i="4"/>
  <c r="Z55" i="4"/>
  <c r="AA55" i="4"/>
  <c r="Z56" i="4"/>
  <c r="AA56" i="4"/>
  <c r="Z57" i="4"/>
  <c r="AA57" i="4"/>
  <c r="Z59" i="4"/>
  <c r="AA59" i="4"/>
  <c r="Z60" i="4"/>
  <c r="AA60" i="4"/>
  <c r="Z61" i="4"/>
  <c r="AA61" i="4"/>
  <c r="Z62" i="4"/>
  <c r="AA62" i="4"/>
  <c r="Z63" i="4"/>
  <c r="AA63" i="4"/>
  <c r="Z64" i="4"/>
  <c r="AA64" i="4"/>
  <c r="Z65" i="4"/>
  <c r="AA65" i="4"/>
  <c r="Z66" i="4"/>
  <c r="AA66" i="4"/>
  <c r="Z67" i="4"/>
  <c r="AA67" i="4"/>
  <c r="Z68" i="4"/>
  <c r="AA68" i="4"/>
  <c r="Z69" i="4"/>
  <c r="AA69" i="4"/>
  <c r="Z70" i="4"/>
  <c r="AA70" i="4"/>
  <c r="Z72" i="4"/>
  <c r="AA72" i="4"/>
  <c r="Z73" i="4"/>
  <c r="AA73" i="4"/>
  <c r="Z74" i="4"/>
  <c r="AA74" i="4"/>
  <c r="Z75" i="4"/>
  <c r="AA75" i="4"/>
  <c r="Z76" i="4"/>
  <c r="AA76" i="4"/>
  <c r="Z77" i="4"/>
  <c r="AA77" i="4"/>
  <c r="Z78" i="4"/>
  <c r="AA78" i="4"/>
  <c r="Z79" i="4"/>
  <c r="AA79" i="4"/>
  <c r="Z80" i="4"/>
  <c r="AA80" i="4"/>
  <c r="Z81" i="4"/>
  <c r="AA81" i="4"/>
  <c r="Z82" i="4"/>
  <c r="AA82" i="4"/>
  <c r="Z83" i="4"/>
  <c r="AA83" i="4"/>
  <c r="Z85" i="4"/>
  <c r="AA85" i="4"/>
  <c r="Z86" i="4"/>
  <c r="AA86" i="4"/>
  <c r="Z87" i="4"/>
  <c r="AA87" i="4"/>
  <c r="Z88" i="4"/>
  <c r="AA88" i="4"/>
  <c r="Z89" i="4"/>
  <c r="AA89" i="4"/>
  <c r="Z90" i="4"/>
  <c r="AA90" i="4"/>
  <c r="Z91" i="4"/>
  <c r="AA91" i="4"/>
  <c r="Z92" i="4"/>
  <c r="AA92" i="4"/>
  <c r="Z93" i="4"/>
  <c r="AA93" i="4"/>
  <c r="Z94" i="4"/>
  <c r="AA94" i="4"/>
  <c r="Z95" i="4"/>
  <c r="AA95" i="4"/>
  <c r="Z96" i="4"/>
  <c r="AA96" i="4"/>
  <c r="Z98" i="4"/>
  <c r="AA98" i="4"/>
  <c r="Z99" i="4"/>
  <c r="AA99" i="4"/>
  <c r="Z100" i="4"/>
  <c r="AA100" i="4"/>
  <c r="Z101" i="4"/>
  <c r="AA101" i="4"/>
  <c r="Z102" i="4"/>
  <c r="AA102" i="4"/>
  <c r="Z103" i="4"/>
  <c r="AA103" i="4"/>
  <c r="Z104" i="4"/>
  <c r="AA104" i="4"/>
  <c r="Z105" i="4"/>
  <c r="AA105" i="4"/>
  <c r="Z106" i="4"/>
  <c r="AA106" i="4"/>
  <c r="Z107" i="4"/>
  <c r="AA107" i="4"/>
  <c r="Z108" i="4"/>
  <c r="AA108" i="4"/>
  <c r="Z109" i="4"/>
  <c r="AA109" i="4"/>
  <c r="Z111" i="4"/>
  <c r="AA111" i="4"/>
  <c r="Z112" i="4"/>
  <c r="AA112" i="4"/>
  <c r="Z113" i="4"/>
  <c r="AA113" i="4"/>
  <c r="Z114" i="4"/>
  <c r="AA114" i="4"/>
  <c r="Z115" i="4"/>
  <c r="AA115" i="4"/>
  <c r="Z116" i="4"/>
  <c r="AA116" i="4"/>
  <c r="Z117" i="4"/>
  <c r="AA117" i="4"/>
  <c r="Z118" i="4"/>
  <c r="AA118" i="4"/>
  <c r="Z119" i="4"/>
  <c r="AA119" i="4"/>
  <c r="Z120" i="4"/>
  <c r="AA120" i="4"/>
  <c r="Z121" i="4"/>
  <c r="AA121" i="4"/>
  <c r="Z122" i="4"/>
  <c r="AA122" i="4"/>
  <c r="Z124" i="4"/>
  <c r="AA124" i="4"/>
  <c r="Z125" i="4"/>
  <c r="AA125" i="4"/>
  <c r="Z126" i="4"/>
  <c r="AA126" i="4"/>
  <c r="Z127" i="4"/>
  <c r="AA127" i="4"/>
  <c r="Z128" i="4"/>
  <c r="AA128" i="4"/>
  <c r="Z129" i="4"/>
  <c r="AA129" i="4"/>
  <c r="Z130" i="4"/>
  <c r="AA130" i="4"/>
  <c r="Z131" i="4"/>
  <c r="AA131" i="4"/>
  <c r="Z132" i="4"/>
  <c r="AA132" i="4"/>
  <c r="Z133" i="4"/>
  <c r="AA133" i="4"/>
  <c r="Z134" i="4"/>
  <c r="AA134" i="4"/>
  <c r="Z7" i="4"/>
  <c r="R136" i="4"/>
  <c r="Q136" i="4"/>
  <c r="R123" i="4"/>
  <c r="Q123" i="4"/>
  <c r="R110" i="4"/>
  <c r="Q110" i="4"/>
  <c r="L136" i="4"/>
  <c r="K136" i="4"/>
  <c r="L123" i="4"/>
  <c r="K123" i="4"/>
  <c r="L110" i="4"/>
  <c r="K110" i="4"/>
  <c r="L97" i="4"/>
  <c r="K97" i="4"/>
  <c r="L84" i="4"/>
  <c r="K84" i="4"/>
  <c r="L71" i="4"/>
  <c r="K71" i="4"/>
  <c r="L58" i="4"/>
  <c r="K58" i="4"/>
  <c r="L45" i="4"/>
  <c r="K45" i="4"/>
  <c r="L32" i="4"/>
  <c r="K32" i="4"/>
  <c r="L19" i="4"/>
  <c r="K19" i="4"/>
  <c r="H136" i="4"/>
  <c r="G136" i="4"/>
  <c r="H123" i="4"/>
  <c r="H110" i="4"/>
  <c r="H97" i="4"/>
  <c r="H84" i="4"/>
  <c r="AA45" i="4" l="1"/>
  <c r="AA110" i="4"/>
  <c r="Z71" i="4"/>
  <c r="Z123" i="4"/>
  <c r="AA58" i="4"/>
  <c r="Z110" i="4"/>
  <c r="Z58" i="4"/>
  <c r="AA97" i="4"/>
  <c r="Z97" i="4"/>
  <c r="Z45" i="4"/>
  <c r="AA19" i="4"/>
  <c r="Z136" i="4"/>
  <c r="Z84" i="4"/>
  <c r="Z32" i="4"/>
  <c r="AA136" i="4"/>
  <c r="AA84" i="4"/>
  <c r="AA32" i="4"/>
  <c r="AA123" i="4"/>
  <c r="AA71" i="4"/>
  <c r="Z19" i="4"/>
  <c r="A4" i="18" l="1"/>
  <c r="A4" i="10" l="1"/>
  <c r="A4" i="4"/>
  <c r="A4" i="2"/>
  <c r="A4" i="3"/>
</calcChain>
</file>

<file path=xl/sharedStrings.xml><?xml version="1.0" encoding="utf-8"?>
<sst xmlns="http://schemas.openxmlformats.org/spreadsheetml/2006/main" count="3298" uniqueCount="99">
  <si>
    <t>Total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</si>
  <si>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</si>
  <si>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</si>
  <si>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</si>
  <si>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</si>
  <si>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</si>
  <si>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</si>
  <si>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</si>
  <si>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</si>
  <si>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</si>
  <si>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</si>
  <si>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</si>
  <si>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</si>
  <si>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</si>
  <si>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</si>
  <si>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</si>
  <si>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Argelia</t>
  </si>
  <si>
    <t>Nigeria</t>
  </si>
  <si>
    <t>Total África</t>
  </si>
  <si>
    <t>América</t>
  </si>
  <si>
    <t>Europa</t>
  </si>
  <si>
    <t>África</t>
  </si>
  <si>
    <t>Oriente Medio</t>
  </si>
  <si>
    <t>Noruega</t>
  </si>
  <si>
    <t>Importaciones de gas natural por áreas geográficas y países</t>
  </si>
  <si>
    <t>Argelia GNL</t>
  </si>
  <si>
    <t>Argelia GN</t>
  </si>
  <si>
    <t>Francia</t>
  </si>
  <si>
    <t>Portugal</t>
  </si>
  <si>
    <t>Asia-Pacífico</t>
  </si>
  <si>
    <t>Unidad: gigavatio hora</t>
  </si>
  <si>
    <t>2004-marzo 2009</t>
  </si>
  <si>
    <t>abril 2009-actualidad</t>
  </si>
  <si>
    <t>Libia GNL</t>
  </si>
  <si>
    <t>Guinea Ecuatorial GNL</t>
  </si>
  <si>
    <t>Egipto GNL</t>
  </si>
  <si>
    <t>Nigeria GNL</t>
  </si>
  <si>
    <t>Perú GNL</t>
  </si>
  <si>
    <t>Trinidad y Tobago GNL</t>
  </si>
  <si>
    <t>EAU GNL</t>
  </si>
  <si>
    <t>Omán GNL</t>
  </si>
  <si>
    <t>Qatar GNL</t>
  </si>
  <si>
    <t>Yemen GNL</t>
  </si>
  <si>
    <t>Australia  GNL</t>
  </si>
  <si>
    <t>Brunei GNL</t>
  </si>
  <si>
    <t>Malasia GNL</t>
  </si>
  <si>
    <t>Reino Unido GN</t>
  </si>
  <si>
    <t>Rusia GN</t>
  </si>
  <si>
    <t>Francia GNL</t>
  </si>
  <si>
    <t>Francia GN</t>
  </si>
  <si>
    <t>Noruega GNL</t>
  </si>
  <si>
    <t>Noruega GN</t>
  </si>
  <si>
    <t>Portugal GNL</t>
  </si>
  <si>
    <t>Portugal GN</t>
  </si>
  <si>
    <t>Bélgica GNL</t>
  </si>
  <si>
    <t>Total OM GNL</t>
  </si>
  <si>
    <t>Total Asia-Pacífico GNL</t>
  </si>
  <si>
    <t>Total América GNL</t>
  </si>
  <si>
    <t>Nigeria GN</t>
  </si>
  <si>
    <t>Total África GNL</t>
  </si>
  <si>
    <t>Total África GN</t>
  </si>
  <si>
    <t>Total GNL</t>
  </si>
  <si>
    <t>Total GN</t>
  </si>
  <si>
    <t>Por adaptación a la legislación europea, desde enero de 2015, desaparece el concepto de contrato de tránsito de gas, tratándose en adelante como una importación y una exportación más. En consecuencia los datos de 2014 y 2015 no siempre son comparables.</t>
  </si>
  <si>
    <t/>
  </si>
  <si>
    <t>Total Europa y Euroasia</t>
  </si>
  <si>
    <t>Europa y Euroasia GNL</t>
  </si>
  <si>
    <t>Europa y Euroasia GN</t>
  </si>
  <si>
    <t>Europa y Euroasia</t>
  </si>
  <si>
    <t>Estados Unidos GNL</t>
  </si>
  <si>
    <t>Angola GNL</t>
  </si>
  <si>
    <t>Países Bajos</t>
  </si>
  <si>
    <t>Países Bajos GNL</t>
  </si>
  <si>
    <t>Países Bajos GN</t>
  </si>
  <si>
    <t>Rusia</t>
  </si>
  <si>
    <t>Rusia GNL</t>
  </si>
  <si>
    <t>Bélgica</t>
  </si>
  <si>
    <t>Bélgica GN</t>
  </si>
  <si>
    <t>Camerún GNL</t>
  </si>
  <si>
    <t>Fuente/Notas</t>
  </si>
  <si>
    <t>Anejos de la Resolución del 15 de Julio de 2002</t>
  </si>
  <si>
    <t>Anejos de la Resolución del 15 de diciembre 2008</t>
  </si>
  <si>
    <t>enero 2015-actualidad</t>
  </si>
  <si>
    <t>Argentina GNL</t>
  </si>
  <si>
    <t>Papúa Nueva Guinea GNL</t>
  </si>
  <si>
    <t>A partir de agosto 2021 aparecen nuevos países que anteriormente se encontraban en otras agrupaciones</t>
  </si>
  <si>
    <t>^ mayor que 0</t>
  </si>
  <si>
    <t>Para más información: cores.institucional@cores.es. Tlf.: +34 91 360 09 10, o visite: www.cores.es</t>
  </si>
  <si>
    <t>Gibraltar GNL</t>
  </si>
  <si>
    <t>Corea del Sur GNL</t>
  </si>
  <si>
    <t>Indonesia GNL</t>
  </si>
  <si>
    <t>Mozambique GNL</t>
  </si>
  <si>
    <t>Reino Unido</t>
  </si>
  <si>
    <t>Reino Unido GNL</t>
  </si>
  <si>
    <t>Congo GNL</t>
  </si>
  <si>
    <t>Jamaica GNL</t>
  </si>
  <si>
    <t>Mauritania GNL</t>
  </si>
  <si>
    <t>México GNL</t>
  </si>
  <si>
    <t>Actualizado el 14-09-2026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</si>
</sst>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mmm"/>
    <numFmt numFmtId="165" formatCode="#,##0;;&quot; &quot;"/>
    <numFmt numFmtId="166" formatCode="#,##0.0000"/>
    <numFmt numFmtId="167" formatCode="#,##0.000000"/>
    <numFmt numFmtId="168" formatCode="#,##0.00;;&quot; &quot;"/>
    <numFmt numFmtId="169" formatCode="#,##0.0000;;&quot; &quot;"/>
    <numFmt numFmtId="170" formatCode="#,###;;&quot; &quot;"/>
    <numFmt numFmtId="171" formatCode="####;;&quot; &quot;"/>
    <numFmt numFmtId="172" formatCode="#,##0.000;;&quot; &quot;"/>
  </numFmts>
  <fonts count="39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0"/>
      <color theme="1"/>
      <name val="Arial"/>
      <family val="2"/>
    </font>
    <font>
      <b/>
      <sz val="10"/>
      <color theme="2" tint="-0.749992370372631"/>
      <name val="Arial"/>
      <family val="2"/>
    </font>
    <font>
      <sz val="18"/>
      <color theme="2" tint="-0.499984740745262"/>
      <name val="Arial"/>
      <family val="2"/>
    </font>
    <font>
      <b/>
      <sz val="10"/>
      <color theme="1"/>
      <name val="Calibri"/>
      <family val="2"/>
      <scheme val="minor"/>
    </font>
    <font>
      <sz val="8"/>
      <color theme="2" tint="-0.499984740745262"/>
      <name val="Arial"/>
      <family val="2"/>
    </font>
    <font>
      <i/>
      <sz val="10"/>
      <color theme="2" tint="-0.499984740745262"/>
      <name val="Arial"/>
      <family val="2"/>
    </font>
    <font>
      <b/>
      <sz val="11"/>
      <color theme="1"/>
      <name val="Arial"/>
      <family val="2"/>
    </font>
    <font>
      <i/>
      <sz val="9"/>
      <color theme="2" tint="-0.499984740745262"/>
      <name val="Arial"/>
      <family val="2"/>
    </font>
    <font>
      <sz val="8"/>
      <color theme="1" tint="0.34998626667073579"/>
      <name val="Arial"/>
      <family val="2"/>
    </font>
    <font>
      <b/>
      <sz val="14"/>
      <color rgb="FFFF0000"/>
      <name val="Calibri"/>
      <family val="2"/>
      <scheme val="minor"/>
    </font>
    <font>
      <sz val="9"/>
      <color theme="1"/>
      <name val="Arial"/>
      <family val="2"/>
    </font>
    <font>
      <sz val="12"/>
      <color theme="2" tint="-0.499984740745262"/>
      <name val="Arial"/>
      <family val="2"/>
    </font>
    <font>
      <b/>
      <sz val="10"/>
      <color theme="1" tint="0.34998626667073579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sz val="20"/>
      <color theme="2" tint="-0.499984740745262"/>
      <name val="Arial"/>
      <family val="2"/>
    </font>
    <font>
      <b/>
      <sz val="11"/>
      <color theme="0"/>
      <name val="Arial"/>
      <family val="2"/>
    </font>
    <font>
      <b/>
      <i/>
      <sz val="9"/>
      <color theme="2" tint="-0.499984740745262"/>
      <name val="Arial"/>
      <family val="2"/>
    </font>
    <font>
      <i/>
      <sz val="11"/>
      <color theme="0"/>
      <name val="Arial"/>
      <family val="2"/>
    </font>
    <font>
      <sz val="9"/>
      <color theme="1"/>
      <name val="Calibri"/>
      <family val="2"/>
      <scheme val="minor"/>
    </font>
    <font>
      <sz val="20"/>
      <color theme="1"/>
      <name val="Arial"/>
      <family val="2"/>
    </font>
    <font>
      <sz val="9"/>
      <name val="Calibri"/>
      <family val="2"/>
      <scheme val="minor"/>
    </font>
    <font>
      <i/>
      <sz val="9"/>
      <color theme="2" tint="-0.499984740745262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 style="thin">
        <color indexed="64"/>
      </top>
      <bottom style="thick">
        <color theme="5"/>
      </bottom>
      <diagonal/>
    </border>
    <border>
      <left/>
      <right/>
      <top style="thin">
        <color indexed="64"/>
      </top>
      <bottom style="thick">
        <color theme="6"/>
      </bottom>
      <diagonal/>
    </border>
    <border>
      <left/>
      <right/>
      <top style="thin">
        <color indexed="64"/>
      </top>
      <bottom style="thick">
        <color theme="7"/>
      </bottom>
      <diagonal/>
    </border>
    <border>
      <left/>
      <right/>
      <top style="thin">
        <color indexed="64"/>
      </top>
      <bottom style="thick">
        <color theme="9" tint="0.3999450666829432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3" fillId="0" borderId="0"/>
    <xf numFmtId="0" fontId="8" fillId="0" borderId="0"/>
    <xf numFmtId="0" fontId="2" fillId="0" borderId="0"/>
    <xf numFmtId="0" fontId="1" fillId="0" borderId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9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5" fillId="0" borderId="1" xfId="6" applyFont="1" applyBorder="1" applyAlignment="1">
      <alignment horizontal="center" vertical="center" wrapText="1"/>
    </xf>
    <xf numFmtId="0" fontId="6" fillId="0" borderId="2" xfId="6" applyFont="1" applyBorder="1" applyAlignment="1">
      <alignment horizontal="center" vertical="center" wrapText="1"/>
    </xf>
    <xf numFmtId="0" fontId="16" fillId="0" borderId="0" xfId="0" applyFont="1"/>
    <xf numFmtId="17" fontId="6" fillId="0" borderId="2" xfId="6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right"/>
    </xf>
    <xf numFmtId="0" fontId="2" fillId="0" borderId="2" xfId="6" applyFont="1" applyBorder="1" applyAlignment="1">
      <alignment horizontal="center" vertical="center" wrapText="1"/>
    </xf>
    <xf numFmtId="3" fontId="2" fillId="0" borderId="2" xfId="6" applyNumberFormat="1" applyFont="1" applyBorder="1" applyAlignment="1">
      <alignment horizontal="center" vertical="center" wrapText="1"/>
    </xf>
    <xf numFmtId="3" fontId="18" fillId="0" borderId="2" xfId="6" applyNumberFormat="1" applyFont="1" applyBorder="1" applyAlignment="1">
      <alignment horizontal="center" vertical="center" wrapText="1"/>
    </xf>
    <xf numFmtId="17" fontId="2" fillId="0" borderId="2" xfId="6" applyNumberFormat="1" applyFont="1" applyBorder="1" applyAlignment="1">
      <alignment horizontal="center" vertical="center"/>
    </xf>
    <xf numFmtId="17" fontId="5" fillId="0" borderId="1" xfId="6" applyNumberFormat="1" applyFont="1" applyBorder="1" applyAlignment="1">
      <alignment vertical="center"/>
    </xf>
    <xf numFmtId="0" fontId="13" fillId="0" borderId="1" xfId="0" applyFont="1" applyBorder="1"/>
    <xf numFmtId="0" fontId="19" fillId="0" borderId="2" xfId="0" applyFont="1" applyBorder="1" applyAlignment="1">
      <alignment horizontal="left" vertical="center"/>
    </xf>
    <xf numFmtId="17" fontId="5" fillId="0" borderId="2" xfId="6" applyNumberFormat="1" applyFont="1" applyBorder="1" applyAlignment="1">
      <alignment horizontal="left" vertical="center"/>
    </xf>
    <xf numFmtId="0" fontId="4" fillId="0" borderId="2" xfId="0" applyFont="1" applyBorder="1"/>
    <xf numFmtId="0" fontId="5" fillId="0" borderId="2" xfId="0" applyFont="1" applyBorder="1"/>
    <xf numFmtId="0" fontId="21" fillId="0" borderId="2" xfId="0" applyFont="1" applyBorder="1" applyAlignment="1">
      <alignment horizontal="right"/>
    </xf>
    <xf numFmtId="0" fontId="22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0" fillId="0" borderId="2" xfId="0" applyBorder="1"/>
    <xf numFmtId="0" fontId="23" fillId="0" borderId="0" xfId="0" applyFont="1"/>
    <xf numFmtId="0" fontId="23" fillId="0" borderId="3" xfId="0" applyFont="1" applyBorder="1" applyAlignment="1">
      <alignment horizontal="left" vertical="top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 wrapText="1"/>
    </xf>
    <xf numFmtId="0" fontId="12" fillId="0" borderId="0" xfId="0" applyFont="1"/>
    <xf numFmtId="0" fontId="25" fillId="0" borderId="0" xfId="0" applyFont="1"/>
    <xf numFmtId="0" fontId="26" fillId="0" borderId="0" xfId="0" applyFont="1"/>
    <xf numFmtId="0" fontId="15" fillId="0" borderId="0" xfId="0" applyFont="1"/>
    <xf numFmtId="0" fontId="9" fillId="0" borderId="2" xfId="0" applyFont="1" applyBorder="1"/>
    <xf numFmtId="0" fontId="27" fillId="0" borderId="0" xfId="0" applyFont="1" applyAlignment="1">
      <alignment vertical="center"/>
    </xf>
    <xf numFmtId="3" fontId="19" fillId="0" borderId="0" xfId="6" applyNumberFormat="1" applyFont="1" applyAlignment="1">
      <alignment vertical="center" wrapText="1"/>
    </xf>
    <xf numFmtId="3" fontId="6" fillId="0" borderId="0" xfId="6" applyNumberFormat="1" applyFont="1" applyAlignment="1">
      <alignment horizontal="center" vertical="center" wrapText="1"/>
    </xf>
    <xf numFmtId="17" fontId="2" fillId="0" borderId="2" xfId="6" applyNumberFormat="1" applyFont="1" applyBorder="1" applyAlignment="1">
      <alignment horizontal="center" vertical="center" wrapText="1"/>
    </xf>
    <xf numFmtId="0" fontId="9" fillId="0" borderId="1" xfId="0" applyFont="1" applyBorder="1"/>
    <xf numFmtId="17" fontId="19" fillId="0" borderId="1" xfId="6" applyNumberFormat="1" applyFont="1" applyBorder="1" applyAlignment="1">
      <alignment vertical="center"/>
    </xf>
    <xf numFmtId="165" fontId="7" fillId="0" borderId="0" xfId="5" applyNumberFormat="1" applyFont="1"/>
    <xf numFmtId="165" fontId="7" fillId="0" borderId="0" xfId="5" applyNumberFormat="1" applyFont="1" applyAlignment="1">
      <alignment vertical="center"/>
    </xf>
    <xf numFmtId="165" fontId="20" fillId="0" borderId="0" xfId="0" applyNumberFormat="1" applyFont="1" applyAlignment="1">
      <alignment horizontal="right"/>
    </xf>
    <xf numFmtId="165" fontId="23" fillId="0" borderId="0" xfId="5" applyNumberFormat="1" applyFont="1"/>
    <xf numFmtId="165" fontId="20" fillId="0" borderId="0" xfId="6" applyNumberFormat="1" applyFont="1" applyAlignment="1">
      <alignment horizontal="right" vertical="center" wrapText="1"/>
    </xf>
    <xf numFmtId="0" fontId="18" fillId="0" borderId="2" xfId="6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165" fontId="20" fillId="0" borderId="0" xfId="5" applyNumberFormat="1" applyFont="1"/>
    <xf numFmtId="165" fontId="9" fillId="0" borderId="0" xfId="0" applyNumberFormat="1" applyFont="1"/>
    <xf numFmtId="167" fontId="9" fillId="0" borderId="0" xfId="0" applyNumberFormat="1" applyFont="1"/>
    <xf numFmtId="0" fontId="2" fillId="0" borderId="0" xfId="0" quotePrefix="1" applyFont="1" applyAlignment="1">
      <alignment horizontal="left" vertical="top"/>
    </xf>
    <xf numFmtId="164" fontId="2" fillId="0" borderId="0" xfId="6" applyNumberFormat="1" applyFont="1" applyAlignment="1">
      <alignment horizontal="left"/>
    </xf>
    <xf numFmtId="170" fontId="7" fillId="0" borderId="0" xfId="5" applyNumberFormat="1" applyFont="1"/>
    <xf numFmtId="165" fontId="31" fillId="0" borderId="0" xfId="0" applyNumberFormat="1" applyFont="1"/>
    <xf numFmtId="1" fontId="13" fillId="0" borderId="0" xfId="0" applyNumberFormat="1" applyFont="1" applyAlignment="1">
      <alignment horizontal="left"/>
    </xf>
    <xf numFmtId="171" fontId="13" fillId="0" borderId="0" xfId="0" applyNumberFormat="1" applyFont="1" applyAlignment="1">
      <alignment horizontal="left"/>
    </xf>
    <xf numFmtId="0" fontId="31" fillId="0" borderId="0" xfId="0" applyFont="1"/>
    <xf numFmtId="3" fontId="31" fillId="0" borderId="0" xfId="0" applyNumberFormat="1" applyFont="1"/>
    <xf numFmtId="169" fontId="31" fillId="0" borderId="0" xfId="0" applyNumberFormat="1" applyFont="1"/>
    <xf numFmtId="166" fontId="31" fillId="0" borderId="0" xfId="0" applyNumberFormat="1" applyFont="1"/>
    <xf numFmtId="168" fontId="31" fillId="0" borderId="0" xfId="0" applyNumberFormat="1" applyFont="1"/>
    <xf numFmtId="170" fontId="23" fillId="0" borderId="0" xfId="5" applyNumberFormat="1" applyFont="1" applyAlignment="1">
      <alignment horizontal="right"/>
    </xf>
    <xf numFmtId="3" fontId="13" fillId="0" borderId="2" xfId="6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8" fillId="0" borderId="0" xfId="6" applyFont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13" fillId="0" borderId="2" xfId="6" applyFont="1" applyBorder="1" applyAlignment="1">
      <alignment horizontal="center" vertical="center" wrapText="1"/>
    </xf>
    <xf numFmtId="3" fontId="7" fillId="0" borderId="0" xfId="0" quotePrefix="1" applyNumberFormat="1" applyFont="1" applyAlignment="1">
      <alignment horizontal="right" vertical="top"/>
    </xf>
    <xf numFmtId="0" fontId="2" fillId="0" borderId="0" xfId="6" applyFont="1" applyAlignment="1">
      <alignment horizontal="center" vertical="center" wrapText="1"/>
    </xf>
    <xf numFmtId="0" fontId="13" fillId="0" borderId="0" xfId="6" applyFont="1" applyAlignment="1">
      <alignment horizontal="center" vertical="center" wrapText="1"/>
    </xf>
    <xf numFmtId="165" fontId="18" fillId="0" borderId="0" xfId="6" applyNumberFormat="1" applyFont="1" applyAlignment="1">
      <alignment horizontal="center" vertical="center" wrapText="1"/>
    </xf>
    <xf numFmtId="0" fontId="6" fillId="0" borderId="0" xfId="6" applyFont="1" applyAlignment="1">
      <alignment horizontal="center" vertical="center" wrapText="1"/>
    </xf>
    <xf numFmtId="170" fontId="20" fillId="0" borderId="0" xfId="5" applyNumberFormat="1" applyFont="1"/>
    <xf numFmtId="3" fontId="20" fillId="0" borderId="0" xfId="0" quotePrefix="1" applyNumberFormat="1" applyFont="1" applyAlignment="1">
      <alignment horizontal="right" vertical="top"/>
    </xf>
    <xf numFmtId="0" fontId="24" fillId="0" borderId="4" xfId="0" applyFont="1" applyBorder="1" applyAlignment="1">
      <alignment vertical="top"/>
    </xf>
    <xf numFmtId="0" fontId="23" fillId="0" borderId="3" xfId="0" quotePrefix="1" applyFont="1" applyBorder="1" applyAlignment="1">
      <alignment horizontal="left" vertical="top"/>
    </xf>
    <xf numFmtId="170" fontId="23" fillId="0" borderId="0" xfId="5" applyNumberFormat="1" applyFont="1"/>
    <xf numFmtId="170" fontId="7" fillId="0" borderId="0" xfId="5" applyNumberFormat="1" applyFont="1" applyAlignment="1">
      <alignment horizontal="right"/>
    </xf>
    <xf numFmtId="170" fontId="23" fillId="0" borderId="0" xfId="0" applyNumberFormat="1" applyFont="1" applyAlignment="1">
      <alignment horizontal="right"/>
    </xf>
    <xf numFmtId="0" fontId="33" fillId="0" borderId="0" xfId="0" applyFont="1"/>
    <xf numFmtId="0" fontId="34" fillId="0" borderId="0" xfId="0" applyFont="1"/>
    <xf numFmtId="3" fontId="23" fillId="0" borderId="0" xfId="0" quotePrefix="1" applyNumberFormat="1" applyFont="1" applyAlignment="1">
      <alignment horizontal="right" vertical="top"/>
    </xf>
    <xf numFmtId="0" fontId="20" fillId="0" borderId="0" xfId="0" applyFont="1"/>
    <xf numFmtId="170" fontId="20" fillId="0" borderId="0" xfId="5" applyNumberFormat="1" applyFont="1" applyAlignment="1">
      <alignment horizontal="right"/>
    </xf>
    <xf numFmtId="170" fontId="20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left"/>
    </xf>
    <xf numFmtId="171" fontId="2" fillId="0" borderId="0" xfId="0" applyNumberFormat="1" applyFont="1" applyAlignment="1">
      <alignment horizontal="left"/>
    </xf>
    <xf numFmtId="0" fontId="35" fillId="0" borderId="0" xfId="0" applyFont="1"/>
    <xf numFmtId="0" fontId="23" fillId="0" borderId="3" xfId="0" applyFont="1" applyBorder="1" applyAlignment="1">
      <alignment horizontal="left" vertical="top" wrapText="1"/>
    </xf>
    <xf numFmtId="0" fontId="23" fillId="0" borderId="10" xfId="0" applyFont="1" applyBorder="1"/>
    <xf numFmtId="165" fontId="29" fillId="0" borderId="2" xfId="5" applyNumberFormat="1" applyFont="1" applyBorder="1"/>
    <xf numFmtId="165" fontId="37" fillId="0" borderId="0" xfId="5" applyNumberFormat="1" applyFont="1"/>
    <xf numFmtId="165" fontId="38" fillId="0" borderId="0" xfId="5" applyNumberFormat="1" applyFont="1"/>
    <xf numFmtId="0" fontId="13" fillId="0" borderId="0" xfId="0" applyFont="1" applyAlignment="1">
      <alignment horizontal="left"/>
    </xf>
    <xf numFmtId="165" fontId="2" fillId="0" borderId="0" xfId="5" applyNumberFormat="1"/>
    <xf numFmtId="3" fontId="23" fillId="0" borderId="0" xfId="0" applyNumberFormat="1" applyFont="1"/>
    <xf numFmtId="172" fontId="7" fillId="0" borderId="0" xfId="5" applyNumberFormat="1" applyFont="1"/>
    <xf numFmtId="165" fontId="23" fillId="0" borderId="0" xfId="0" applyNumberFormat="1" applyFont="1" applyAlignment="1">
      <alignment horizontal="right"/>
    </xf>
    <xf numFmtId="165" fontId="7" fillId="0" borderId="0" xfId="0" quotePrefix="1" applyNumberFormat="1" applyFont="1" applyAlignment="1">
      <alignment horizontal="right" vertical="top"/>
    </xf>
    <xf numFmtId="165" fontId="20" fillId="0" borderId="0" xfId="0" applyNumberFormat="1" applyFont="1"/>
    <xf numFmtId="165" fontId="23" fillId="0" borderId="0" xfId="0" quotePrefix="1" applyNumberFormat="1" applyFont="1" applyAlignment="1">
      <alignment horizontal="right" vertical="top"/>
    </xf>
    <xf numFmtId="0" fontId="27" fillId="0" borderId="0" xfId="0" applyFont="1" applyAlignment="1">
      <alignment horizontal="left" vertical="center" indent="1"/>
    </xf>
    <xf numFmtId="0" fontId="23" fillId="0" borderId="3" xfId="0" applyFont="1" applyBorder="1" applyAlignment="1">
      <alignment horizontal="left" vertical="top" wrapText="1"/>
    </xf>
    <xf numFmtId="0" fontId="19" fillId="0" borderId="5" xfId="6" applyFont="1" applyBorder="1" applyAlignment="1">
      <alignment horizontal="center" vertical="center" wrapText="1"/>
    </xf>
    <xf numFmtId="3" fontId="19" fillId="0" borderId="6" xfId="6" applyNumberFormat="1" applyFont="1" applyBorder="1" applyAlignment="1">
      <alignment horizontal="center" vertical="center" wrapText="1"/>
    </xf>
    <xf numFmtId="17" fontId="19" fillId="0" borderId="7" xfId="6" applyNumberFormat="1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 wrapText="1"/>
    </xf>
    <xf numFmtId="0" fontId="5" fillId="0" borderId="9" xfId="6" applyFont="1" applyBorder="1" applyAlignment="1">
      <alignment horizontal="center" vertical="center" wrapText="1"/>
    </xf>
    <xf numFmtId="3" fontId="28" fillId="2" borderId="1" xfId="0" applyNumberFormat="1" applyFont="1" applyFill="1" applyBorder="1" applyAlignment="1">
      <alignment horizontal="center" vertical="center"/>
    </xf>
    <xf numFmtId="3" fontId="28" fillId="2" borderId="2" xfId="0" applyNumberFormat="1" applyFont="1" applyFill="1" applyBorder="1" applyAlignment="1">
      <alignment horizontal="center" vertical="center"/>
    </xf>
    <xf numFmtId="3" fontId="30" fillId="2" borderId="1" xfId="0" applyNumberFormat="1" applyFont="1" applyFill="1" applyBorder="1" applyAlignment="1">
      <alignment horizontal="center" vertical="center"/>
    </xf>
    <xf numFmtId="3" fontId="30" fillId="2" borderId="2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_DATOS AOP (1.996)" xfId="5" xr:uid="{00000000-0005-0000-0000-000005000000}"/>
    <cellStyle name="Normal_ESTCONSU" xfId="6" xr:uid="{00000000-0005-0000-0000-000006000000}"/>
    <cellStyle name="Porcentual 2" xfId="7" xr:uid="{00000000-0005-0000-0000-000008000000}"/>
    <cellStyle name="Porcentual 3" xfId="8" xr:uid="{00000000-0005-0000-0000-000009000000}"/>
    <cellStyle name="Porcentual 4" xfId="9" xr:uid="{00000000-0005-0000-0000-00000A000000}"/>
  </cellStyles>
  <dxfs count="78">
    <dxf>
      <font>
        <b/>
        <i val="0"/>
      </font>
      <border>
        <bottom style="thin">
          <color auto="1"/>
        </bottom>
      </border>
    </dxf>
    <dxf>
      <font>
        <b/>
        <i val="0"/>
      </font>
      <border>
        <bottom style="thin">
          <color auto="1"/>
        </bottom>
      </border>
    </dxf>
    <dxf>
      <font>
        <b/>
        <i val="0"/>
      </font>
      <border>
        <bottom style="thin">
          <color auto="1"/>
        </bottom>
      </border>
    </dxf>
    <dxf>
      <numFmt numFmtId="173" formatCode="\^"/>
    </dxf>
    <dxf>
      <numFmt numFmtId="173" formatCode="\^"/>
    </dxf>
    <dxf>
      <numFmt numFmtId="174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border>
        <bottom style="thin">
          <color auto="1"/>
        </bottom>
      </border>
    </dxf>
    <dxf>
      <numFmt numFmtId="173" formatCode="\^"/>
    </dxf>
    <dxf>
      <numFmt numFmtId="173" formatCode="\^"/>
    </dxf>
    <dxf>
      <font>
        <b/>
        <i val="0"/>
      </font>
      <border>
        <bottom style="thin">
          <color auto="1"/>
        </bottom>
      </border>
    </dxf>
    <dxf>
      <numFmt numFmtId="174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numFmt numFmtId="173" formatCode="\^"/>
    </dxf>
    <dxf>
      <numFmt numFmtId="173" formatCode="\^"/>
    </dxf>
    <dxf>
      <font>
        <b/>
        <i val="0"/>
      </font>
      <border>
        <bottom style="thin">
          <color auto="1"/>
        </bottom>
      </border>
    </dxf>
    <dxf>
      <numFmt numFmtId="174" formatCode="&quot;&quot;"/>
    </dxf>
    <dxf>
      <numFmt numFmtId="173" formatCode="\^"/>
    </dxf>
    <dxf>
      <numFmt numFmtId="173" formatCode="\^"/>
    </dxf>
    <dxf>
      <font>
        <b/>
        <i val="0"/>
      </font>
      <border>
        <bottom style="thin">
          <color auto="1"/>
        </bottom>
      </border>
    </dxf>
    <dxf>
      <numFmt numFmtId="174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numFmt numFmtId="173" formatCode="\^"/>
    </dxf>
    <dxf>
      <numFmt numFmtId="173" formatCode="\^"/>
    </dxf>
    <dxf>
      <font>
        <b/>
        <i val="0"/>
      </font>
      <border>
        <bottom style="thin">
          <color auto="1"/>
        </bottom>
      </border>
    </dxf>
    <dxf>
      <numFmt numFmtId="174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numFmt numFmtId="173" formatCode="\^"/>
    </dxf>
    <dxf>
      <numFmt numFmtId="173" formatCode="\^"/>
    </dxf>
    <dxf>
      <font>
        <b/>
        <i val="0"/>
      </font>
      <border>
        <bottom style="thin">
          <color auto="1"/>
        </bottom>
      </border>
    </dxf>
    <dxf>
      <numFmt numFmtId="174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border>
        <bottom style="thin">
          <color auto="1"/>
        </bottom>
      </border>
    </dxf>
    <dxf>
      <font>
        <b/>
        <i val="0"/>
      </font>
      <border>
        <bottom style="thin">
          <color auto="1"/>
        </bottom>
      </border>
    </dxf>
    <dxf>
      <numFmt numFmtId="173" formatCode="\^"/>
    </dxf>
    <dxf>
      <numFmt numFmtId="173" formatCode="\^"/>
    </dxf>
    <dxf>
      <font>
        <b/>
        <i val="0"/>
      </font>
      <border>
        <bottom style="thin">
          <color auto="1"/>
        </bottom>
      </border>
    </dxf>
    <dxf>
      <numFmt numFmtId="174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numFmt numFmtId="173" formatCode="\^"/>
    </dxf>
    <dxf>
      <numFmt numFmtId="173" formatCode="\^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  <border>
        <bottom style="thin">
          <color auto="1"/>
        </bottom>
      </border>
    </dxf>
    <dxf>
      <numFmt numFmtId="174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/>
      </font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numFmt numFmtId="173" formatCode="\^"/>
    </dxf>
    <dxf>
      <numFmt numFmtId="173" formatCode="\^"/>
    </dxf>
    <dxf>
      <font>
        <b/>
        <i val="0"/>
      </font>
      <border>
        <bottom style="thin">
          <color auto="1"/>
        </bottom>
      </border>
    </dxf>
    <dxf>
      <numFmt numFmtId="174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Europa y Euroasia'!A1"/><Relationship Id="rId7" Type="http://schemas.openxmlformats.org/officeDocument/2006/relationships/hyperlink" Target="#'Asia-Pac&#237;fico'!A1"/><Relationship Id="rId2" Type="http://schemas.openxmlformats.org/officeDocument/2006/relationships/hyperlink" Target="#Am&#233;rica!A1"/><Relationship Id="rId1" Type="http://schemas.openxmlformats.org/officeDocument/2006/relationships/hyperlink" Target="#&#193;frica!A1"/><Relationship Id="rId6" Type="http://schemas.openxmlformats.org/officeDocument/2006/relationships/hyperlink" Target="#Todos!A1"/><Relationship Id="rId5" Type="http://schemas.openxmlformats.org/officeDocument/2006/relationships/hyperlink" Target="#'Otros Productos'!A1"/><Relationship Id="rId4" Type="http://schemas.openxmlformats.org/officeDocument/2006/relationships/hyperlink" Target="#'Oriente Medio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Oriente Medio'!A1"/><Relationship Id="rId2" Type="http://schemas.openxmlformats.org/officeDocument/2006/relationships/hyperlink" Target="#'Europa y Euroasia'!A1"/><Relationship Id="rId1" Type="http://schemas.openxmlformats.org/officeDocument/2006/relationships/hyperlink" Target="#Am&#233;rica!A1"/><Relationship Id="rId6" Type="http://schemas.openxmlformats.org/officeDocument/2006/relationships/hyperlink" Target="#'Asia-Pac&#237;fico'!A1"/><Relationship Id="rId5" Type="http://schemas.openxmlformats.org/officeDocument/2006/relationships/hyperlink" Target="#Todos!A1"/><Relationship Id="rId4" Type="http://schemas.openxmlformats.org/officeDocument/2006/relationships/hyperlink" Target="#Inicio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Europa y Euroasia'!A1"/><Relationship Id="rId7" Type="http://schemas.openxmlformats.org/officeDocument/2006/relationships/hyperlink" Target="#'Asia-Pac&#237;fico'!A1"/><Relationship Id="rId2" Type="http://schemas.openxmlformats.org/officeDocument/2006/relationships/hyperlink" Target="#Gasolinas!A1"/><Relationship Id="rId1" Type="http://schemas.openxmlformats.org/officeDocument/2006/relationships/hyperlink" Target="#&#193;frica!A1"/><Relationship Id="rId6" Type="http://schemas.openxmlformats.org/officeDocument/2006/relationships/hyperlink" Target="#Todos!A1"/><Relationship Id="rId5" Type="http://schemas.openxmlformats.org/officeDocument/2006/relationships/hyperlink" Target="#'Oriente Medio'!A1"/><Relationship Id="rId4" Type="http://schemas.openxmlformats.org/officeDocument/2006/relationships/hyperlink" Target="#Inicio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Asia-Pac&#237;fico'!A1"/><Relationship Id="rId3" Type="http://schemas.openxmlformats.org/officeDocument/2006/relationships/hyperlink" Target="#Inicio!A1"/><Relationship Id="rId7" Type="http://schemas.openxmlformats.org/officeDocument/2006/relationships/hyperlink" Target="#Todos!A1"/><Relationship Id="rId2" Type="http://schemas.openxmlformats.org/officeDocument/2006/relationships/hyperlink" Target="#Gasolinas!A1"/><Relationship Id="rId1" Type="http://schemas.openxmlformats.org/officeDocument/2006/relationships/hyperlink" Target="#Africa!A1"/><Relationship Id="rId6" Type="http://schemas.openxmlformats.org/officeDocument/2006/relationships/hyperlink" Target="#'Oriente Medio'!A1"/><Relationship Id="rId5" Type="http://schemas.openxmlformats.org/officeDocument/2006/relationships/hyperlink" Target="#Am&#233;rica!A1"/><Relationship Id="rId4" Type="http://schemas.openxmlformats.org/officeDocument/2006/relationships/hyperlink" Target="#&#193;frica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Europa y Euroasia'!A1"/><Relationship Id="rId3" Type="http://schemas.openxmlformats.org/officeDocument/2006/relationships/hyperlink" Target="#Querosenos!A1"/><Relationship Id="rId7" Type="http://schemas.openxmlformats.org/officeDocument/2006/relationships/hyperlink" Target="#Am&#233;rica!A1"/><Relationship Id="rId2" Type="http://schemas.openxmlformats.org/officeDocument/2006/relationships/hyperlink" Target="#Gasolinas!A1"/><Relationship Id="rId1" Type="http://schemas.openxmlformats.org/officeDocument/2006/relationships/hyperlink" Target="#GLPs!A1"/><Relationship Id="rId6" Type="http://schemas.openxmlformats.org/officeDocument/2006/relationships/hyperlink" Target="#&#193;frica!A1"/><Relationship Id="rId5" Type="http://schemas.openxmlformats.org/officeDocument/2006/relationships/hyperlink" Target="#Inicio!A1"/><Relationship Id="rId10" Type="http://schemas.openxmlformats.org/officeDocument/2006/relationships/hyperlink" Target="#'Asia-Pac&#237;fico'!A1"/><Relationship Id="rId4" Type="http://schemas.openxmlformats.org/officeDocument/2006/relationships/hyperlink" Target="#Gasoleos!A1"/><Relationship Id="rId9" Type="http://schemas.openxmlformats.org/officeDocument/2006/relationships/hyperlink" Target="#Todos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Europa y Euroasia'!A1"/><Relationship Id="rId2" Type="http://schemas.openxmlformats.org/officeDocument/2006/relationships/hyperlink" Target="#Am&#233;rica!A1"/><Relationship Id="rId1" Type="http://schemas.openxmlformats.org/officeDocument/2006/relationships/hyperlink" Target="#&#193;frica!A1"/><Relationship Id="rId6" Type="http://schemas.openxmlformats.org/officeDocument/2006/relationships/hyperlink" Target="#Todos!A1"/><Relationship Id="rId5" Type="http://schemas.openxmlformats.org/officeDocument/2006/relationships/hyperlink" Target="#Inicio!A1"/><Relationship Id="rId4" Type="http://schemas.openxmlformats.org/officeDocument/2006/relationships/hyperlink" Target="#'Oriente Medio'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Am&#233;rica!A1"/><Relationship Id="rId2" Type="http://schemas.openxmlformats.org/officeDocument/2006/relationships/hyperlink" Target="#&#193;frica!A1"/><Relationship Id="rId1" Type="http://schemas.openxmlformats.org/officeDocument/2006/relationships/hyperlink" Target="#Inicio!A1"/><Relationship Id="rId6" Type="http://schemas.openxmlformats.org/officeDocument/2006/relationships/hyperlink" Target="#'Asia-Pac&#237;fico'!A1"/><Relationship Id="rId5" Type="http://schemas.openxmlformats.org/officeDocument/2006/relationships/hyperlink" Target="#'Oriente Medio'!A1"/><Relationship Id="rId4" Type="http://schemas.openxmlformats.org/officeDocument/2006/relationships/hyperlink" Target="#'Europa y Euroasia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902700</xdr:colOff>
      <xdr:row>0</xdr:row>
      <xdr:rowOff>0</xdr:rowOff>
    </xdr:from>
    <xdr:to>
      <xdr:col>3</xdr:col>
      <xdr:colOff>804675</xdr:colOff>
      <xdr:row>1</xdr:row>
      <xdr:rowOff>19329</xdr:rowOff>
    </xdr:to>
    <xdr:sp macro="" textlink="">
      <xdr:nvSpPr>
        <xdr:cNvPr id="19" name="18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 bwMode="auto">
        <a:xfrm>
          <a:off x="2401300" y="0"/>
          <a:ext cx="911625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África</a:t>
          </a:r>
        </a:p>
      </xdr:txBody>
    </xdr:sp>
    <xdr:clientData/>
  </xdr:twoCellAnchor>
  <xdr:twoCellAnchor editAs="absolute">
    <xdr:from>
      <xdr:col>3</xdr:col>
      <xdr:colOff>798925</xdr:colOff>
      <xdr:row>0</xdr:row>
      <xdr:rowOff>0</xdr:rowOff>
    </xdr:from>
    <xdr:to>
      <xdr:col>4</xdr:col>
      <xdr:colOff>523031</xdr:colOff>
      <xdr:row>1</xdr:row>
      <xdr:rowOff>19329</xdr:rowOff>
    </xdr:to>
    <xdr:sp macro="" textlink="">
      <xdr:nvSpPr>
        <xdr:cNvPr id="36" name="35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 bwMode="auto">
        <a:xfrm>
          <a:off x="3307175" y="0"/>
          <a:ext cx="911556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América</a:t>
          </a:r>
        </a:p>
      </xdr:txBody>
    </xdr:sp>
    <xdr:clientData/>
  </xdr:twoCellAnchor>
  <xdr:twoCellAnchor editAs="absolute">
    <xdr:from>
      <xdr:col>4</xdr:col>
      <xdr:colOff>523699</xdr:colOff>
      <xdr:row>0</xdr:row>
      <xdr:rowOff>0</xdr:rowOff>
    </xdr:from>
    <xdr:to>
      <xdr:col>4</xdr:col>
      <xdr:colOff>1711699</xdr:colOff>
      <xdr:row>1</xdr:row>
      <xdr:rowOff>19329</xdr:rowOff>
    </xdr:to>
    <xdr:sp macro="" textlink="">
      <xdr:nvSpPr>
        <xdr:cNvPr id="37" name="36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 bwMode="auto">
        <a:xfrm>
          <a:off x="4066999" y="0"/>
          <a:ext cx="118800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Europa y Euroasia</a:t>
          </a:r>
        </a:p>
      </xdr:txBody>
    </xdr:sp>
    <xdr:clientData/>
  </xdr:twoCellAnchor>
  <xdr:twoCellAnchor editAs="absolute">
    <xdr:from>
      <xdr:col>4</xdr:col>
      <xdr:colOff>1714547</xdr:colOff>
      <xdr:row>0</xdr:row>
      <xdr:rowOff>0</xdr:rowOff>
    </xdr:from>
    <xdr:to>
      <xdr:col>4</xdr:col>
      <xdr:colOff>2616386</xdr:colOff>
      <xdr:row>1</xdr:row>
      <xdr:rowOff>19329</xdr:rowOff>
    </xdr:to>
    <xdr:sp macro="" textlink="">
      <xdr:nvSpPr>
        <xdr:cNvPr id="39" name="38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 bwMode="auto">
        <a:xfrm>
          <a:off x="5256555" y="0"/>
          <a:ext cx="901839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Oriente Medio</a:t>
          </a:r>
        </a:p>
      </xdr:txBody>
    </xdr:sp>
    <xdr:clientData/>
  </xdr:twoCellAnchor>
  <xdr:twoCellAnchor editAs="absolute">
    <xdr:from>
      <xdr:col>4</xdr:col>
      <xdr:colOff>3231800</xdr:colOff>
      <xdr:row>0</xdr:row>
      <xdr:rowOff>0</xdr:rowOff>
    </xdr:from>
    <xdr:to>
      <xdr:col>6</xdr:col>
      <xdr:colOff>446</xdr:colOff>
      <xdr:row>1</xdr:row>
      <xdr:rowOff>19329</xdr:rowOff>
    </xdr:to>
    <xdr:sp macro="" textlink="">
      <xdr:nvSpPr>
        <xdr:cNvPr id="40" name="39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 bwMode="auto">
        <a:xfrm>
          <a:off x="6616350" y="0"/>
          <a:ext cx="1080000" cy="216000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tx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2</xdr:col>
      <xdr:colOff>901839</xdr:colOff>
      <xdr:row>1</xdr:row>
      <xdr:rowOff>19329</xdr:rowOff>
    </xdr:to>
    <xdr:sp macro="" textlink="">
      <xdr:nvSpPr>
        <xdr:cNvPr id="41" name="40 Rectángul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 bwMode="auto">
        <a:xfrm>
          <a:off x="1498600" y="0"/>
          <a:ext cx="901839" cy="209829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5</xdr:col>
      <xdr:colOff>230460</xdr:colOff>
      <xdr:row>0</xdr:row>
      <xdr:rowOff>0</xdr:rowOff>
    </xdr:from>
    <xdr:to>
      <xdr:col>6</xdr:col>
      <xdr:colOff>253091</xdr:colOff>
      <xdr:row>1</xdr:row>
      <xdr:rowOff>19329</xdr:rowOff>
    </xdr:to>
    <xdr:sp macro="" textlink="">
      <xdr:nvSpPr>
        <xdr:cNvPr id="42" name="41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 bwMode="auto">
        <a:xfrm>
          <a:off x="7230528" y="0"/>
          <a:ext cx="745885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2</xdr:col>
      <xdr:colOff>902700</xdr:colOff>
      <xdr:row>1</xdr:row>
      <xdr:rowOff>22225</xdr:rowOff>
    </xdr:from>
    <xdr:to>
      <xdr:col>3</xdr:col>
      <xdr:colOff>804675</xdr:colOff>
      <xdr:row>1</xdr:row>
      <xdr:rowOff>58225</xdr:rowOff>
    </xdr:to>
    <xdr:sp macro="" textlink="">
      <xdr:nvSpPr>
        <xdr:cNvPr id="43" name="42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 bwMode="auto">
        <a:xfrm>
          <a:off x="2293350" y="219075"/>
          <a:ext cx="864000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3</xdr:col>
      <xdr:colOff>798925</xdr:colOff>
      <xdr:row>1</xdr:row>
      <xdr:rowOff>22225</xdr:rowOff>
    </xdr:from>
    <xdr:to>
      <xdr:col>4</xdr:col>
      <xdr:colOff>523031</xdr:colOff>
      <xdr:row>1</xdr:row>
      <xdr:rowOff>58225</xdr:rowOff>
    </xdr:to>
    <xdr:sp macro="" textlink="">
      <xdr:nvSpPr>
        <xdr:cNvPr id="44" name="43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 bwMode="auto">
        <a:xfrm>
          <a:off x="3157950" y="219075"/>
          <a:ext cx="864000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523699</xdr:colOff>
      <xdr:row>1</xdr:row>
      <xdr:rowOff>22225</xdr:rowOff>
    </xdr:from>
    <xdr:to>
      <xdr:col>4</xdr:col>
      <xdr:colOff>1711699</xdr:colOff>
      <xdr:row>1</xdr:row>
      <xdr:rowOff>58225</xdr:rowOff>
    </xdr:to>
    <xdr:sp macro="" textlink="">
      <xdr:nvSpPr>
        <xdr:cNvPr id="45" name="44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 bwMode="auto">
        <a:xfrm>
          <a:off x="4066999" y="212725"/>
          <a:ext cx="1188000" cy="36000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1714547</xdr:colOff>
      <xdr:row>1</xdr:row>
      <xdr:rowOff>22225</xdr:rowOff>
    </xdr:from>
    <xdr:to>
      <xdr:col>4</xdr:col>
      <xdr:colOff>2616386</xdr:colOff>
      <xdr:row>1</xdr:row>
      <xdr:rowOff>58225</xdr:rowOff>
    </xdr:to>
    <xdr:sp macro="" textlink="">
      <xdr:nvSpPr>
        <xdr:cNvPr id="47" name="46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 bwMode="auto">
        <a:xfrm>
          <a:off x="5256555" y="212725"/>
          <a:ext cx="901839" cy="3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ln>
              <a:noFill/>
            </a:ln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1</xdr:row>
      <xdr:rowOff>22225</xdr:rowOff>
    </xdr:from>
    <xdr:to>
      <xdr:col>2</xdr:col>
      <xdr:colOff>901839</xdr:colOff>
      <xdr:row>1</xdr:row>
      <xdr:rowOff>58225</xdr:rowOff>
    </xdr:to>
    <xdr:sp macro="" textlink="">
      <xdr:nvSpPr>
        <xdr:cNvPr id="49" name="48 Rectángul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 bwMode="auto">
        <a:xfrm>
          <a:off x="1428750" y="219075"/>
          <a:ext cx="864000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230460</xdr:colOff>
      <xdr:row>1</xdr:row>
      <xdr:rowOff>22225</xdr:rowOff>
    </xdr:from>
    <xdr:to>
      <xdr:col>6</xdr:col>
      <xdr:colOff>253091</xdr:colOff>
      <xdr:row>1</xdr:row>
      <xdr:rowOff>58225</xdr:rowOff>
    </xdr:to>
    <xdr:sp macro="" textlink="">
      <xdr:nvSpPr>
        <xdr:cNvPr id="50" name="49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 bwMode="auto">
        <a:xfrm>
          <a:off x="7230528" y="212725"/>
          <a:ext cx="745885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95250</xdr:rowOff>
    </xdr:from>
    <xdr:to>
      <xdr:col>1</xdr:col>
      <xdr:colOff>596900</xdr:colOff>
      <xdr:row>2</xdr:row>
      <xdr:rowOff>266700</xdr:rowOff>
    </xdr:to>
    <xdr:grpSp>
      <xdr:nvGrpSpPr>
        <xdr:cNvPr id="36980" name="Group 3">
          <a:extLst>
            <a:ext uri="{FF2B5EF4-FFF2-40B4-BE49-F238E27FC236}">
              <a16:creationId xmlns:a16="http://schemas.microsoft.com/office/drawing/2014/main" id="{00000000-0008-0000-0000-00007490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20800" cy="457200"/>
          <a:chOff x="10" y="0"/>
          <a:chExt cx="140" cy="47"/>
        </a:xfrm>
      </xdr:grpSpPr>
      <xdr:sp macro="" textlink="">
        <xdr:nvSpPr>
          <xdr:cNvPr id="36981" name="AutoShape 2">
            <a:extLst>
              <a:ext uri="{FF2B5EF4-FFF2-40B4-BE49-F238E27FC236}">
                <a16:creationId xmlns:a16="http://schemas.microsoft.com/office/drawing/2014/main" id="{00000000-0008-0000-0000-0000759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36982" name="Freeform 4">
            <a:extLst>
              <a:ext uri="{FF2B5EF4-FFF2-40B4-BE49-F238E27FC236}">
                <a16:creationId xmlns:a16="http://schemas.microsoft.com/office/drawing/2014/main" id="{00000000-0008-0000-0000-00007690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3" name="Freeform 5">
            <a:extLst>
              <a:ext uri="{FF2B5EF4-FFF2-40B4-BE49-F238E27FC236}">
                <a16:creationId xmlns:a16="http://schemas.microsoft.com/office/drawing/2014/main" id="{00000000-0008-0000-0000-00007790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4" name="Freeform 6">
            <a:extLst>
              <a:ext uri="{FF2B5EF4-FFF2-40B4-BE49-F238E27FC236}">
                <a16:creationId xmlns:a16="http://schemas.microsoft.com/office/drawing/2014/main" id="{00000000-0008-0000-0000-00007890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5" name="Freeform 7">
            <a:extLst>
              <a:ext uri="{FF2B5EF4-FFF2-40B4-BE49-F238E27FC236}">
                <a16:creationId xmlns:a16="http://schemas.microsoft.com/office/drawing/2014/main" id="{00000000-0008-0000-0000-00007990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6" name="Freeform 8">
            <a:extLst>
              <a:ext uri="{FF2B5EF4-FFF2-40B4-BE49-F238E27FC236}">
                <a16:creationId xmlns:a16="http://schemas.microsoft.com/office/drawing/2014/main" id="{00000000-0008-0000-0000-00007A90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7" name="Freeform 9">
            <a:extLst>
              <a:ext uri="{FF2B5EF4-FFF2-40B4-BE49-F238E27FC236}">
                <a16:creationId xmlns:a16="http://schemas.microsoft.com/office/drawing/2014/main" id="{00000000-0008-0000-0000-00007B90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8" name="Freeform 10">
            <a:extLst>
              <a:ext uri="{FF2B5EF4-FFF2-40B4-BE49-F238E27FC236}">
                <a16:creationId xmlns:a16="http://schemas.microsoft.com/office/drawing/2014/main" id="{00000000-0008-0000-0000-00007C90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4</xdr:col>
      <xdr:colOff>2616743</xdr:colOff>
      <xdr:row>0</xdr:row>
      <xdr:rowOff>0</xdr:rowOff>
    </xdr:from>
    <xdr:to>
      <xdr:col>5</xdr:col>
      <xdr:colOff>232815</xdr:colOff>
      <xdr:row>1</xdr:row>
      <xdr:rowOff>19329</xdr:rowOff>
    </xdr:to>
    <xdr:sp macro="" textlink="">
      <xdr:nvSpPr>
        <xdr:cNvPr id="48" name="47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 bwMode="auto">
        <a:xfrm>
          <a:off x="6158751" y="0"/>
          <a:ext cx="1074132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Asia-Pacífico</a:t>
          </a:r>
        </a:p>
      </xdr:txBody>
    </xdr:sp>
    <xdr:clientData/>
  </xdr:twoCellAnchor>
  <xdr:twoCellAnchor editAs="absolute">
    <xdr:from>
      <xdr:col>4</xdr:col>
      <xdr:colOff>2616743</xdr:colOff>
      <xdr:row>1</xdr:row>
      <xdr:rowOff>22225</xdr:rowOff>
    </xdr:from>
    <xdr:to>
      <xdr:col>5</xdr:col>
      <xdr:colOff>232815</xdr:colOff>
      <xdr:row>1</xdr:row>
      <xdr:rowOff>58225</xdr:rowOff>
    </xdr:to>
    <xdr:sp macro="" textlink="">
      <xdr:nvSpPr>
        <xdr:cNvPr id="51" name="50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 bwMode="auto">
        <a:xfrm>
          <a:off x="6158751" y="212725"/>
          <a:ext cx="1074132" cy="36000"/>
        </a:xfrm>
        <a:prstGeom prst="rect">
          <a:avLst/>
        </a:prstGeom>
        <a:solidFill>
          <a:schemeClr val="bg2">
            <a:lumMod val="5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accent6">
                <a:lumMod val="60000"/>
                <a:lumOff val="40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210968</xdr:colOff>
      <xdr:row>0</xdr:row>
      <xdr:rowOff>0</xdr:rowOff>
    </xdr:from>
    <xdr:to>
      <xdr:col>4</xdr:col>
      <xdr:colOff>447376</xdr:colOff>
      <xdr:row>1</xdr:row>
      <xdr:rowOff>47904</xdr:rowOff>
    </xdr:to>
    <xdr:sp macro="" textlink="">
      <xdr:nvSpPr>
        <xdr:cNvPr id="16" name="15 Rectángul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2395368" y="0"/>
          <a:ext cx="905275" cy="209829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África</a:t>
          </a:r>
        </a:p>
      </xdr:txBody>
    </xdr:sp>
    <xdr:clientData/>
  </xdr:twoCellAnchor>
  <xdr:twoCellAnchor editAs="absolute">
    <xdr:from>
      <xdr:col>4</xdr:col>
      <xdr:colOff>438869</xdr:colOff>
      <xdr:row>0</xdr:row>
      <xdr:rowOff>0</xdr:rowOff>
    </xdr:from>
    <xdr:to>
      <xdr:col>6</xdr:col>
      <xdr:colOff>25461</xdr:colOff>
      <xdr:row>1</xdr:row>
      <xdr:rowOff>47904</xdr:rowOff>
    </xdr:to>
    <xdr:sp macro="" textlink="">
      <xdr:nvSpPr>
        <xdr:cNvPr id="17" name="16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3292136" y="0"/>
          <a:ext cx="90527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América</a:t>
          </a:r>
        </a:p>
      </xdr:txBody>
    </xdr:sp>
    <xdr:clientData/>
  </xdr:twoCellAnchor>
  <xdr:twoCellAnchor editAs="absolute">
    <xdr:from>
      <xdr:col>6</xdr:col>
      <xdr:colOff>16954</xdr:colOff>
      <xdr:row>0</xdr:row>
      <xdr:rowOff>0</xdr:rowOff>
    </xdr:from>
    <xdr:to>
      <xdr:col>7</xdr:col>
      <xdr:colOff>576304</xdr:colOff>
      <xdr:row>1</xdr:row>
      <xdr:rowOff>47904</xdr:rowOff>
    </xdr:to>
    <xdr:sp macro="" textlink="">
      <xdr:nvSpPr>
        <xdr:cNvPr id="18" name="17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4007929" y="0"/>
          <a:ext cx="118800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Europa y Euroasia</a:t>
          </a:r>
        </a:p>
      </xdr:txBody>
    </xdr:sp>
    <xdr:clientData/>
  </xdr:twoCellAnchor>
  <xdr:twoCellAnchor editAs="absolute">
    <xdr:from>
      <xdr:col>7</xdr:col>
      <xdr:colOff>585253</xdr:colOff>
      <xdr:row>0</xdr:row>
      <xdr:rowOff>0</xdr:rowOff>
    </xdr:from>
    <xdr:to>
      <xdr:col>9</xdr:col>
      <xdr:colOff>515952</xdr:colOff>
      <xdr:row>1</xdr:row>
      <xdr:rowOff>47904</xdr:rowOff>
    </xdr:to>
    <xdr:sp macro="" textlink="">
      <xdr:nvSpPr>
        <xdr:cNvPr id="20" name="19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5200548" y="0"/>
          <a:ext cx="1186268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Oriente Medio</a:t>
          </a: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219475</xdr:colOff>
      <xdr:row>1</xdr:row>
      <xdr:rowOff>47904</xdr:rowOff>
    </xdr:to>
    <xdr:sp macro="" textlink="">
      <xdr:nvSpPr>
        <xdr:cNvPr id="22" name="21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1498600" y="0"/>
          <a:ext cx="90527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3</xdr:col>
      <xdr:colOff>220075</xdr:colOff>
      <xdr:row>1</xdr:row>
      <xdr:rowOff>50800</xdr:rowOff>
    </xdr:from>
    <xdr:to>
      <xdr:col>4</xdr:col>
      <xdr:colOff>456483</xdr:colOff>
      <xdr:row>1</xdr:row>
      <xdr:rowOff>86800</xdr:rowOff>
    </xdr:to>
    <xdr:sp macro="" textlink="">
      <xdr:nvSpPr>
        <xdr:cNvPr id="24" name="23 Rectángulo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2293350" y="219075"/>
          <a:ext cx="864000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457083</xdr:colOff>
      <xdr:row>1</xdr:row>
      <xdr:rowOff>50800</xdr:rowOff>
    </xdr:from>
    <xdr:to>
      <xdr:col>6</xdr:col>
      <xdr:colOff>43675</xdr:colOff>
      <xdr:row>1</xdr:row>
      <xdr:rowOff>86800</xdr:rowOff>
    </xdr:to>
    <xdr:sp macro="" textlink="">
      <xdr:nvSpPr>
        <xdr:cNvPr id="25" name="24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3157950" y="219075"/>
          <a:ext cx="864000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44275</xdr:colOff>
      <xdr:row>1</xdr:row>
      <xdr:rowOff>50800</xdr:rowOff>
    </xdr:from>
    <xdr:to>
      <xdr:col>7</xdr:col>
      <xdr:colOff>603625</xdr:colOff>
      <xdr:row>1</xdr:row>
      <xdr:rowOff>86800</xdr:rowOff>
    </xdr:to>
    <xdr:sp macro="" textlink="">
      <xdr:nvSpPr>
        <xdr:cNvPr id="26" name="25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4035250" y="212725"/>
          <a:ext cx="1188000" cy="36000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7</xdr:col>
      <xdr:colOff>606806</xdr:colOff>
      <xdr:row>1</xdr:row>
      <xdr:rowOff>50800</xdr:rowOff>
    </xdr:from>
    <xdr:to>
      <xdr:col>9</xdr:col>
      <xdr:colOff>537505</xdr:colOff>
      <xdr:row>1</xdr:row>
      <xdr:rowOff>86800</xdr:rowOff>
    </xdr:to>
    <xdr:sp macro="" textlink="">
      <xdr:nvSpPr>
        <xdr:cNvPr id="28" name="27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5222101" y="212725"/>
          <a:ext cx="1186268" cy="3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ln>
              <a:noFill/>
            </a:ln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1</xdr:row>
      <xdr:rowOff>50800</xdr:rowOff>
    </xdr:from>
    <xdr:to>
      <xdr:col>3</xdr:col>
      <xdr:colOff>219475</xdr:colOff>
      <xdr:row>1</xdr:row>
      <xdr:rowOff>86800</xdr:rowOff>
    </xdr:to>
    <xdr:sp macro="" textlink="">
      <xdr:nvSpPr>
        <xdr:cNvPr id="30" name="29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1428750" y="219075"/>
          <a:ext cx="864000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123825</xdr:rowOff>
    </xdr:from>
    <xdr:to>
      <xdr:col>1</xdr:col>
      <xdr:colOff>596900</xdr:colOff>
      <xdr:row>2</xdr:row>
      <xdr:rowOff>295275</xdr:rowOff>
    </xdr:to>
    <xdr:grpSp>
      <xdr:nvGrpSpPr>
        <xdr:cNvPr id="38004" name="Group 3">
          <a:extLst>
            <a:ext uri="{FF2B5EF4-FFF2-40B4-BE49-F238E27FC236}">
              <a16:creationId xmlns:a16="http://schemas.microsoft.com/office/drawing/2014/main" id="{00000000-0008-0000-0100-00007494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20800" cy="457200"/>
          <a:chOff x="10" y="0"/>
          <a:chExt cx="140" cy="47"/>
        </a:xfrm>
      </xdr:grpSpPr>
      <xdr:sp macro="" textlink="">
        <xdr:nvSpPr>
          <xdr:cNvPr id="38005" name="AutoShape 2">
            <a:extLst>
              <a:ext uri="{FF2B5EF4-FFF2-40B4-BE49-F238E27FC236}">
                <a16:creationId xmlns:a16="http://schemas.microsoft.com/office/drawing/2014/main" id="{00000000-0008-0000-0100-00007594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38006" name="Freeform 4">
            <a:extLst>
              <a:ext uri="{FF2B5EF4-FFF2-40B4-BE49-F238E27FC236}">
                <a16:creationId xmlns:a16="http://schemas.microsoft.com/office/drawing/2014/main" id="{00000000-0008-0000-0100-00007694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07" name="Freeform 5">
            <a:extLst>
              <a:ext uri="{FF2B5EF4-FFF2-40B4-BE49-F238E27FC236}">
                <a16:creationId xmlns:a16="http://schemas.microsoft.com/office/drawing/2014/main" id="{00000000-0008-0000-0100-00007794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08" name="Freeform 6">
            <a:extLst>
              <a:ext uri="{FF2B5EF4-FFF2-40B4-BE49-F238E27FC236}">
                <a16:creationId xmlns:a16="http://schemas.microsoft.com/office/drawing/2014/main" id="{00000000-0008-0000-0100-00007894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09" name="Freeform 7">
            <a:extLst>
              <a:ext uri="{FF2B5EF4-FFF2-40B4-BE49-F238E27FC236}">
                <a16:creationId xmlns:a16="http://schemas.microsoft.com/office/drawing/2014/main" id="{00000000-0008-0000-0100-00007994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10" name="Freeform 8">
            <a:extLst>
              <a:ext uri="{FF2B5EF4-FFF2-40B4-BE49-F238E27FC236}">
                <a16:creationId xmlns:a16="http://schemas.microsoft.com/office/drawing/2014/main" id="{00000000-0008-0000-0100-00007A94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11" name="Freeform 9">
            <a:extLst>
              <a:ext uri="{FF2B5EF4-FFF2-40B4-BE49-F238E27FC236}">
                <a16:creationId xmlns:a16="http://schemas.microsoft.com/office/drawing/2014/main" id="{00000000-0008-0000-0100-00007B94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8012" name="Freeform 10">
            <a:extLst>
              <a:ext uri="{FF2B5EF4-FFF2-40B4-BE49-F238E27FC236}">
                <a16:creationId xmlns:a16="http://schemas.microsoft.com/office/drawing/2014/main" id="{00000000-0008-0000-0100-00007C94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10</xdr:col>
      <xdr:colOff>238437</xdr:colOff>
      <xdr:row>1</xdr:row>
      <xdr:rowOff>123825</xdr:rowOff>
    </xdr:from>
    <xdr:to>
      <xdr:col>11</xdr:col>
      <xdr:colOff>286465</xdr:colOff>
      <xdr:row>2</xdr:row>
      <xdr:rowOff>47904</xdr:rowOff>
    </xdr:to>
    <xdr:sp macro="" textlink="">
      <xdr:nvSpPr>
        <xdr:cNvPr id="42" name="41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7045637" y="285750"/>
          <a:ext cx="870353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10</xdr:col>
      <xdr:colOff>593597</xdr:colOff>
      <xdr:row>0</xdr:row>
      <xdr:rowOff>0</xdr:rowOff>
    </xdr:from>
    <xdr:to>
      <xdr:col>12</xdr:col>
      <xdr:colOff>201313</xdr:colOff>
      <xdr:row>1</xdr:row>
      <xdr:rowOff>47904</xdr:rowOff>
    </xdr:to>
    <xdr:sp macro="" textlink="">
      <xdr:nvSpPr>
        <xdr:cNvPr id="44" name="43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7092245" y="0"/>
          <a:ext cx="1187134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10</xdr:col>
      <xdr:colOff>593597</xdr:colOff>
      <xdr:row>1</xdr:row>
      <xdr:rowOff>50800</xdr:rowOff>
    </xdr:from>
    <xdr:to>
      <xdr:col>12</xdr:col>
      <xdr:colOff>201313</xdr:colOff>
      <xdr:row>1</xdr:row>
      <xdr:rowOff>86006</xdr:rowOff>
    </xdr:to>
    <xdr:sp macro="" textlink="">
      <xdr:nvSpPr>
        <xdr:cNvPr id="45" name="44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7092245" y="212725"/>
          <a:ext cx="1187134" cy="35206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9</xdr:col>
      <xdr:colOff>213733</xdr:colOff>
      <xdr:row>0</xdr:row>
      <xdr:rowOff>0</xdr:rowOff>
    </xdr:from>
    <xdr:to>
      <xdr:col>10</xdr:col>
      <xdr:colOff>773083</xdr:colOff>
      <xdr:row>1</xdr:row>
      <xdr:rowOff>47904</xdr:rowOff>
    </xdr:to>
    <xdr:sp macro="" textlink="">
      <xdr:nvSpPr>
        <xdr:cNvPr id="46" name="45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6084597" y="0"/>
          <a:ext cx="1186268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Asia-Pacífico</a:t>
          </a:r>
        </a:p>
      </xdr:txBody>
    </xdr:sp>
    <xdr:clientData/>
  </xdr:twoCellAnchor>
  <xdr:twoCellAnchor editAs="absolute">
    <xdr:from>
      <xdr:col>9</xdr:col>
      <xdr:colOff>213733</xdr:colOff>
      <xdr:row>1</xdr:row>
      <xdr:rowOff>50800</xdr:rowOff>
    </xdr:from>
    <xdr:to>
      <xdr:col>10</xdr:col>
      <xdr:colOff>773083</xdr:colOff>
      <xdr:row>1</xdr:row>
      <xdr:rowOff>86006</xdr:rowOff>
    </xdr:to>
    <xdr:sp macro="" textlink="">
      <xdr:nvSpPr>
        <xdr:cNvPr id="47" name="46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6084597" y="212725"/>
          <a:ext cx="1186268" cy="35206"/>
        </a:xfrm>
        <a:prstGeom prst="rect">
          <a:avLst/>
        </a:prstGeom>
        <a:solidFill>
          <a:schemeClr val="bg2">
            <a:lumMod val="5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accent6">
                <a:lumMod val="60000"/>
                <a:lumOff val="40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156575</xdr:colOff>
      <xdr:row>0</xdr:row>
      <xdr:rowOff>0</xdr:rowOff>
    </xdr:from>
    <xdr:to>
      <xdr:col>4</xdr:col>
      <xdr:colOff>407825</xdr:colOff>
      <xdr:row>1</xdr:row>
      <xdr:rowOff>19329</xdr:rowOff>
    </xdr:to>
    <xdr:sp macro="" textlink="">
      <xdr:nvSpPr>
        <xdr:cNvPr id="41" name="40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 bwMode="auto">
        <a:xfrm>
          <a:off x="2293350" y="0"/>
          <a:ext cx="864000" cy="216000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África</a:t>
          </a:r>
        </a:p>
      </xdr:txBody>
    </xdr:sp>
    <xdr:clientData/>
  </xdr:twoCellAnchor>
  <xdr:twoCellAnchor editAs="absolute">
    <xdr:from>
      <xdr:col>4</xdr:col>
      <xdr:colOff>414750</xdr:colOff>
      <xdr:row>0</xdr:row>
      <xdr:rowOff>0</xdr:rowOff>
    </xdr:from>
    <xdr:to>
      <xdr:col>6</xdr:col>
      <xdr:colOff>5575</xdr:colOff>
      <xdr:row>1</xdr:row>
      <xdr:rowOff>19329</xdr:rowOff>
    </xdr:to>
    <xdr:sp macro="" textlink="">
      <xdr:nvSpPr>
        <xdr:cNvPr id="42" name="41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 bwMode="auto">
        <a:xfrm>
          <a:off x="3157950" y="0"/>
          <a:ext cx="864000" cy="21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América</a:t>
          </a:r>
        </a:p>
      </xdr:txBody>
    </xdr:sp>
    <xdr:clientData/>
  </xdr:twoCellAnchor>
  <xdr:twoCellAnchor editAs="absolute">
    <xdr:from>
      <xdr:col>6</xdr:col>
      <xdr:colOff>6175</xdr:colOff>
      <xdr:row>0</xdr:row>
      <xdr:rowOff>0</xdr:rowOff>
    </xdr:from>
    <xdr:to>
      <xdr:col>7</xdr:col>
      <xdr:colOff>470275</xdr:colOff>
      <xdr:row>1</xdr:row>
      <xdr:rowOff>19329</xdr:rowOff>
    </xdr:to>
    <xdr:sp macro="" textlink="">
      <xdr:nvSpPr>
        <xdr:cNvPr id="43" name="42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 bwMode="auto">
        <a:xfrm>
          <a:off x="4063825" y="0"/>
          <a:ext cx="1188000" cy="209829"/>
        </a:xfrm>
        <a:prstGeom prst="rect">
          <a:avLst/>
        </a:prstGeom>
        <a:solidFill>
          <a:sysClr val="window" lastClr="FFFFFF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Europa y Euroasia</a:t>
          </a:r>
        </a:p>
      </xdr:txBody>
    </xdr:sp>
    <xdr:clientData/>
  </xdr:twoCellAnchor>
  <xdr:twoCellAnchor editAs="absolute">
    <xdr:from>
      <xdr:col>3</xdr:col>
      <xdr:colOff>156575</xdr:colOff>
      <xdr:row>1</xdr:row>
      <xdr:rowOff>22225</xdr:rowOff>
    </xdr:from>
    <xdr:to>
      <xdr:col>4</xdr:col>
      <xdr:colOff>407825</xdr:colOff>
      <xdr:row>1</xdr:row>
      <xdr:rowOff>58225</xdr:rowOff>
    </xdr:to>
    <xdr:sp macro="" textlink="">
      <xdr:nvSpPr>
        <xdr:cNvPr id="48" name="47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 bwMode="auto">
        <a:xfrm>
          <a:off x="2293350" y="219075"/>
          <a:ext cx="864000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414750</xdr:colOff>
      <xdr:row>1</xdr:row>
      <xdr:rowOff>22225</xdr:rowOff>
    </xdr:from>
    <xdr:to>
      <xdr:col>6</xdr:col>
      <xdr:colOff>5575</xdr:colOff>
      <xdr:row>1</xdr:row>
      <xdr:rowOff>58225</xdr:rowOff>
    </xdr:to>
    <xdr:sp macro="" textlink="">
      <xdr:nvSpPr>
        <xdr:cNvPr id="49" name="48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 bwMode="auto">
        <a:xfrm>
          <a:off x="3157950" y="219075"/>
          <a:ext cx="864000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6175</xdr:colOff>
      <xdr:row>1</xdr:row>
      <xdr:rowOff>22225</xdr:rowOff>
    </xdr:from>
    <xdr:to>
      <xdr:col>7</xdr:col>
      <xdr:colOff>470275</xdr:colOff>
      <xdr:row>1</xdr:row>
      <xdr:rowOff>58225</xdr:rowOff>
    </xdr:to>
    <xdr:sp macro="" textlink="">
      <xdr:nvSpPr>
        <xdr:cNvPr id="50" name="49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 bwMode="auto">
        <a:xfrm>
          <a:off x="4063825" y="212725"/>
          <a:ext cx="1188000" cy="36000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155955</xdr:colOff>
      <xdr:row>1</xdr:row>
      <xdr:rowOff>19329</xdr:rowOff>
    </xdr:to>
    <xdr:sp macro="" textlink="">
      <xdr:nvSpPr>
        <xdr:cNvPr id="55" name="54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 bwMode="auto">
        <a:xfrm>
          <a:off x="1428750" y="0"/>
          <a:ext cx="864000" cy="216000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2</xdr:col>
      <xdr:colOff>0</xdr:colOff>
      <xdr:row>1</xdr:row>
      <xdr:rowOff>22225</xdr:rowOff>
    </xdr:from>
    <xdr:to>
      <xdr:col>3</xdr:col>
      <xdr:colOff>155955</xdr:colOff>
      <xdr:row>1</xdr:row>
      <xdr:rowOff>58225</xdr:rowOff>
    </xdr:to>
    <xdr:sp macro="" textlink="">
      <xdr:nvSpPr>
        <xdr:cNvPr id="56" name="55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 bwMode="auto">
        <a:xfrm>
          <a:off x="1428750" y="219075"/>
          <a:ext cx="864000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95250</xdr:rowOff>
    </xdr:from>
    <xdr:to>
      <xdr:col>1</xdr:col>
      <xdr:colOff>596900</xdr:colOff>
      <xdr:row>2</xdr:row>
      <xdr:rowOff>266700</xdr:rowOff>
    </xdr:to>
    <xdr:grpSp>
      <xdr:nvGrpSpPr>
        <xdr:cNvPr id="39028" name="Group 3">
          <a:extLst>
            <a:ext uri="{FF2B5EF4-FFF2-40B4-BE49-F238E27FC236}">
              <a16:creationId xmlns:a16="http://schemas.microsoft.com/office/drawing/2014/main" id="{00000000-0008-0000-0200-00007498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20800" cy="457200"/>
          <a:chOff x="10" y="0"/>
          <a:chExt cx="140" cy="47"/>
        </a:xfrm>
      </xdr:grpSpPr>
      <xdr:sp macro="" textlink="">
        <xdr:nvSpPr>
          <xdr:cNvPr id="39029" name="AutoShape 2">
            <a:extLst>
              <a:ext uri="{FF2B5EF4-FFF2-40B4-BE49-F238E27FC236}">
                <a16:creationId xmlns:a16="http://schemas.microsoft.com/office/drawing/2014/main" id="{00000000-0008-0000-0200-00007598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39030" name="Freeform 4">
            <a:extLst>
              <a:ext uri="{FF2B5EF4-FFF2-40B4-BE49-F238E27FC236}">
                <a16:creationId xmlns:a16="http://schemas.microsoft.com/office/drawing/2014/main" id="{00000000-0008-0000-0200-00007698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1" name="Freeform 5">
            <a:extLst>
              <a:ext uri="{FF2B5EF4-FFF2-40B4-BE49-F238E27FC236}">
                <a16:creationId xmlns:a16="http://schemas.microsoft.com/office/drawing/2014/main" id="{00000000-0008-0000-0200-00007798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2" name="Freeform 6">
            <a:extLst>
              <a:ext uri="{FF2B5EF4-FFF2-40B4-BE49-F238E27FC236}">
                <a16:creationId xmlns:a16="http://schemas.microsoft.com/office/drawing/2014/main" id="{00000000-0008-0000-0200-00007898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3" name="Freeform 7">
            <a:extLst>
              <a:ext uri="{FF2B5EF4-FFF2-40B4-BE49-F238E27FC236}">
                <a16:creationId xmlns:a16="http://schemas.microsoft.com/office/drawing/2014/main" id="{00000000-0008-0000-0200-00007998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4" name="Freeform 8">
            <a:extLst>
              <a:ext uri="{FF2B5EF4-FFF2-40B4-BE49-F238E27FC236}">
                <a16:creationId xmlns:a16="http://schemas.microsoft.com/office/drawing/2014/main" id="{00000000-0008-0000-0200-00007A98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5" name="Freeform 9">
            <a:extLst>
              <a:ext uri="{FF2B5EF4-FFF2-40B4-BE49-F238E27FC236}">
                <a16:creationId xmlns:a16="http://schemas.microsoft.com/office/drawing/2014/main" id="{00000000-0008-0000-0200-00007B98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9036" name="Freeform 10">
            <a:extLst>
              <a:ext uri="{FF2B5EF4-FFF2-40B4-BE49-F238E27FC236}">
                <a16:creationId xmlns:a16="http://schemas.microsoft.com/office/drawing/2014/main" id="{00000000-0008-0000-0200-00007C98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7</xdr:col>
      <xdr:colOff>454282</xdr:colOff>
      <xdr:row>0</xdr:row>
      <xdr:rowOff>0</xdr:rowOff>
    </xdr:from>
    <xdr:to>
      <xdr:col>9</xdr:col>
      <xdr:colOff>80038</xdr:colOff>
      <xdr:row>1</xdr:row>
      <xdr:rowOff>19329</xdr:rowOff>
    </xdr:to>
    <xdr:sp macro="" textlink="">
      <xdr:nvSpPr>
        <xdr:cNvPr id="31" name="30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 bwMode="auto">
        <a:xfrm>
          <a:off x="5229771" y="0"/>
          <a:ext cx="881324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Oriente Medio</a:t>
          </a:r>
        </a:p>
      </xdr:txBody>
    </xdr:sp>
    <xdr:clientData/>
  </xdr:twoCellAnchor>
  <xdr:twoCellAnchor editAs="absolute">
    <xdr:from>
      <xdr:col>7</xdr:col>
      <xdr:colOff>475159</xdr:colOff>
      <xdr:row>1</xdr:row>
      <xdr:rowOff>22225</xdr:rowOff>
    </xdr:from>
    <xdr:to>
      <xdr:col>9</xdr:col>
      <xdr:colOff>101591</xdr:colOff>
      <xdr:row>1</xdr:row>
      <xdr:rowOff>58225</xdr:rowOff>
    </xdr:to>
    <xdr:sp macro="" textlink="">
      <xdr:nvSpPr>
        <xdr:cNvPr id="33" name="32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 bwMode="auto">
        <a:xfrm>
          <a:off x="5250648" y="212725"/>
          <a:ext cx="882000" cy="3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ln>
              <a:noFill/>
            </a:ln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10</xdr:col>
      <xdr:colOff>482095</xdr:colOff>
      <xdr:row>0</xdr:row>
      <xdr:rowOff>0</xdr:rowOff>
    </xdr:from>
    <xdr:to>
      <xdr:col>12</xdr:col>
      <xdr:colOff>104676</xdr:colOff>
      <xdr:row>1</xdr:row>
      <xdr:rowOff>19329</xdr:rowOff>
    </xdr:to>
    <xdr:sp macro="" textlink="">
      <xdr:nvSpPr>
        <xdr:cNvPr id="44" name="43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 bwMode="auto">
        <a:xfrm>
          <a:off x="7140936" y="0"/>
          <a:ext cx="880747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10</xdr:col>
      <xdr:colOff>482095</xdr:colOff>
      <xdr:row>1</xdr:row>
      <xdr:rowOff>22225</xdr:rowOff>
    </xdr:from>
    <xdr:to>
      <xdr:col>12</xdr:col>
      <xdr:colOff>104676</xdr:colOff>
      <xdr:row>1</xdr:row>
      <xdr:rowOff>60342</xdr:rowOff>
    </xdr:to>
    <xdr:sp macro="" textlink="">
      <xdr:nvSpPr>
        <xdr:cNvPr id="45" name="44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 bwMode="auto">
        <a:xfrm>
          <a:off x="7140936" y="212725"/>
          <a:ext cx="880747" cy="38117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9</xdr:col>
      <xdr:colOff>85026</xdr:colOff>
      <xdr:row>0</xdr:row>
      <xdr:rowOff>0</xdr:rowOff>
    </xdr:from>
    <xdr:to>
      <xdr:col>10</xdr:col>
      <xdr:colOff>477106</xdr:colOff>
      <xdr:row>1</xdr:row>
      <xdr:rowOff>19329</xdr:rowOff>
    </xdr:to>
    <xdr:sp macro="" textlink="">
      <xdr:nvSpPr>
        <xdr:cNvPr id="46" name="45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 bwMode="auto">
        <a:xfrm>
          <a:off x="6116083" y="0"/>
          <a:ext cx="1019864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Asia-Pacífico</a:t>
          </a:r>
        </a:p>
      </xdr:txBody>
    </xdr:sp>
    <xdr:clientData/>
  </xdr:twoCellAnchor>
  <xdr:twoCellAnchor editAs="absolute">
    <xdr:from>
      <xdr:col>9</xdr:col>
      <xdr:colOff>95803</xdr:colOff>
      <xdr:row>1</xdr:row>
      <xdr:rowOff>22225</xdr:rowOff>
    </xdr:from>
    <xdr:to>
      <xdr:col>10</xdr:col>
      <xdr:colOff>487883</xdr:colOff>
      <xdr:row>1</xdr:row>
      <xdr:rowOff>60342</xdr:rowOff>
    </xdr:to>
    <xdr:sp macro="" textlink="">
      <xdr:nvSpPr>
        <xdr:cNvPr id="47" name="46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 bwMode="auto">
        <a:xfrm>
          <a:off x="6126860" y="212725"/>
          <a:ext cx="1019864" cy="38117"/>
        </a:xfrm>
        <a:prstGeom prst="rect">
          <a:avLst/>
        </a:prstGeom>
        <a:solidFill>
          <a:schemeClr val="bg2">
            <a:lumMod val="5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accent6">
                <a:lumMod val="60000"/>
                <a:lumOff val="40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143875</xdr:colOff>
      <xdr:row>0</xdr:row>
      <xdr:rowOff>0</xdr:rowOff>
    </xdr:from>
    <xdr:to>
      <xdr:col>4</xdr:col>
      <xdr:colOff>258344</xdr:colOff>
      <xdr:row>1</xdr:row>
      <xdr:rowOff>19329</xdr:rowOff>
    </xdr:to>
    <xdr:sp macro="" textlink="">
      <xdr:nvSpPr>
        <xdr:cNvPr id="41" name="40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 bwMode="auto">
        <a:xfrm>
          <a:off x="2293350" y="0"/>
          <a:ext cx="864000" cy="216000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tx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265525</xdr:colOff>
      <xdr:row>0</xdr:row>
      <xdr:rowOff>0</xdr:rowOff>
    </xdr:from>
    <xdr:to>
      <xdr:col>5</xdr:col>
      <xdr:colOff>475775</xdr:colOff>
      <xdr:row>1</xdr:row>
      <xdr:rowOff>19329</xdr:rowOff>
    </xdr:to>
    <xdr:sp macro="" textlink="">
      <xdr:nvSpPr>
        <xdr:cNvPr id="42" name="41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 bwMode="auto">
        <a:xfrm>
          <a:off x="3157950" y="0"/>
          <a:ext cx="864000" cy="216000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tx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476074</xdr:colOff>
      <xdr:row>0</xdr:row>
      <xdr:rowOff>0</xdr:rowOff>
    </xdr:from>
    <xdr:to>
      <xdr:col>7</xdr:col>
      <xdr:colOff>349624</xdr:colOff>
      <xdr:row>1</xdr:row>
      <xdr:rowOff>19329</xdr:rowOff>
    </xdr:to>
    <xdr:sp macro="" textlink="">
      <xdr:nvSpPr>
        <xdr:cNvPr id="43" name="42 Rectángulo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 bwMode="auto">
        <a:xfrm>
          <a:off x="4057474" y="0"/>
          <a:ext cx="1188000" cy="209829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Europa y Euroasia</a:t>
          </a:r>
        </a:p>
      </xdr:txBody>
    </xdr:sp>
    <xdr:clientData/>
  </xdr:twoCellAnchor>
  <xdr:twoCellAnchor editAs="absolute">
    <xdr:from>
      <xdr:col>5</xdr:col>
      <xdr:colOff>476074</xdr:colOff>
      <xdr:row>1</xdr:row>
      <xdr:rowOff>22225</xdr:rowOff>
    </xdr:from>
    <xdr:to>
      <xdr:col>7</xdr:col>
      <xdr:colOff>349624</xdr:colOff>
      <xdr:row>1</xdr:row>
      <xdr:rowOff>58225</xdr:rowOff>
    </xdr:to>
    <xdr:sp macro="" textlink="">
      <xdr:nvSpPr>
        <xdr:cNvPr id="50" name="49 Rectángulo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 bwMode="auto">
        <a:xfrm>
          <a:off x="4057474" y="212725"/>
          <a:ext cx="1188000" cy="36000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143014</xdr:colOff>
      <xdr:row>1</xdr:row>
      <xdr:rowOff>19329</xdr:rowOff>
    </xdr:to>
    <xdr:sp macro="" textlink="">
      <xdr:nvSpPr>
        <xdr:cNvPr id="55" name="54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 bwMode="auto">
        <a:xfrm>
          <a:off x="1428750" y="0"/>
          <a:ext cx="864000" cy="216000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2</xdr:col>
      <xdr:colOff>0</xdr:colOff>
      <xdr:row>1</xdr:row>
      <xdr:rowOff>22225</xdr:rowOff>
    </xdr:from>
    <xdr:to>
      <xdr:col>3</xdr:col>
      <xdr:colOff>143014</xdr:colOff>
      <xdr:row>1</xdr:row>
      <xdr:rowOff>58225</xdr:rowOff>
    </xdr:to>
    <xdr:sp macro="" textlink="">
      <xdr:nvSpPr>
        <xdr:cNvPr id="56" name="55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 bwMode="auto">
        <a:xfrm>
          <a:off x="1428750" y="219075"/>
          <a:ext cx="864000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95250</xdr:rowOff>
    </xdr:from>
    <xdr:to>
      <xdr:col>1</xdr:col>
      <xdr:colOff>596900</xdr:colOff>
      <xdr:row>2</xdr:row>
      <xdr:rowOff>266700</xdr:rowOff>
    </xdr:to>
    <xdr:grpSp>
      <xdr:nvGrpSpPr>
        <xdr:cNvPr id="40052" name="Group 3">
          <a:extLst>
            <a:ext uri="{FF2B5EF4-FFF2-40B4-BE49-F238E27FC236}">
              <a16:creationId xmlns:a16="http://schemas.microsoft.com/office/drawing/2014/main" id="{00000000-0008-0000-0300-0000749C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20800" cy="457200"/>
          <a:chOff x="10" y="0"/>
          <a:chExt cx="140" cy="47"/>
        </a:xfrm>
      </xdr:grpSpPr>
      <xdr:sp macro="" textlink="">
        <xdr:nvSpPr>
          <xdr:cNvPr id="40053" name="AutoShape 2">
            <a:extLst>
              <a:ext uri="{FF2B5EF4-FFF2-40B4-BE49-F238E27FC236}">
                <a16:creationId xmlns:a16="http://schemas.microsoft.com/office/drawing/2014/main" id="{00000000-0008-0000-0300-0000759C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40054" name="Freeform 4">
            <a:extLst>
              <a:ext uri="{FF2B5EF4-FFF2-40B4-BE49-F238E27FC236}">
                <a16:creationId xmlns:a16="http://schemas.microsoft.com/office/drawing/2014/main" id="{00000000-0008-0000-0300-0000769C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0055" name="Freeform 5">
            <a:extLst>
              <a:ext uri="{FF2B5EF4-FFF2-40B4-BE49-F238E27FC236}">
                <a16:creationId xmlns:a16="http://schemas.microsoft.com/office/drawing/2014/main" id="{00000000-0008-0000-0300-0000779C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0056" name="Freeform 6">
            <a:extLst>
              <a:ext uri="{FF2B5EF4-FFF2-40B4-BE49-F238E27FC236}">
                <a16:creationId xmlns:a16="http://schemas.microsoft.com/office/drawing/2014/main" id="{00000000-0008-0000-0300-0000789C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0057" name="Freeform 7">
            <a:extLst>
              <a:ext uri="{FF2B5EF4-FFF2-40B4-BE49-F238E27FC236}">
                <a16:creationId xmlns:a16="http://schemas.microsoft.com/office/drawing/2014/main" id="{00000000-0008-0000-0300-0000799C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0058" name="Freeform 8">
            <a:extLst>
              <a:ext uri="{FF2B5EF4-FFF2-40B4-BE49-F238E27FC236}">
                <a16:creationId xmlns:a16="http://schemas.microsoft.com/office/drawing/2014/main" id="{00000000-0008-0000-0300-00007A9C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0059" name="Freeform 9">
            <a:extLst>
              <a:ext uri="{FF2B5EF4-FFF2-40B4-BE49-F238E27FC236}">
                <a16:creationId xmlns:a16="http://schemas.microsoft.com/office/drawing/2014/main" id="{00000000-0008-0000-0300-00007B9C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0060" name="Freeform 10">
            <a:extLst>
              <a:ext uri="{FF2B5EF4-FFF2-40B4-BE49-F238E27FC236}">
                <a16:creationId xmlns:a16="http://schemas.microsoft.com/office/drawing/2014/main" id="{00000000-0008-0000-0300-00007C9C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3</xdr:col>
      <xdr:colOff>142875</xdr:colOff>
      <xdr:row>0</xdr:row>
      <xdr:rowOff>0</xdr:rowOff>
    </xdr:from>
    <xdr:to>
      <xdr:col>4</xdr:col>
      <xdr:colOff>267100</xdr:colOff>
      <xdr:row>1</xdr:row>
      <xdr:rowOff>19329</xdr:rowOff>
    </xdr:to>
    <xdr:sp macro="" textlink="">
      <xdr:nvSpPr>
        <xdr:cNvPr id="31" name="30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 bwMode="auto">
        <a:xfrm>
          <a:off x="2400300" y="0"/>
          <a:ext cx="911625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África</a:t>
          </a:r>
        </a:p>
      </xdr:txBody>
    </xdr:sp>
    <xdr:clientData/>
  </xdr:twoCellAnchor>
  <xdr:twoCellAnchor editAs="absolute">
    <xdr:from>
      <xdr:col>4</xdr:col>
      <xdr:colOff>261350</xdr:colOff>
      <xdr:row>0</xdr:row>
      <xdr:rowOff>0</xdr:rowOff>
    </xdr:from>
    <xdr:to>
      <xdr:col>5</xdr:col>
      <xdr:colOff>480756</xdr:colOff>
      <xdr:row>1</xdr:row>
      <xdr:rowOff>19329</xdr:rowOff>
    </xdr:to>
    <xdr:sp macro="" textlink="">
      <xdr:nvSpPr>
        <xdr:cNvPr id="32" name="31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 bwMode="auto">
        <a:xfrm>
          <a:off x="3306175" y="0"/>
          <a:ext cx="911556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América</a:t>
          </a:r>
        </a:p>
      </xdr:txBody>
    </xdr:sp>
    <xdr:clientData/>
  </xdr:twoCellAnchor>
  <xdr:twoCellAnchor editAs="absolute">
    <xdr:from>
      <xdr:col>3</xdr:col>
      <xdr:colOff>142875</xdr:colOff>
      <xdr:row>1</xdr:row>
      <xdr:rowOff>22225</xdr:rowOff>
    </xdr:from>
    <xdr:to>
      <xdr:col>4</xdr:col>
      <xdr:colOff>267100</xdr:colOff>
      <xdr:row>1</xdr:row>
      <xdr:rowOff>58225</xdr:rowOff>
    </xdr:to>
    <xdr:sp macro="" textlink="">
      <xdr:nvSpPr>
        <xdr:cNvPr id="33" name="32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 bwMode="auto">
        <a:xfrm>
          <a:off x="2400300" y="212725"/>
          <a:ext cx="911625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261350</xdr:colOff>
      <xdr:row>1</xdr:row>
      <xdr:rowOff>22225</xdr:rowOff>
    </xdr:from>
    <xdr:to>
      <xdr:col>5</xdr:col>
      <xdr:colOff>480756</xdr:colOff>
      <xdr:row>1</xdr:row>
      <xdr:rowOff>58225</xdr:rowOff>
    </xdr:to>
    <xdr:sp macro="" textlink="">
      <xdr:nvSpPr>
        <xdr:cNvPr id="34" name="33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 bwMode="auto">
        <a:xfrm>
          <a:off x="3306175" y="212725"/>
          <a:ext cx="911556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7</xdr:col>
      <xdr:colOff>354554</xdr:colOff>
      <xdr:row>0</xdr:row>
      <xdr:rowOff>136</xdr:rowOff>
    </xdr:from>
    <xdr:to>
      <xdr:col>9</xdr:col>
      <xdr:colOff>24407</xdr:colOff>
      <xdr:row>1</xdr:row>
      <xdr:rowOff>19465</xdr:rowOff>
    </xdr:to>
    <xdr:sp macro="" textlink="">
      <xdr:nvSpPr>
        <xdr:cNvPr id="35" name="34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 bwMode="auto">
        <a:xfrm>
          <a:off x="5257208" y="136"/>
          <a:ext cx="872724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Oriente Medio</a:t>
          </a:r>
        </a:p>
      </xdr:txBody>
    </xdr:sp>
    <xdr:clientData/>
  </xdr:twoCellAnchor>
  <xdr:twoCellAnchor editAs="absolute">
    <xdr:from>
      <xdr:col>8</xdr:col>
      <xdr:colOff>94527</xdr:colOff>
      <xdr:row>0</xdr:row>
      <xdr:rowOff>136</xdr:rowOff>
    </xdr:from>
    <xdr:to>
      <xdr:col>9</xdr:col>
      <xdr:colOff>418780</xdr:colOff>
      <xdr:row>1</xdr:row>
      <xdr:rowOff>19465</xdr:rowOff>
    </xdr:to>
    <xdr:sp macro="" textlink="">
      <xdr:nvSpPr>
        <xdr:cNvPr id="36" name="35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 bwMode="auto">
        <a:xfrm>
          <a:off x="5655766" y="136"/>
          <a:ext cx="868539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7</xdr:col>
      <xdr:colOff>349282</xdr:colOff>
      <xdr:row>1</xdr:row>
      <xdr:rowOff>22361</xdr:rowOff>
    </xdr:from>
    <xdr:to>
      <xdr:col>9</xdr:col>
      <xdr:colOff>19811</xdr:colOff>
      <xdr:row>1</xdr:row>
      <xdr:rowOff>58361</xdr:rowOff>
    </xdr:to>
    <xdr:sp macro="" textlink="">
      <xdr:nvSpPr>
        <xdr:cNvPr id="37" name="36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 bwMode="auto">
        <a:xfrm>
          <a:off x="5251936" y="212861"/>
          <a:ext cx="873400" cy="3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ln>
              <a:noFill/>
            </a:ln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10</xdr:col>
      <xdr:colOff>363051</xdr:colOff>
      <xdr:row>0</xdr:row>
      <xdr:rowOff>136</xdr:rowOff>
    </xdr:from>
    <xdr:to>
      <xdr:col>11</xdr:col>
      <xdr:colOff>580718</xdr:colOff>
      <xdr:row>1</xdr:row>
      <xdr:rowOff>19465</xdr:rowOff>
    </xdr:to>
    <xdr:sp macro="" textlink="">
      <xdr:nvSpPr>
        <xdr:cNvPr id="51" name="50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 bwMode="auto">
        <a:xfrm>
          <a:off x="7127162" y="136"/>
          <a:ext cx="876252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10</xdr:col>
      <xdr:colOff>363051</xdr:colOff>
      <xdr:row>1</xdr:row>
      <xdr:rowOff>22361</xdr:rowOff>
    </xdr:from>
    <xdr:to>
      <xdr:col>11</xdr:col>
      <xdr:colOff>580718</xdr:colOff>
      <xdr:row>1</xdr:row>
      <xdr:rowOff>58734</xdr:rowOff>
    </xdr:to>
    <xdr:sp macro="" textlink="">
      <xdr:nvSpPr>
        <xdr:cNvPr id="52" name="51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 bwMode="auto">
        <a:xfrm>
          <a:off x="7127162" y="212861"/>
          <a:ext cx="876252" cy="36373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9</xdr:col>
      <xdr:colOff>17714</xdr:colOff>
      <xdr:row>0</xdr:row>
      <xdr:rowOff>136</xdr:rowOff>
    </xdr:from>
    <xdr:to>
      <xdr:col>10</xdr:col>
      <xdr:colOff>365406</xdr:colOff>
      <xdr:row>1</xdr:row>
      <xdr:rowOff>19465</xdr:rowOff>
    </xdr:to>
    <xdr:sp macro="" textlink="">
      <xdr:nvSpPr>
        <xdr:cNvPr id="53" name="52 Rectángul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 bwMode="auto">
        <a:xfrm>
          <a:off x="6123239" y="136"/>
          <a:ext cx="1006278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Asia-Pacífico</a:t>
          </a:r>
        </a:p>
      </xdr:txBody>
    </xdr:sp>
    <xdr:clientData/>
  </xdr:twoCellAnchor>
  <xdr:twoCellAnchor editAs="absolute">
    <xdr:from>
      <xdr:col>9</xdr:col>
      <xdr:colOff>17714</xdr:colOff>
      <xdr:row>1</xdr:row>
      <xdr:rowOff>22361</xdr:rowOff>
    </xdr:from>
    <xdr:to>
      <xdr:col>10</xdr:col>
      <xdr:colOff>365406</xdr:colOff>
      <xdr:row>1</xdr:row>
      <xdr:rowOff>58734</xdr:rowOff>
    </xdr:to>
    <xdr:sp macro="" textlink="">
      <xdr:nvSpPr>
        <xdr:cNvPr id="54" name="53 Rectángul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 bwMode="auto">
        <a:xfrm>
          <a:off x="6123239" y="212861"/>
          <a:ext cx="1006278" cy="36373"/>
        </a:xfrm>
        <a:prstGeom prst="rect">
          <a:avLst/>
        </a:prstGeom>
        <a:solidFill>
          <a:schemeClr val="bg2">
            <a:lumMod val="5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accent6">
                <a:lumMod val="60000"/>
                <a:lumOff val="40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312150</xdr:colOff>
      <xdr:row>0</xdr:row>
      <xdr:rowOff>0</xdr:rowOff>
    </xdr:from>
    <xdr:to>
      <xdr:col>4</xdr:col>
      <xdr:colOff>576075</xdr:colOff>
      <xdr:row>1</xdr:row>
      <xdr:rowOff>19329</xdr:rowOff>
    </xdr:to>
    <xdr:sp macro="" textlink="">
      <xdr:nvSpPr>
        <xdr:cNvPr id="2" name="1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 bwMode="auto">
        <a:xfrm>
          <a:off x="2404475" y="0"/>
          <a:ext cx="905275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tx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576675</xdr:colOff>
      <xdr:row>0</xdr:row>
      <xdr:rowOff>0</xdr:rowOff>
    </xdr:from>
    <xdr:to>
      <xdr:col>6</xdr:col>
      <xdr:colOff>199250</xdr:colOff>
      <xdr:row>1</xdr:row>
      <xdr:rowOff>19329</xdr:rowOff>
    </xdr:to>
    <xdr:sp macro="" textlink="">
      <xdr:nvSpPr>
        <xdr:cNvPr id="3" name="2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 bwMode="auto">
        <a:xfrm>
          <a:off x="3310350" y="0"/>
          <a:ext cx="90527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tx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199850</xdr:colOff>
      <xdr:row>0</xdr:row>
      <xdr:rowOff>0</xdr:rowOff>
    </xdr:from>
    <xdr:to>
      <xdr:col>7</xdr:col>
      <xdr:colOff>463775</xdr:colOff>
      <xdr:row>1</xdr:row>
      <xdr:rowOff>19329</xdr:rowOff>
    </xdr:to>
    <xdr:sp macro="" textlink="">
      <xdr:nvSpPr>
        <xdr:cNvPr id="4" name="3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 bwMode="auto">
        <a:xfrm>
          <a:off x="4216225" y="0"/>
          <a:ext cx="90527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tx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7</xdr:col>
      <xdr:colOff>464375</xdr:colOff>
      <xdr:row>0</xdr:row>
      <xdr:rowOff>0</xdr:rowOff>
    </xdr:from>
    <xdr:to>
      <xdr:col>9</xdr:col>
      <xdr:colOff>80619</xdr:colOff>
      <xdr:row>1</xdr:row>
      <xdr:rowOff>19329</xdr:rowOff>
    </xdr:to>
    <xdr:sp macro="" textlink="">
      <xdr:nvSpPr>
        <xdr:cNvPr id="5" name="4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 bwMode="auto">
        <a:xfrm>
          <a:off x="5122100" y="0"/>
          <a:ext cx="898944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tx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8</xdr:col>
      <xdr:colOff>160256</xdr:colOff>
      <xdr:row>0</xdr:row>
      <xdr:rowOff>0</xdr:rowOff>
    </xdr:from>
    <xdr:to>
      <xdr:col>9</xdr:col>
      <xdr:colOff>370669</xdr:colOff>
      <xdr:row>1</xdr:row>
      <xdr:rowOff>19329</xdr:rowOff>
    </xdr:to>
    <xdr:sp macro="" textlink="">
      <xdr:nvSpPr>
        <xdr:cNvPr id="6" name="5 Rectángulo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 bwMode="auto">
        <a:xfrm>
          <a:off x="5226052" y="0"/>
          <a:ext cx="822018" cy="20982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Oriente</a:t>
          </a:r>
          <a:r>
            <a:rPr lang="es-ES_tradnl" sz="1000" u="none" baseline="0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 Medio</a:t>
          </a:r>
          <a:endParaRPr lang="es-ES_tradnl" sz="1000" u="none">
            <a:ln>
              <a:noFill/>
            </a:ln>
            <a:solidFill>
              <a:schemeClr val="tx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8</xdr:col>
      <xdr:colOff>160256</xdr:colOff>
      <xdr:row>1</xdr:row>
      <xdr:rowOff>22225</xdr:rowOff>
    </xdr:from>
    <xdr:to>
      <xdr:col>9</xdr:col>
      <xdr:colOff>370669</xdr:colOff>
      <xdr:row>1</xdr:row>
      <xdr:rowOff>58225</xdr:rowOff>
    </xdr:to>
    <xdr:sp macro="" textlink="">
      <xdr:nvSpPr>
        <xdr:cNvPr id="13" name="12 Rectángulo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 bwMode="auto">
        <a:xfrm>
          <a:off x="5226052" y="212725"/>
          <a:ext cx="822018" cy="3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ln>
              <a:noFill/>
            </a:ln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311550</xdr:colOff>
      <xdr:row>1</xdr:row>
      <xdr:rowOff>19329</xdr:rowOff>
    </xdr:to>
    <xdr:sp macro="" textlink="">
      <xdr:nvSpPr>
        <xdr:cNvPr id="16" name="15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 bwMode="auto">
        <a:xfrm>
          <a:off x="1498600" y="0"/>
          <a:ext cx="90527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2</xdr:col>
      <xdr:colOff>0</xdr:colOff>
      <xdr:row>1</xdr:row>
      <xdr:rowOff>22225</xdr:rowOff>
    </xdr:from>
    <xdr:to>
      <xdr:col>3</xdr:col>
      <xdr:colOff>311550</xdr:colOff>
      <xdr:row>1</xdr:row>
      <xdr:rowOff>58225</xdr:rowOff>
    </xdr:to>
    <xdr:sp macro="" textlink="">
      <xdr:nvSpPr>
        <xdr:cNvPr id="17" name="16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 bwMode="auto">
        <a:xfrm>
          <a:off x="1498600" y="212725"/>
          <a:ext cx="905275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95250</xdr:rowOff>
    </xdr:from>
    <xdr:to>
      <xdr:col>1</xdr:col>
      <xdr:colOff>596900</xdr:colOff>
      <xdr:row>2</xdr:row>
      <xdr:rowOff>266700</xdr:rowOff>
    </xdr:to>
    <xdr:grpSp>
      <xdr:nvGrpSpPr>
        <xdr:cNvPr id="18" name="Group 3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20800" cy="457200"/>
          <a:chOff x="10" y="0"/>
          <a:chExt cx="140" cy="47"/>
        </a:xfrm>
      </xdr:grpSpPr>
      <xdr:sp macro="" textlink="">
        <xdr:nvSpPr>
          <xdr:cNvPr id="19" name="AutoShape 2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20" name="Freeform 4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1" name="Freeform 5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2" name="Freeform 6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3" name="Freeform 7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4" name="Freeform 8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5" name="Freeform 9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6" name="Freeform 10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3</xdr:col>
      <xdr:colOff>295275</xdr:colOff>
      <xdr:row>0</xdr:row>
      <xdr:rowOff>0</xdr:rowOff>
    </xdr:from>
    <xdr:to>
      <xdr:col>4</xdr:col>
      <xdr:colOff>565550</xdr:colOff>
      <xdr:row>1</xdr:row>
      <xdr:rowOff>19329</xdr:rowOff>
    </xdr:to>
    <xdr:sp macro="" textlink="">
      <xdr:nvSpPr>
        <xdr:cNvPr id="27" name="26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 bwMode="auto">
        <a:xfrm>
          <a:off x="2387600" y="0"/>
          <a:ext cx="911625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África</a:t>
          </a:r>
        </a:p>
      </xdr:txBody>
    </xdr:sp>
    <xdr:clientData/>
  </xdr:twoCellAnchor>
  <xdr:twoCellAnchor editAs="absolute">
    <xdr:from>
      <xdr:col>4</xdr:col>
      <xdr:colOff>559800</xdr:colOff>
      <xdr:row>0</xdr:row>
      <xdr:rowOff>0</xdr:rowOff>
    </xdr:from>
    <xdr:to>
      <xdr:col>6</xdr:col>
      <xdr:colOff>188656</xdr:colOff>
      <xdr:row>1</xdr:row>
      <xdr:rowOff>19329</xdr:rowOff>
    </xdr:to>
    <xdr:sp macro="" textlink="">
      <xdr:nvSpPr>
        <xdr:cNvPr id="28" name="27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 bwMode="auto">
        <a:xfrm>
          <a:off x="3293475" y="0"/>
          <a:ext cx="911556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América</a:t>
          </a:r>
        </a:p>
      </xdr:txBody>
    </xdr:sp>
    <xdr:clientData/>
  </xdr:twoCellAnchor>
  <xdr:twoCellAnchor editAs="absolute">
    <xdr:from>
      <xdr:col>6</xdr:col>
      <xdr:colOff>189324</xdr:colOff>
      <xdr:row>0</xdr:row>
      <xdr:rowOff>0</xdr:rowOff>
    </xdr:from>
    <xdr:to>
      <xdr:col>8</xdr:col>
      <xdr:colOff>158124</xdr:colOff>
      <xdr:row>1</xdr:row>
      <xdr:rowOff>19329</xdr:rowOff>
    </xdr:to>
    <xdr:sp macro="" textlink="">
      <xdr:nvSpPr>
        <xdr:cNvPr id="29" name="28 Rectángul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 bwMode="auto">
        <a:xfrm>
          <a:off x="4027899" y="0"/>
          <a:ext cx="118800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Europa y Euroasia</a:t>
          </a:r>
        </a:p>
      </xdr:txBody>
    </xdr:sp>
    <xdr:clientData/>
  </xdr:twoCellAnchor>
  <xdr:twoCellAnchor editAs="absolute">
    <xdr:from>
      <xdr:col>3</xdr:col>
      <xdr:colOff>295275</xdr:colOff>
      <xdr:row>1</xdr:row>
      <xdr:rowOff>22225</xdr:rowOff>
    </xdr:from>
    <xdr:to>
      <xdr:col>4</xdr:col>
      <xdr:colOff>565550</xdr:colOff>
      <xdr:row>1</xdr:row>
      <xdr:rowOff>58225</xdr:rowOff>
    </xdr:to>
    <xdr:sp macro="" textlink="">
      <xdr:nvSpPr>
        <xdr:cNvPr id="30" name="29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 bwMode="auto">
        <a:xfrm>
          <a:off x="2387600" y="212725"/>
          <a:ext cx="911625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559800</xdr:colOff>
      <xdr:row>1</xdr:row>
      <xdr:rowOff>22225</xdr:rowOff>
    </xdr:from>
    <xdr:to>
      <xdr:col>6</xdr:col>
      <xdr:colOff>188656</xdr:colOff>
      <xdr:row>1</xdr:row>
      <xdr:rowOff>58225</xdr:rowOff>
    </xdr:to>
    <xdr:sp macro="" textlink="">
      <xdr:nvSpPr>
        <xdr:cNvPr id="31" name="30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 bwMode="auto">
        <a:xfrm>
          <a:off x="3293475" y="212725"/>
          <a:ext cx="911556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189324</xdr:colOff>
      <xdr:row>1</xdr:row>
      <xdr:rowOff>22225</xdr:rowOff>
    </xdr:from>
    <xdr:to>
      <xdr:col>8</xdr:col>
      <xdr:colOff>158124</xdr:colOff>
      <xdr:row>1</xdr:row>
      <xdr:rowOff>58225</xdr:rowOff>
    </xdr:to>
    <xdr:sp macro="" textlink="">
      <xdr:nvSpPr>
        <xdr:cNvPr id="32" name="31 Rectángul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 bwMode="auto">
        <a:xfrm>
          <a:off x="4027899" y="212725"/>
          <a:ext cx="1188000" cy="36000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11</xdr:col>
      <xdr:colOff>186970</xdr:colOff>
      <xdr:row>0</xdr:row>
      <xdr:rowOff>0</xdr:rowOff>
    </xdr:from>
    <xdr:to>
      <xdr:col>12</xdr:col>
      <xdr:colOff>320726</xdr:colOff>
      <xdr:row>1</xdr:row>
      <xdr:rowOff>19329</xdr:rowOff>
    </xdr:to>
    <xdr:sp macro="" textlink="">
      <xdr:nvSpPr>
        <xdr:cNvPr id="47" name="46 Rectángul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 bwMode="auto">
        <a:xfrm>
          <a:off x="7087582" y="0"/>
          <a:ext cx="875703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11</xdr:col>
      <xdr:colOff>186970</xdr:colOff>
      <xdr:row>1</xdr:row>
      <xdr:rowOff>22225</xdr:rowOff>
    </xdr:from>
    <xdr:to>
      <xdr:col>12</xdr:col>
      <xdr:colOff>320726</xdr:colOff>
      <xdr:row>1</xdr:row>
      <xdr:rowOff>58225</xdr:rowOff>
    </xdr:to>
    <xdr:sp macro="" textlink="">
      <xdr:nvSpPr>
        <xdr:cNvPr id="48" name="47 Rectángulo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 bwMode="auto">
        <a:xfrm>
          <a:off x="7087582" y="212725"/>
          <a:ext cx="875703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9</xdr:col>
      <xdr:colOff>375518</xdr:colOff>
      <xdr:row>0</xdr:row>
      <xdr:rowOff>0</xdr:rowOff>
    </xdr:from>
    <xdr:to>
      <xdr:col>11</xdr:col>
      <xdr:colOff>189325</xdr:colOff>
      <xdr:row>1</xdr:row>
      <xdr:rowOff>19329</xdr:rowOff>
    </xdr:to>
    <xdr:sp macro="" textlink="">
      <xdr:nvSpPr>
        <xdr:cNvPr id="49" name="48 Rectángul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 bwMode="auto">
        <a:xfrm>
          <a:off x="6052919" y="0"/>
          <a:ext cx="1037018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Asia-Pacífico</a:t>
          </a:r>
        </a:p>
      </xdr:txBody>
    </xdr:sp>
    <xdr:clientData/>
  </xdr:twoCellAnchor>
  <xdr:twoCellAnchor editAs="absolute">
    <xdr:from>
      <xdr:col>9</xdr:col>
      <xdr:colOff>375518</xdr:colOff>
      <xdr:row>1</xdr:row>
      <xdr:rowOff>22225</xdr:rowOff>
    </xdr:from>
    <xdr:to>
      <xdr:col>11</xdr:col>
      <xdr:colOff>189325</xdr:colOff>
      <xdr:row>1</xdr:row>
      <xdr:rowOff>58225</xdr:rowOff>
    </xdr:to>
    <xdr:sp macro="" textlink="">
      <xdr:nvSpPr>
        <xdr:cNvPr id="50" name="49 Rectángul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 bwMode="auto">
        <a:xfrm>
          <a:off x="6052919" y="212725"/>
          <a:ext cx="1037018" cy="36000"/>
        </a:xfrm>
        <a:prstGeom prst="rect">
          <a:avLst/>
        </a:prstGeom>
        <a:solidFill>
          <a:schemeClr val="bg2">
            <a:lumMod val="5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accent6">
                <a:lumMod val="60000"/>
                <a:lumOff val="40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239125</xdr:colOff>
      <xdr:row>0</xdr:row>
      <xdr:rowOff>0</xdr:rowOff>
    </xdr:from>
    <xdr:to>
      <xdr:col>4</xdr:col>
      <xdr:colOff>477650</xdr:colOff>
      <xdr:row>1</xdr:row>
      <xdr:rowOff>19329</xdr:rowOff>
    </xdr:to>
    <xdr:sp macro="" textlink="">
      <xdr:nvSpPr>
        <xdr:cNvPr id="2" name="1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 bwMode="auto">
        <a:xfrm>
          <a:off x="2404475" y="0"/>
          <a:ext cx="905275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África</a:t>
          </a:r>
        </a:p>
      </xdr:txBody>
    </xdr:sp>
    <xdr:clientData/>
  </xdr:twoCellAnchor>
  <xdr:twoCellAnchor editAs="absolute">
    <xdr:from>
      <xdr:col>4</xdr:col>
      <xdr:colOff>478250</xdr:colOff>
      <xdr:row>0</xdr:row>
      <xdr:rowOff>0</xdr:rowOff>
    </xdr:from>
    <xdr:to>
      <xdr:col>6</xdr:col>
      <xdr:colOff>50025</xdr:colOff>
      <xdr:row>1</xdr:row>
      <xdr:rowOff>19329</xdr:rowOff>
    </xdr:to>
    <xdr:sp macro="" textlink="">
      <xdr:nvSpPr>
        <xdr:cNvPr id="3" name="2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 bwMode="auto">
        <a:xfrm>
          <a:off x="3310350" y="0"/>
          <a:ext cx="90527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América</a:t>
          </a:r>
        </a:p>
      </xdr:txBody>
    </xdr:sp>
    <xdr:clientData/>
  </xdr:twoCellAnchor>
  <xdr:twoCellAnchor editAs="absolute">
    <xdr:from>
      <xdr:col>6</xdr:col>
      <xdr:colOff>50624</xdr:colOff>
      <xdr:row>0</xdr:row>
      <xdr:rowOff>0</xdr:rowOff>
    </xdr:from>
    <xdr:to>
      <xdr:col>7</xdr:col>
      <xdr:colOff>600449</xdr:colOff>
      <xdr:row>1</xdr:row>
      <xdr:rowOff>19329</xdr:rowOff>
    </xdr:to>
    <xdr:sp macro="" textlink="">
      <xdr:nvSpPr>
        <xdr:cNvPr id="4" name="3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 bwMode="auto">
        <a:xfrm>
          <a:off x="4051124" y="0"/>
          <a:ext cx="118800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Europa y Euroasia</a:t>
          </a:r>
        </a:p>
      </xdr:txBody>
    </xdr:sp>
    <xdr:clientData/>
  </xdr:twoCellAnchor>
  <xdr:twoCellAnchor editAs="absolute">
    <xdr:from>
      <xdr:col>7</xdr:col>
      <xdr:colOff>605745</xdr:colOff>
      <xdr:row>0</xdr:row>
      <xdr:rowOff>0</xdr:rowOff>
    </xdr:from>
    <xdr:to>
      <xdr:col>8</xdr:col>
      <xdr:colOff>637898</xdr:colOff>
      <xdr:row>1</xdr:row>
      <xdr:rowOff>19329</xdr:rowOff>
    </xdr:to>
    <xdr:sp macro="" textlink="">
      <xdr:nvSpPr>
        <xdr:cNvPr id="6" name="5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5235898" y="0"/>
          <a:ext cx="830247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Oriente</a:t>
          </a:r>
          <a:r>
            <a:rPr lang="es-ES_tradnl" sz="1000" u="none" baseline="0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 Medio</a:t>
          </a:r>
          <a:endParaRPr lang="es-ES_tradnl" sz="1000" u="none">
            <a:ln>
              <a:noFill/>
            </a:ln>
            <a:solidFill>
              <a:schemeClr val="tx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8</xdr:col>
      <xdr:colOff>637097</xdr:colOff>
      <xdr:row>0</xdr:row>
      <xdr:rowOff>0</xdr:rowOff>
    </xdr:from>
    <xdr:to>
      <xdr:col>10</xdr:col>
      <xdr:colOff>51389</xdr:colOff>
      <xdr:row>1</xdr:row>
      <xdr:rowOff>19329</xdr:rowOff>
    </xdr:to>
    <xdr:sp macro="" textlink="">
      <xdr:nvSpPr>
        <xdr:cNvPr id="7" name="6 Rectángulo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6065344" y="0"/>
          <a:ext cx="1031537" cy="209829"/>
        </a:xfrm>
        <a:prstGeom prst="rect">
          <a:avLst/>
        </a:prstGeom>
        <a:solidFill>
          <a:schemeClr val="bg2">
            <a:lumMod val="5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Asia-Pacífico</a:t>
          </a:r>
        </a:p>
      </xdr:txBody>
    </xdr:sp>
    <xdr:clientData/>
  </xdr:twoCellAnchor>
  <xdr:twoCellAnchor editAs="absolute">
    <xdr:from>
      <xdr:col>3</xdr:col>
      <xdr:colOff>239125</xdr:colOff>
      <xdr:row>1</xdr:row>
      <xdr:rowOff>22225</xdr:rowOff>
    </xdr:from>
    <xdr:to>
      <xdr:col>4</xdr:col>
      <xdr:colOff>477650</xdr:colOff>
      <xdr:row>1</xdr:row>
      <xdr:rowOff>58225</xdr:rowOff>
    </xdr:to>
    <xdr:sp macro="" textlink="">
      <xdr:nvSpPr>
        <xdr:cNvPr id="9" name="8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 bwMode="auto">
        <a:xfrm>
          <a:off x="2404475" y="212725"/>
          <a:ext cx="905275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478250</xdr:colOff>
      <xdr:row>1</xdr:row>
      <xdr:rowOff>22225</xdr:rowOff>
    </xdr:from>
    <xdr:to>
      <xdr:col>6</xdr:col>
      <xdr:colOff>50025</xdr:colOff>
      <xdr:row>1</xdr:row>
      <xdr:rowOff>58225</xdr:rowOff>
    </xdr:to>
    <xdr:sp macro="" textlink="">
      <xdr:nvSpPr>
        <xdr:cNvPr id="10" name="9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 bwMode="auto">
        <a:xfrm>
          <a:off x="3310350" y="212725"/>
          <a:ext cx="905275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50624</xdr:colOff>
      <xdr:row>1</xdr:row>
      <xdr:rowOff>22225</xdr:rowOff>
    </xdr:from>
    <xdr:to>
      <xdr:col>7</xdr:col>
      <xdr:colOff>600449</xdr:colOff>
      <xdr:row>1</xdr:row>
      <xdr:rowOff>58225</xdr:rowOff>
    </xdr:to>
    <xdr:sp macro="" textlink="">
      <xdr:nvSpPr>
        <xdr:cNvPr id="11" name="10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 bwMode="auto">
        <a:xfrm>
          <a:off x="4051124" y="212725"/>
          <a:ext cx="1188000" cy="36000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7</xdr:col>
      <xdr:colOff>605745</xdr:colOff>
      <xdr:row>1</xdr:row>
      <xdr:rowOff>22225</xdr:rowOff>
    </xdr:from>
    <xdr:to>
      <xdr:col>8</xdr:col>
      <xdr:colOff>637898</xdr:colOff>
      <xdr:row>1</xdr:row>
      <xdr:rowOff>58225</xdr:rowOff>
    </xdr:to>
    <xdr:sp macro="" textlink="">
      <xdr:nvSpPr>
        <xdr:cNvPr id="13" name="12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 bwMode="auto">
        <a:xfrm>
          <a:off x="5235898" y="212725"/>
          <a:ext cx="830247" cy="3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ln>
              <a:noFill/>
            </a:ln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8</xdr:col>
      <xdr:colOff>637097</xdr:colOff>
      <xdr:row>1</xdr:row>
      <xdr:rowOff>22225</xdr:rowOff>
    </xdr:from>
    <xdr:to>
      <xdr:col>10</xdr:col>
      <xdr:colOff>51389</xdr:colOff>
      <xdr:row>1</xdr:row>
      <xdr:rowOff>58225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 bwMode="auto">
        <a:xfrm>
          <a:off x="6065344" y="212725"/>
          <a:ext cx="1031537" cy="36000"/>
        </a:xfrm>
        <a:prstGeom prst="rect">
          <a:avLst/>
        </a:prstGeom>
        <a:solidFill>
          <a:schemeClr val="bg2">
            <a:lumMod val="5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accent6">
                <a:lumMod val="60000"/>
                <a:lumOff val="40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238525</xdr:colOff>
      <xdr:row>1</xdr:row>
      <xdr:rowOff>19329</xdr:rowOff>
    </xdr:to>
    <xdr:sp macro="" textlink="">
      <xdr:nvSpPr>
        <xdr:cNvPr id="16" name="15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 bwMode="auto">
        <a:xfrm>
          <a:off x="1498600" y="0"/>
          <a:ext cx="90527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2</xdr:col>
      <xdr:colOff>0</xdr:colOff>
      <xdr:row>1</xdr:row>
      <xdr:rowOff>22225</xdr:rowOff>
    </xdr:from>
    <xdr:to>
      <xdr:col>3</xdr:col>
      <xdr:colOff>238525</xdr:colOff>
      <xdr:row>1</xdr:row>
      <xdr:rowOff>58225</xdr:rowOff>
    </xdr:to>
    <xdr:sp macro="" textlink="">
      <xdr:nvSpPr>
        <xdr:cNvPr id="17" name="16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 bwMode="auto">
        <a:xfrm>
          <a:off x="1498600" y="212725"/>
          <a:ext cx="905275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95250</xdr:rowOff>
    </xdr:from>
    <xdr:to>
      <xdr:col>1</xdr:col>
      <xdr:colOff>596900</xdr:colOff>
      <xdr:row>2</xdr:row>
      <xdr:rowOff>266700</xdr:rowOff>
    </xdr:to>
    <xdr:grpSp>
      <xdr:nvGrpSpPr>
        <xdr:cNvPr id="18" name="Group 3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20800" cy="457200"/>
          <a:chOff x="10" y="0"/>
          <a:chExt cx="140" cy="47"/>
        </a:xfrm>
      </xdr:grpSpPr>
      <xdr:sp macro="" textlink="">
        <xdr:nvSpPr>
          <xdr:cNvPr id="19" name="AutoShape 2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20" name="Freeform 4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1" name="Freeform 5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2" name="Freeform 6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3" name="Freeform 7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4" name="Freeform 8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5" name="Freeform 9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6" name="Freeform 10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10</xdr:col>
      <xdr:colOff>52952</xdr:colOff>
      <xdr:row>0</xdr:row>
      <xdr:rowOff>0</xdr:rowOff>
    </xdr:from>
    <xdr:to>
      <xdr:col>11</xdr:col>
      <xdr:colOff>163310</xdr:colOff>
      <xdr:row>1</xdr:row>
      <xdr:rowOff>19329</xdr:rowOff>
    </xdr:to>
    <xdr:sp macro="" textlink="">
      <xdr:nvSpPr>
        <xdr:cNvPr id="32" name="31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 bwMode="auto">
        <a:xfrm>
          <a:off x="7098444" y="0"/>
          <a:ext cx="830248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10</xdr:col>
      <xdr:colOff>52952</xdr:colOff>
      <xdr:row>1</xdr:row>
      <xdr:rowOff>22225</xdr:rowOff>
    </xdr:from>
    <xdr:to>
      <xdr:col>11</xdr:col>
      <xdr:colOff>163310</xdr:colOff>
      <xdr:row>1</xdr:row>
      <xdr:rowOff>58225</xdr:rowOff>
    </xdr:to>
    <xdr:sp macro="" textlink="">
      <xdr:nvSpPr>
        <xdr:cNvPr id="33" name="32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 bwMode="auto">
        <a:xfrm>
          <a:off x="7098444" y="212725"/>
          <a:ext cx="830248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22560</xdr:colOff>
      <xdr:row>0</xdr:row>
      <xdr:rowOff>3727</xdr:rowOff>
    </xdr:from>
    <xdr:to>
      <xdr:col>3</xdr:col>
      <xdr:colOff>203893</xdr:colOff>
      <xdr:row>1</xdr:row>
      <xdr:rowOff>51631</xdr:rowOff>
    </xdr:to>
    <xdr:sp macro="" textlink="">
      <xdr:nvSpPr>
        <xdr:cNvPr id="11" name="10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 bwMode="auto">
        <a:xfrm>
          <a:off x="1518577" y="3727"/>
          <a:ext cx="901627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10</xdr:col>
      <xdr:colOff>515842</xdr:colOff>
      <xdr:row>0</xdr:row>
      <xdr:rowOff>3727</xdr:rowOff>
    </xdr:from>
    <xdr:to>
      <xdr:col>11</xdr:col>
      <xdr:colOff>627406</xdr:colOff>
      <xdr:row>1</xdr:row>
      <xdr:rowOff>51631</xdr:rowOff>
    </xdr:to>
    <xdr:sp macro="" textlink="">
      <xdr:nvSpPr>
        <xdr:cNvPr id="10" name="9 Rectángulo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 bwMode="auto">
        <a:xfrm>
          <a:off x="7126731" y="3727"/>
          <a:ext cx="867274" cy="209829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2</xdr:col>
      <xdr:colOff>22560</xdr:colOff>
      <xdr:row>1</xdr:row>
      <xdr:rowOff>54527</xdr:rowOff>
    </xdr:from>
    <xdr:to>
      <xdr:col>3</xdr:col>
      <xdr:colOff>203893</xdr:colOff>
      <xdr:row>1</xdr:row>
      <xdr:rowOff>90527</xdr:rowOff>
    </xdr:to>
    <xdr:sp macro="" textlink="">
      <xdr:nvSpPr>
        <xdr:cNvPr id="23" name="22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 bwMode="auto">
        <a:xfrm>
          <a:off x="1518577" y="216452"/>
          <a:ext cx="901627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10</xdr:col>
      <xdr:colOff>515842</xdr:colOff>
      <xdr:row>1</xdr:row>
      <xdr:rowOff>53457</xdr:rowOff>
    </xdr:from>
    <xdr:to>
      <xdr:col>11</xdr:col>
      <xdr:colOff>627406</xdr:colOff>
      <xdr:row>1</xdr:row>
      <xdr:rowOff>89457</xdr:rowOff>
    </xdr:to>
    <xdr:sp macro="" textlink="">
      <xdr:nvSpPr>
        <xdr:cNvPr id="24" name="23 Rectángulo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 bwMode="auto">
        <a:xfrm>
          <a:off x="7126731" y="215382"/>
          <a:ext cx="867274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123825</xdr:rowOff>
    </xdr:from>
    <xdr:to>
      <xdr:col>1</xdr:col>
      <xdr:colOff>596900</xdr:colOff>
      <xdr:row>2</xdr:row>
      <xdr:rowOff>295275</xdr:rowOff>
    </xdr:to>
    <xdr:grpSp>
      <xdr:nvGrpSpPr>
        <xdr:cNvPr id="44148" name="Group 3">
          <a:extLst>
            <a:ext uri="{FF2B5EF4-FFF2-40B4-BE49-F238E27FC236}">
              <a16:creationId xmlns:a16="http://schemas.microsoft.com/office/drawing/2014/main" id="{00000000-0008-0000-0600-000074AC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20800" cy="457200"/>
          <a:chOff x="10" y="0"/>
          <a:chExt cx="140" cy="47"/>
        </a:xfrm>
      </xdr:grpSpPr>
      <xdr:sp macro="" textlink="">
        <xdr:nvSpPr>
          <xdr:cNvPr id="44149" name="AutoShape 2">
            <a:extLst>
              <a:ext uri="{FF2B5EF4-FFF2-40B4-BE49-F238E27FC236}">
                <a16:creationId xmlns:a16="http://schemas.microsoft.com/office/drawing/2014/main" id="{00000000-0008-0000-0600-000075AC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44150" name="Freeform 4">
            <a:extLst>
              <a:ext uri="{FF2B5EF4-FFF2-40B4-BE49-F238E27FC236}">
                <a16:creationId xmlns:a16="http://schemas.microsoft.com/office/drawing/2014/main" id="{00000000-0008-0000-0600-000076AC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1" name="Freeform 5">
            <a:extLst>
              <a:ext uri="{FF2B5EF4-FFF2-40B4-BE49-F238E27FC236}">
                <a16:creationId xmlns:a16="http://schemas.microsoft.com/office/drawing/2014/main" id="{00000000-0008-0000-0600-000077AC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2" name="Freeform 6">
            <a:extLst>
              <a:ext uri="{FF2B5EF4-FFF2-40B4-BE49-F238E27FC236}">
                <a16:creationId xmlns:a16="http://schemas.microsoft.com/office/drawing/2014/main" id="{00000000-0008-0000-0600-000078AC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3" name="Freeform 7">
            <a:extLst>
              <a:ext uri="{FF2B5EF4-FFF2-40B4-BE49-F238E27FC236}">
                <a16:creationId xmlns:a16="http://schemas.microsoft.com/office/drawing/2014/main" id="{00000000-0008-0000-0600-000079AC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4" name="Freeform 8">
            <a:extLst>
              <a:ext uri="{FF2B5EF4-FFF2-40B4-BE49-F238E27FC236}">
                <a16:creationId xmlns:a16="http://schemas.microsoft.com/office/drawing/2014/main" id="{00000000-0008-0000-0600-00007AAC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5" name="Freeform 9">
            <a:extLst>
              <a:ext uri="{FF2B5EF4-FFF2-40B4-BE49-F238E27FC236}">
                <a16:creationId xmlns:a16="http://schemas.microsoft.com/office/drawing/2014/main" id="{00000000-0008-0000-0600-00007BAC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44156" name="Freeform 10">
            <a:extLst>
              <a:ext uri="{FF2B5EF4-FFF2-40B4-BE49-F238E27FC236}">
                <a16:creationId xmlns:a16="http://schemas.microsoft.com/office/drawing/2014/main" id="{00000000-0008-0000-0600-00007CAC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3</xdr:col>
      <xdr:colOff>202638</xdr:colOff>
      <xdr:row>0</xdr:row>
      <xdr:rowOff>2657</xdr:rowOff>
    </xdr:from>
    <xdr:to>
      <xdr:col>4</xdr:col>
      <xdr:colOff>441163</xdr:colOff>
      <xdr:row>1</xdr:row>
      <xdr:rowOff>50561</xdr:rowOff>
    </xdr:to>
    <xdr:sp macro="" textlink="">
      <xdr:nvSpPr>
        <xdr:cNvPr id="38" name="37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 bwMode="auto">
        <a:xfrm>
          <a:off x="2418949" y="2657"/>
          <a:ext cx="911195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África</a:t>
          </a:r>
        </a:p>
      </xdr:txBody>
    </xdr:sp>
    <xdr:clientData/>
  </xdr:twoCellAnchor>
  <xdr:twoCellAnchor editAs="absolute">
    <xdr:from>
      <xdr:col>4</xdr:col>
      <xdr:colOff>435413</xdr:colOff>
      <xdr:row>0</xdr:row>
      <xdr:rowOff>2657</xdr:rowOff>
    </xdr:from>
    <xdr:to>
      <xdr:col>6</xdr:col>
      <xdr:colOff>1199</xdr:colOff>
      <xdr:row>1</xdr:row>
      <xdr:rowOff>50561</xdr:rowOff>
    </xdr:to>
    <xdr:sp macro="" textlink="">
      <xdr:nvSpPr>
        <xdr:cNvPr id="39" name="38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 bwMode="auto">
        <a:xfrm>
          <a:off x="3324394" y="2657"/>
          <a:ext cx="91112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América</a:t>
          </a:r>
        </a:p>
      </xdr:txBody>
    </xdr:sp>
    <xdr:clientData/>
  </xdr:twoCellAnchor>
  <xdr:twoCellAnchor editAs="absolute">
    <xdr:from>
      <xdr:col>6</xdr:col>
      <xdr:colOff>1868</xdr:colOff>
      <xdr:row>0</xdr:row>
      <xdr:rowOff>2657</xdr:rowOff>
    </xdr:from>
    <xdr:to>
      <xdr:col>7</xdr:col>
      <xdr:colOff>551693</xdr:colOff>
      <xdr:row>1</xdr:row>
      <xdr:rowOff>50561</xdr:rowOff>
    </xdr:to>
    <xdr:sp macro="" textlink="">
      <xdr:nvSpPr>
        <xdr:cNvPr id="40" name="39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 bwMode="auto">
        <a:xfrm>
          <a:off x="4049993" y="2657"/>
          <a:ext cx="1188000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Europa y Euroasia</a:t>
          </a:r>
        </a:p>
      </xdr:txBody>
    </xdr:sp>
    <xdr:clientData/>
  </xdr:twoCellAnchor>
  <xdr:twoCellAnchor editAs="absolute">
    <xdr:from>
      <xdr:col>7</xdr:col>
      <xdr:colOff>555469</xdr:colOff>
      <xdr:row>0</xdr:row>
      <xdr:rowOff>2657</xdr:rowOff>
    </xdr:from>
    <xdr:to>
      <xdr:col>9</xdr:col>
      <xdr:colOff>146033</xdr:colOff>
      <xdr:row>1</xdr:row>
      <xdr:rowOff>50561</xdr:rowOff>
    </xdr:to>
    <xdr:sp macro="" textlink="">
      <xdr:nvSpPr>
        <xdr:cNvPr id="41" name="40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 bwMode="auto">
        <a:xfrm>
          <a:off x="5246981" y="2657"/>
          <a:ext cx="870149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ln>
                <a:noFill/>
              </a:ln>
              <a:solidFill>
                <a:schemeClr val="tx1"/>
              </a:solidFill>
              <a:latin typeface="Arial" pitchFamily="34" charset="0"/>
              <a:cs typeface="Arial" pitchFamily="34" charset="0"/>
            </a:rPr>
            <a:t>Oriente Medio</a:t>
          </a:r>
        </a:p>
      </xdr:txBody>
    </xdr:sp>
    <xdr:clientData/>
  </xdr:twoCellAnchor>
  <xdr:twoCellAnchor editAs="absolute">
    <xdr:from>
      <xdr:col>3</xdr:col>
      <xdr:colOff>202638</xdr:colOff>
      <xdr:row>1</xdr:row>
      <xdr:rowOff>53457</xdr:rowOff>
    </xdr:from>
    <xdr:to>
      <xdr:col>4</xdr:col>
      <xdr:colOff>441163</xdr:colOff>
      <xdr:row>1</xdr:row>
      <xdr:rowOff>89457</xdr:rowOff>
    </xdr:to>
    <xdr:sp macro="" textlink="">
      <xdr:nvSpPr>
        <xdr:cNvPr id="42" name="41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/>
      </xdr:nvSpPr>
      <xdr:spPr bwMode="auto">
        <a:xfrm>
          <a:off x="2418949" y="215382"/>
          <a:ext cx="911195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435413</xdr:colOff>
      <xdr:row>1</xdr:row>
      <xdr:rowOff>53457</xdr:rowOff>
    </xdr:from>
    <xdr:to>
      <xdr:col>6</xdr:col>
      <xdr:colOff>1199</xdr:colOff>
      <xdr:row>1</xdr:row>
      <xdr:rowOff>89457</xdr:rowOff>
    </xdr:to>
    <xdr:sp macro="" textlink="">
      <xdr:nvSpPr>
        <xdr:cNvPr id="43" name="42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 bwMode="auto">
        <a:xfrm>
          <a:off x="3324394" y="215382"/>
          <a:ext cx="911125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6</xdr:col>
      <xdr:colOff>1868</xdr:colOff>
      <xdr:row>1</xdr:row>
      <xdr:rowOff>53457</xdr:rowOff>
    </xdr:from>
    <xdr:to>
      <xdr:col>7</xdr:col>
      <xdr:colOff>551693</xdr:colOff>
      <xdr:row>1</xdr:row>
      <xdr:rowOff>89457</xdr:rowOff>
    </xdr:to>
    <xdr:sp macro="" textlink="">
      <xdr:nvSpPr>
        <xdr:cNvPr id="44" name="43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 bwMode="auto">
        <a:xfrm>
          <a:off x="4049993" y="215382"/>
          <a:ext cx="1188000" cy="36000"/>
        </a:xfrm>
        <a:prstGeom prst="rect">
          <a:avLst/>
        </a:prstGeom>
        <a:solidFill>
          <a:schemeClr val="accent4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7</xdr:col>
      <xdr:colOff>555469</xdr:colOff>
      <xdr:row>1</xdr:row>
      <xdr:rowOff>53457</xdr:rowOff>
    </xdr:from>
    <xdr:to>
      <xdr:col>9</xdr:col>
      <xdr:colOff>146033</xdr:colOff>
      <xdr:row>1</xdr:row>
      <xdr:rowOff>89457</xdr:rowOff>
    </xdr:to>
    <xdr:sp macro="" textlink="">
      <xdr:nvSpPr>
        <xdr:cNvPr id="45" name="44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 bwMode="auto">
        <a:xfrm>
          <a:off x="5246981" y="215382"/>
          <a:ext cx="870149" cy="3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ln>
              <a:noFill/>
            </a:ln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9</xdr:col>
      <xdr:colOff>145631</xdr:colOff>
      <xdr:row>0</xdr:row>
      <xdr:rowOff>2657</xdr:rowOff>
    </xdr:from>
    <xdr:to>
      <xdr:col>10</xdr:col>
      <xdr:colOff>514428</xdr:colOff>
      <xdr:row>1</xdr:row>
      <xdr:rowOff>50561</xdr:rowOff>
    </xdr:to>
    <xdr:sp macro="" textlink="">
      <xdr:nvSpPr>
        <xdr:cNvPr id="49" name="48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/>
      </xdr:nvSpPr>
      <xdr:spPr bwMode="auto">
        <a:xfrm>
          <a:off x="6116728" y="2657"/>
          <a:ext cx="1008589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Asia-Pacífico</a:t>
          </a:r>
        </a:p>
      </xdr:txBody>
    </xdr:sp>
    <xdr:clientData/>
  </xdr:twoCellAnchor>
  <xdr:twoCellAnchor editAs="absolute">
    <xdr:from>
      <xdr:col>9</xdr:col>
      <xdr:colOff>145631</xdr:colOff>
      <xdr:row>1</xdr:row>
      <xdr:rowOff>53457</xdr:rowOff>
    </xdr:from>
    <xdr:to>
      <xdr:col>10</xdr:col>
      <xdr:colOff>514428</xdr:colOff>
      <xdr:row>1</xdr:row>
      <xdr:rowOff>89457</xdr:rowOff>
    </xdr:to>
    <xdr:sp macro="" textlink="">
      <xdr:nvSpPr>
        <xdr:cNvPr id="50" name="49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/>
      </xdr:nvSpPr>
      <xdr:spPr bwMode="auto">
        <a:xfrm>
          <a:off x="6116728" y="215382"/>
          <a:ext cx="1008589" cy="36000"/>
        </a:xfrm>
        <a:prstGeom prst="rect">
          <a:avLst/>
        </a:prstGeom>
        <a:solidFill>
          <a:schemeClr val="bg2">
            <a:lumMod val="5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accent6">
                <a:lumMod val="60000"/>
                <a:lumOff val="40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CoresCorporativo2">
      <a:dk1>
        <a:srgbClr val="000000"/>
      </a:dk1>
      <a:lt1>
        <a:srgbClr val="FFFFFF"/>
      </a:lt1>
      <a:dk2>
        <a:srgbClr val="CD2D00"/>
      </a:dk2>
      <a:lt2>
        <a:srgbClr val="F0EFEC"/>
      </a:lt2>
      <a:accent1>
        <a:srgbClr val="CD2D00"/>
      </a:accent1>
      <a:accent2>
        <a:srgbClr val="C19E76"/>
      </a:accent2>
      <a:accent3>
        <a:srgbClr val="5F8EA9"/>
      </a:accent3>
      <a:accent4>
        <a:srgbClr val="A59076"/>
      </a:accent4>
      <a:accent5>
        <a:srgbClr val="86AEC4"/>
      </a:accent5>
      <a:accent6>
        <a:srgbClr val="C2BDB5"/>
      </a:accent6>
      <a:hlink>
        <a:srgbClr val="812411"/>
      </a:hlink>
      <a:folHlink>
        <a:srgbClr val="671C0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2" tint="-0.749992370372631"/>
  </sheetPr>
  <dimension ref="A2:G16"/>
  <sheetViews>
    <sheetView tabSelected="1" zoomScaleNormal="100" zoomScaleSheetLayoutView="100" workbookViewId="0">
      <selection activeCell="A19" sqref="A19"/>
    </sheetView>
  </sheetViews>
  <sheetFormatPr baseColWidth="10" defaultColWidth="10.85546875" defaultRowHeight="15" x14ac:dyDescent="0.25"/>
  <cols>
    <col min="1" max="2" width="10.85546875" customWidth="1"/>
    <col min="3" max="3" width="14.42578125" bestFit="1" customWidth="1"/>
    <col min="4" max="4" width="17" customWidth="1"/>
    <col min="5" max="5" width="51.85546875" customWidth="1"/>
    <col min="7" max="7" width="12.85546875" customWidth="1"/>
    <col min="11" max="11" width="8.85546875" customWidth="1"/>
  </cols>
  <sheetData>
    <row r="2" spans="1:7" ht="22.5" customHeight="1" x14ac:dyDescent="0.25"/>
    <row r="3" spans="1:7" ht="22.5" customHeight="1" x14ac:dyDescent="0.25"/>
    <row r="4" spans="1:7" ht="25.5" x14ac:dyDescent="0.25">
      <c r="B4" s="26"/>
      <c r="C4" s="107" t="s">
        <v>24</v>
      </c>
      <c r="D4" s="107"/>
      <c r="E4" s="107"/>
      <c r="F4" s="107"/>
      <c r="G4" s="107"/>
    </row>
    <row r="5" spans="1:7" ht="15" customHeight="1" x14ac:dyDescent="0.25">
      <c r="B5" s="26"/>
      <c r="C5" s="27"/>
      <c r="D5" s="27"/>
      <c r="E5" s="27"/>
      <c r="F5" s="27"/>
      <c r="G5" s="27"/>
    </row>
    <row r="6" spans="1:7" ht="15" customHeight="1" x14ac:dyDescent="0.25">
      <c r="B6" s="26"/>
      <c r="C6" s="27"/>
      <c r="D6" s="27"/>
      <c r="E6" s="27"/>
      <c r="F6" s="27"/>
      <c r="G6" s="27"/>
    </row>
    <row r="7" spans="1:7" ht="15" customHeight="1" x14ac:dyDescent="0.25">
      <c r="B7" s="26"/>
      <c r="C7" s="27"/>
      <c r="D7" s="27"/>
      <c r="E7" s="27"/>
      <c r="F7" s="27"/>
      <c r="G7" s="27"/>
    </row>
    <row r="8" spans="1:7" ht="15" customHeight="1" x14ac:dyDescent="0.25">
      <c r="A8" s="2"/>
      <c r="B8" s="2"/>
      <c r="C8" s="2"/>
      <c r="D8" s="2"/>
      <c r="E8" s="2"/>
      <c r="F8" s="2"/>
      <c r="G8" s="2"/>
    </row>
    <row r="9" spans="1:7" ht="36.75" customHeight="1" x14ac:dyDescent="0.25">
      <c r="C9" s="80" t="s">
        <v>79</v>
      </c>
      <c r="D9" s="30" t="s">
        <v>31</v>
      </c>
      <c r="E9" s="108" t="s">
        <v>80</v>
      </c>
      <c r="F9" s="108"/>
      <c r="G9" s="108"/>
    </row>
    <row r="10" spans="1:7" ht="36.75" customHeight="1" x14ac:dyDescent="0.25">
      <c r="C10" s="29"/>
      <c r="D10" s="30" t="s">
        <v>32</v>
      </c>
      <c r="E10" s="108" t="s">
        <v>81</v>
      </c>
      <c r="F10" s="108"/>
      <c r="G10" s="108"/>
    </row>
    <row r="11" spans="1:7" ht="36.75" customHeight="1" x14ac:dyDescent="0.25">
      <c r="D11" s="81" t="s">
        <v>82</v>
      </c>
      <c r="E11" s="108" t="s">
        <v>63</v>
      </c>
      <c r="F11" s="108"/>
      <c r="G11" s="108"/>
    </row>
    <row r="12" spans="1:7" ht="36.75" customHeight="1" x14ac:dyDescent="0.25">
      <c r="C12" s="29"/>
      <c r="D12" s="81"/>
      <c r="E12" s="108" t="s">
        <v>85</v>
      </c>
      <c r="F12" s="108"/>
      <c r="G12" s="108"/>
    </row>
    <row r="13" spans="1:7" ht="36.75" customHeight="1" x14ac:dyDescent="0.25">
      <c r="C13" s="95"/>
      <c r="D13" s="81"/>
      <c r="E13" s="81" t="s">
        <v>86</v>
      </c>
      <c r="F13" s="94"/>
      <c r="G13" s="94"/>
    </row>
    <row r="14" spans="1:7" x14ac:dyDescent="0.25">
      <c r="C14" s="29"/>
      <c r="D14" s="32"/>
      <c r="E14" s="33"/>
      <c r="F14" s="31"/>
      <c r="G14" s="31"/>
    </row>
    <row r="16" spans="1:7" x14ac:dyDescent="0.25">
      <c r="A16" s="23" t="s">
        <v>98</v>
      </c>
      <c r="B16" s="28"/>
      <c r="C16" s="24"/>
      <c r="D16" s="28"/>
      <c r="E16" s="28"/>
      <c r="F16" s="28"/>
      <c r="G16" s="25" t="s">
        <v>87</v>
      </c>
    </row>
  </sheetData>
  <mergeCells count="5">
    <mergeCell ref="C4:G4"/>
    <mergeCell ref="E9:G9"/>
    <mergeCell ref="E10:G10"/>
    <mergeCell ref="E11:G11"/>
    <mergeCell ref="E12:G12"/>
  </mergeCells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5"/>
  </sheetPr>
  <dimension ref="A2:BL564"/>
  <sheetViews>
    <sheetView zoomScaleNormal="100" workbookViewId="0">
      <pane ySplit="6" topLeftCell="A269" activePane="bottomLeft" state="frozen"/>
      <selection activeCell="A267" sqref="A267"/>
      <selection pane="bottomLeft" activeCell="A293" sqref="A293"/>
    </sheetView>
  </sheetViews>
  <sheetFormatPr baseColWidth="10" defaultColWidth="10.85546875" defaultRowHeight="12.75" x14ac:dyDescent="0.2"/>
  <cols>
    <col min="1" max="2" width="10.85546875" style="1" customWidth="1"/>
    <col min="3" max="3" width="9.85546875" style="1" customWidth="1"/>
    <col min="4" max="10" width="9.42578125" style="1" customWidth="1"/>
    <col min="11" max="13" width="11.85546875" style="1" customWidth="1"/>
    <col min="14" max="14" width="9.42578125" style="1" customWidth="1"/>
    <col min="15" max="15" width="10.85546875" style="1"/>
    <col min="16" max="16" width="9.85546875" style="1" customWidth="1"/>
    <col min="17" max="17" width="12.5703125" style="1" bestFit="1" customWidth="1"/>
    <col min="18" max="16384" width="10.85546875" style="1"/>
  </cols>
  <sheetData>
    <row r="2" spans="1:64" ht="22.5" customHeight="1" x14ac:dyDescent="0.2"/>
    <row r="3" spans="1:64" ht="24.6" customHeight="1" x14ac:dyDescent="0.35">
      <c r="B3" s="34"/>
      <c r="C3" s="39" t="str">
        <f>Inicio!C4</f>
        <v>Importaciones de gas natural por áreas geográficas y países</v>
      </c>
      <c r="D3" s="39"/>
      <c r="E3" s="39"/>
      <c r="F3" s="39"/>
      <c r="G3" s="71"/>
      <c r="H3" s="9"/>
      <c r="I3" s="9"/>
      <c r="J3" s="9"/>
      <c r="K3" s="9"/>
      <c r="L3" s="9"/>
      <c r="M3" s="9"/>
      <c r="N3" s="9"/>
    </row>
    <row r="4" spans="1:64" ht="15" customHeight="1" x14ac:dyDescent="0.2">
      <c r="A4" s="23" t="str">
        <f>Inicio!$A$16</f>
        <v>Actualizado el 14-09-2026</v>
      </c>
      <c r="B4" s="4"/>
      <c r="C4" s="4"/>
      <c r="D4" s="4"/>
      <c r="E4" s="4"/>
      <c r="F4" s="4"/>
      <c r="G4" s="38"/>
      <c r="H4" s="38"/>
      <c r="I4" s="38"/>
      <c r="R4" s="14"/>
      <c r="S4" s="14" t="s">
        <v>30</v>
      </c>
    </row>
    <row r="5" spans="1:64" ht="18.75" customHeight="1" thickBot="1" x14ac:dyDescent="0.25">
      <c r="A5" s="20"/>
      <c r="B5" s="19"/>
      <c r="C5" s="109" t="s">
        <v>21</v>
      </c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</row>
    <row r="6" spans="1:64" ht="54" customHeight="1" thickTop="1" x14ac:dyDescent="0.2">
      <c r="A6" s="21" t="s">
        <v>1</v>
      </c>
      <c r="B6" s="22" t="s">
        <v>2</v>
      </c>
      <c r="C6" s="74" t="s">
        <v>70</v>
      </c>
      <c r="D6" s="74" t="s">
        <v>16</v>
      </c>
      <c r="E6" s="70" t="s">
        <v>25</v>
      </c>
      <c r="F6" s="70" t="s">
        <v>26</v>
      </c>
      <c r="G6" s="75" t="s">
        <v>78</v>
      </c>
      <c r="H6" s="74" t="s">
        <v>94</v>
      </c>
      <c r="I6" s="74" t="s">
        <v>35</v>
      </c>
      <c r="J6" s="74" t="s">
        <v>34</v>
      </c>
      <c r="K6" s="74" t="s">
        <v>33</v>
      </c>
      <c r="L6" s="74" t="s">
        <v>96</v>
      </c>
      <c r="M6" s="74" t="s">
        <v>91</v>
      </c>
      <c r="N6" s="74" t="s">
        <v>17</v>
      </c>
      <c r="O6" s="76" t="s">
        <v>36</v>
      </c>
      <c r="P6" s="76" t="s">
        <v>58</v>
      </c>
      <c r="Q6" s="77" t="s">
        <v>18</v>
      </c>
      <c r="R6" s="76" t="s">
        <v>59</v>
      </c>
      <c r="S6" s="76" t="s">
        <v>60</v>
      </c>
    </row>
    <row r="7" spans="1:64" ht="12" customHeight="1" x14ac:dyDescent="0.2">
      <c r="A7" s="55">
        <v>2004</v>
      </c>
      <c r="B7" s="55" t="s">
        <v>3</v>
      </c>
      <c r="C7" s="73"/>
      <c r="D7" s="82">
        <v>15667.721779999996</v>
      </c>
      <c r="E7" s="78">
        <v>9155.8527799999974</v>
      </c>
      <c r="F7" s="78">
        <v>6511.8689999999997</v>
      </c>
      <c r="G7" s="82"/>
      <c r="H7" s="82"/>
      <c r="I7" s="82">
        <v>0</v>
      </c>
      <c r="J7" s="82">
        <v>0</v>
      </c>
      <c r="K7" s="82">
        <v>723.80849999999998</v>
      </c>
      <c r="L7" s="82"/>
      <c r="M7" s="82"/>
      <c r="N7" s="82">
        <v>4533.3500000000004</v>
      </c>
      <c r="O7" s="78">
        <v>4533.3500000000004</v>
      </c>
      <c r="P7" s="78">
        <v>0</v>
      </c>
      <c r="Q7" s="73">
        <v>20924.880280000001</v>
      </c>
      <c r="R7" s="78">
        <v>14413.011279999997</v>
      </c>
      <c r="S7" s="78">
        <v>6511.8689999999997</v>
      </c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</row>
    <row r="8" spans="1:64" ht="12" customHeight="1" x14ac:dyDescent="0.2">
      <c r="A8" s="55">
        <v>2004</v>
      </c>
      <c r="B8" s="55" t="s">
        <v>4</v>
      </c>
      <c r="C8" s="82"/>
      <c r="D8" s="82">
        <v>14909.6181</v>
      </c>
      <c r="E8" s="78">
        <v>7712.4968199999994</v>
      </c>
      <c r="F8" s="78">
        <v>7197.1212800000003</v>
      </c>
      <c r="G8" s="82"/>
      <c r="H8" s="82"/>
      <c r="I8" s="82">
        <v>0</v>
      </c>
      <c r="J8" s="82">
        <v>0</v>
      </c>
      <c r="K8" s="82">
        <v>723.71280000000002</v>
      </c>
      <c r="L8" s="82"/>
      <c r="M8" s="82"/>
      <c r="N8" s="82">
        <v>3856.8568</v>
      </c>
      <c r="O8" s="78">
        <v>3518.4751900000001</v>
      </c>
      <c r="P8" s="78">
        <v>338.38160999999997</v>
      </c>
      <c r="Q8" s="73">
        <v>19490.187699999999</v>
      </c>
      <c r="R8" s="78">
        <v>11954.684809999999</v>
      </c>
      <c r="S8" s="78">
        <v>7535.5028900000007</v>
      </c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</row>
    <row r="9" spans="1:64" ht="12" customHeight="1" x14ac:dyDescent="0.2">
      <c r="A9" s="55">
        <v>2004</v>
      </c>
      <c r="B9" s="55" t="s">
        <v>5</v>
      </c>
      <c r="C9" s="82"/>
      <c r="D9" s="82">
        <v>14662.130829999998</v>
      </c>
      <c r="E9" s="78">
        <v>6418.8038299999989</v>
      </c>
      <c r="F9" s="78">
        <v>8243.3269999999993</v>
      </c>
      <c r="G9" s="82"/>
      <c r="H9" s="82"/>
      <c r="I9" s="82">
        <v>0</v>
      </c>
      <c r="J9" s="82">
        <v>0</v>
      </c>
      <c r="K9" s="82">
        <v>732.00069999999994</v>
      </c>
      <c r="L9" s="82"/>
      <c r="M9" s="82"/>
      <c r="N9" s="82">
        <v>5546.4525899999999</v>
      </c>
      <c r="O9" s="78">
        <v>5208.0996999999998</v>
      </c>
      <c r="P9" s="78">
        <v>338.35289</v>
      </c>
      <c r="Q9" s="73">
        <v>20940.584119999996</v>
      </c>
      <c r="R9" s="78">
        <v>12358.904229999998</v>
      </c>
      <c r="S9" s="78">
        <v>8581.6798899999994</v>
      </c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</row>
    <row r="10" spans="1:64" ht="12" customHeight="1" x14ac:dyDescent="0.2">
      <c r="A10" s="55">
        <v>2004</v>
      </c>
      <c r="B10" s="55" t="s">
        <v>6</v>
      </c>
      <c r="C10" s="82"/>
      <c r="D10" s="82">
        <v>11929.376130000001</v>
      </c>
      <c r="E10" s="78">
        <v>6651.0921100000005</v>
      </c>
      <c r="F10" s="78">
        <v>5278.2840199999991</v>
      </c>
      <c r="G10" s="82"/>
      <c r="H10" s="82"/>
      <c r="I10" s="82">
        <v>0</v>
      </c>
      <c r="J10" s="82">
        <v>0</v>
      </c>
      <c r="K10" s="82">
        <v>487.04230000000001</v>
      </c>
      <c r="L10" s="82"/>
      <c r="M10" s="82"/>
      <c r="N10" s="82">
        <v>4448.7712099999999</v>
      </c>
      <c r="O10" s="78">
        <v>4448.5940000000001</v>
      </c>
      <c r="P10" s="78">
        <v>0.17721000000000001</v>
      </c>
      <c r="Q10" s="73">
        <v>16865.189640000001</v>
      </c>
      <c r="R10" s="78">
        <v>11586.72841</v>
      </c>
      <c r="S10" s="78">
        <v>5278.461229999999</v>
      </c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</row>
    <row r="11" spans="1:64" ht="12" customHeight="1" x14ac:dyDescent="0.2">
      <c r="A11" s="55">
        <v>2004</v>
      </c>
      <c r="B11" s="55" t="s">
        <v>7</v>
      </c>
      <c r="C11" s="82"/>
      <c r="D11" s="82">
        <v>10727.01533</v>
      </c>
      <c r="E11" s="78">
        <v>5406.4591799999998</v>
      </c>
      <c r="F11" s="78">
        <v>5320.5561500000003</v>
      </c>
      <c r="G11" s="82"/>
      <c r="H11" s="82"/>
      <c r="I11" s="82">
        <v>0</v>
      </c>
      <c r="J11" s="82">
        <v>0</v>
      </c>
      <c r="K11" s="82">
        <v>971.65480000000002</v>
      </c>
      <c r="L11" s="82"/>
      <c r="M11" s="82"/>
      <c r="N11" s="82">
        <v>5848.4456600000003</v>
      </c>
      <c r="O11" s="78">
        <v>5615.6211000000003</v>
      </c>
      <c r="P11" s="78">
        <v>232.82455999999999</v>
      </c>
      <c r="Q11" s="73">
        <v>17547.11579</v>
      </c>
      <c r="R11" s="78">
        <v>11993.73508</v>
      </c>
      <c r="S11" s="78">
        <v>5553.3807100000004</v>
      </c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</row>
    <row r="12" spans="1:64" ht="12" customHeight="1" x14ac:dyDescent="0.2">
      <c r="A12" s="55">
        <v>2004</v>
      </c>
      <c r="B12" s="55" t="s">
        <v>8</v>
      </c>
      <c r="C12" s="82"/>
      <c r="D12" s="82">
        <v>10148.506089999999</v>
      </c>
      <c r="E12" s="78">
        <v>3944.8117699999998</v>
      </c>
      <c r="F12" s="78">
        <v>6203.6943199999996</v>
      </c>
      <c r="G12" s="82"/>
      <c r="H12" s="82"/>
      <c r="I12" s="82">
        <v>0</v>
      </c>
      <c r="J12" s="82">
        <v>0</v>
      </c>
      <c r="K12" s="82">
        <v>728.83369999999991</v>
      </c>
      <c r="L12" s="82"/>
      <c r="M12" s="82"/>
      <c r="N12" s="82">
        <v>4875.7017800000003</v>
      </c>
      <c r="O12" s="78">
        <v>4874.2844000000005</v>
      </c>
      <c r="P12" s="78">
        <v>1.4173800000000001</v>
      </c>
      <c r="Q12" s="73">
        <v>15753.041569999999</v>
      </c>
      <c r="R12" s="78">
        <v>9547.9298699999999</v>
      </c>
      <c r="S12" s="78">
        <v>6205.1116999999995</v>
      </c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</row>
    <row r="13" spans="1:64" ht="12" customHeight="1" x14ac:dyDescent="0.2">
      <c r="A13" s="55">
        <v>2004</v>
      </c>
      <c r="B13" s="55" t="s">
        <v>9</v>
      </c>
      <c r="C13" s="82"/>
      <c r="D13" s="82">
        <v>11933.315780000001</v>
      </c>
      <c r="E13" s="78">
        <v>5221.3937800000003</v>
      </c>
      <c r="F13" s="78">
        <v>6711.9219999999996</v>
      </c>
      <c r="G13" s="82"/>
      <c r="H13" s="82"/>
      <c r="I13" s="82">
        <v>0</v>
      </c>
      <c r="J13" s="82">
        <v>0</v>
      </c>
      <c r="K13" s="82">
        <v>721.98860000000002</v>
      </c>
      <c r="L13" s="82"/>
      <c r="M13" s="82"/>
      <c r="N13" s="82">
        <v>4248.3623299999999</v>
      </c>
      <c r="O13" s="78">
        <v>4248.3623299999999</v>
      </c>
      <c r="P13" s="78">
        <v>0</v>
      </c>
      <c r="Q13" s="73">
        <v>16903.666710000001</v>
      </c>
      <c r="R13" s="78">
        <v>10191.744709999999</v>
      </c>
      <c r="S13" s="78">
        <v>6711.9219999999996</v>
      </c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</row>
    <row r="14" spans="1:64" ht="12" customHeight="1" x14ac:dyDescent="0.2">
      <c r="A14" s="55">
        <v>2004</v>
      </c>
      <c r="B14" s="55" t="s">
        <v>10</v>
      </c>
      <c r="C14" s="82"/>
      <c r="D14" s="82">
        <v>11155.41727</v>
      </c>
      <c r="E14" s="78">
        <v>5276.8822700000001</v>
      </c>
      <c r="F14" s="78">
        <v>5878.5349999999999</v>
      </c>
      <c r="G14" s="82"/>
      <c r="H14" s="82"/>
      <c r="I14" s="82">
        <v>0</v>
      </c>
      <c r="J14" s="82">
        <v>0</v>
      </c>
      <c r="K14" s="82">
        <v>7.5728200000000001</v>
      </c>
      <c r="L14" s="82"/>
      <c r="M14" s="82"/>
      <c r="N14" s="82">
        <v>4229.1824000000006</v>
      </c>
      <c r="O14" s="78">
        <v>4229.1824000000006</v>
      </c>
      <c r="P14" s="78">
        <v>0</v>
      </c>
      <c r="Q14" s="73">
        <v>15392.172490000001</v>
      </c>
      <c r="R14" s="78">
        <v>9513.637490000001</v>
      </c>
      <c r="S14" s="78">
        <v>5878.5349999999999</v>
      </c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</row>
    <row r="15" spans="1:64" ht="12" customHeight="1" x14ac:dyDescent="0.2">
      <c r="A15" s="55">
        <v>2004</v>
      </c>
      <c r="B15" s="55" t="s">
        <v>11</v>
      </c>
      <c r="C15" s="82"/>
      <c r="D15" s="82">
        <v>13280.24655</v>
      </c>
      <c r="E15" s="78">
        <v>5971.9544800000003</v>
      </c>
      <c r="F15" s="78">
        <v>7308.2920700000004</v>
      </c>
      <c r="G15" s="82"/>
      <c r="H15" s="82"/>
      <c r="I15" s="82">
        <v>0</v>
      </c>
      <c r="J15" s="82">
        <v>0</v>
      </c>
      <c r="K15" s="82">
        <v>477.9151</v>
      </c>
      <c r="L15" s="82"/>
      <c r="M15" s="82"/>
      <c r="N15" s="82">
        <v>5940.8809799999999</v>
      </c>
      <c r="O15" s="78">
        <v>5940.3592900000003</v>
      </c>
      <c r="P15" s="78">
        <v>0.5216900000000001</v>
      </c>
      <c r="Q15" s="73">
        <v>19699.042630000004</v>
      </c>
      <c r="R15" s="78">
        <v>12390.228870000001</v>
      </c>
      <c r="S15" s="78">
        <v>7308.81376</v>
      </c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</row>
    <row r="16" spans="1:64" ht="12" customHeight="1" x14ac:dyDescent="0.2">
      <c r="A16" s="55">
        <v>2004</v>
      </c>
      <c r="B16" s="55" t="s">
        <v>12</v>
      </c>
      <c r="C16" s="82"/>
      <c r="D16" s="82">
        <v>14540.00159</v>
      </c>
      <c r="E16" s="78">
        <v>6340.9898400000002</v>
      </c>
      <c r="F16" s="78">
        <v>8199.0117499999997</v>
      </c>
      <c r="G16" s="82"/>
      <c r="H16" s="82"/>
      <c r="I16" s="82">
        <v>0</v>
      </c>
      <c r="J16" s="82">
        <v>0</v>
      </c>
      <c r="K16" s="82">
        <v>731.09990000000005</v>
      </c>
      <c r="L16" s="82"/>
      <c r="M16" s="82"/>
      <c r="N16" s="82">
        <v>5924.2678600000008</v>
      </c>
      <c r="O16" s="78">
        <v>5922.8031600000004</v>
      </c>
      <c r="P16" s="78">
        <v>1.4647000000000001</v>
      </c>
      <c r="Q16" s="73">
        <v>21195.369349999997</v>
      </c>
      <c r="R16" s="78">
        <v>12994.892900000001</v>
      </c>
      <c r="S16" s="78">
        <v>8200.4764500000001</v>
      </c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</row>
    <row r="17" spans="1:19" ht="12" customHeight="1" x14ac:dyDescent="0.2">
      <c r="A17" s="55">
        <v>2004</v>
      </c>
      <c r="B17" s="55" t="s">
        <v>13</v>
      </c>
      <c r="C17" s="82"/>
      <c r="D17" s="82">
        <v>16333.855170000003</v>
      </c>
      <c r="E17" s="78">
        <v>7176.2339500000007</v>
      </c>
      <c r="F17" s="78">
        <v>9157.6212200000009</v>
      </c>
      <c r="G17" s="82"/>
      <c r="H17" s="82"/>
      <c r="I17" s="82">
        <v>0</v>
      </c>
      <c r="J17" s="82">
        <v>0</v>
      </c>
      <c r="K17" s="82">
        <v>729.51619999999991</v>
      </c>
      <c r="L17" s="82"/>
      <c r="M17" s="82"/>
      <c r="N17" s="82">
        <v>4778.3949599999996</v>
      </c>
      <c r="O17" s="78">
        <v>4776.9760999999999</v>
      </c>
      <c r="P17" s="78">
        <v>1.41886</v>
      </c>
      <c r="Q17" s="73">
        <v>21841.766329999999</v>
      </c>
      <c r="R17" s="78">
        <v>12682.72625</v>
      </c>
      <c r="S17" s="78">
        <v>9159.0400800000007</v>
      </c>
    </row>
    <row r="18" spans="1:19" ht="12" customHeight="1" x14ac:dyDescent="0.2">
      <c r="A18" s="55">
        <v>2004</v>
      </c>
      <c r="B18" s="55" t="s">
        <v>14</v>
      </c>
      <c r="C18" s="82"/>
      <c r="D18" s="82">
        <v>14064.260129999999</v>
      </c>
      <c r="E18" s="78">
        <v>5795.8040999999994</v>
      </c>
      <c r="F18" s="78">
        <v>8268.4560299999994</v>
      </c>
      <c r="G18" s="82"/>
      <c r="H18" s="82"/>
      <c r="I18" s="82">
        <v>0</v>
      </c>
      <c r="J18" s="82">
        <v>0</v>
      </c>
      <c r="K18" s="82">
        <v>729.70910000000015</v>
      </c>
      <c r="L18" s="82"/>
      <c r="M18" s="82"/>
      <c r="N18" s="82">
        <v>3458.2110000000002</v>
      </c>
      <c r="O18" s="78">
        <v>3456.748</v>
      </c>
      <c r="P18" s="78">
        <v>1.4630000000000001</v>
      </c>
      <c r="Q18" s="73">
        <v>18252.180229999998</v>
      </c>
      <c r="R18" s="78">
        <v>9982.261199999999</v>
      </c>
      <c r="S18" s="78">
        <v>8269.9190299999991</v>
      </c>
    </row>
    <row r="19" spans="1:19" ht="12" customHeight="1" x14ac:dyDescent="0.2">
      <c r="A19" s="55">
        <v>2004</v>
      </c>
      <c r="B19" s="55" t="s">
        <v>15</v>
      </c>
      <c r="C19" s="82"/>
      <c r="D19" s="82">
        <v>159351.46474999998</v>
      </c>
      <c r="E19" s="78">
        <v>75072.774909999993</v>
      </c>
      <c r="F19" s="78">
        <v>84278.689840000006</v>
      </c>
      <c r="G19" s="82"/>
      <c r="H19" s="82"/>
      <c r="I19" s="82">
        <v>0</v>
      </c>
      <c r="J19" s="82">
        <v>0</v>
      </c>
      <c r="K19" s="82">
        <v>7764.8545200000008</v>
      </c>
      <c r="L19" s="82"/>
      <c r="M19" s="82"/>
      <c r="N19" s="82">
        <v>57688.877570000004</v>
      </c>
      <c r="O19" s="78">
        <v>56772.855670000004</v>
      </c>
      <c r="P19" s="78">
        <v>916.02189999999996</v>
      </c>
      <c r="Q19" s="73">
        <v>224805.19683999999</v>
      </c>
      <c r="R19" s="78">
        <v>139610.48509999999</v>
      </c>
      <c r="S19" s="78">
        <v>85194.711740000013</v>
      </c>
    </row>
    <row r="20" spans="1:19" ht="12" customHeight="1" x14ac:dyDescent="0.2">
      <c r="A20" s="55">
        <v>2005</v>
      </c>
      <c r="B20" s="55" t="s">
        <v>3</v>
      </c>
      <c r="C20" s="82"/>
      <c r="D20" s="82">
        <v>14665.942800000001</v>
      </c>
      <c r="E20" s="78">
        <v>6462.9607999999998</v>
      </c>
      <c r="F20" s="78">
        <v>8202.982</v>
      </c>
      <c r="G20" s="82"/>
      <c r="H20" s="82"/>
      <c r="I20" s="82">
        <v>935.80128999999999</v>
      </c>
      <c r="J20" s="82">
        <v>0</v>
      </c>
      <c r="K20" s="82">
        <v>973.31269999999995</v>
      </c>
      <c r="L20" s="82"/>
      <c r="M20" s="82"/>
      <c r="N20" s="82">
        <v>5399.8771000000006</v>
      </c>
      <c r="O20" s="78">
        <v>5399.8771000000006</v>
      </c>
      <c r="P20" s="78">
        <v>0</v>
      </c>
      <c r="Q20" s="73">
        <v>21974.93389</v>
      </c>
      <c r="R20" s="78">
        <v>13771.95189</v>
      </c>
      <c r="S20" s="78">
        <v>8202.982</v>
      </c>
    </row>
    <row r="21" spans="1:19" ht="12" customHeight="1" x14ac:dyDescent="0.2">
      <c r="A21" s="55">
        <v>2005</v>
      </c>
      <c r="B21" s="55" t="s">
        <v>4</v>
      </c>
      <c r="C21" s="82"/>
      <c r="D21" s="82">
        <v>15550.862399999998</v>
      </c>
      <c r="E21" s="78">
        <v>6677.6403</v>
      </c>
      <c r="F21" s="78">
        <v>8873.222099999999</v>
      </c>
      <c r="G21" s="82"/>
      <c r="H21" s="82"/>
      <c r="I21" s="82">
        <v>1774.3622000000003</v>
      </c>
      <c r="J21" s="82">
        <v>0</v>
      </c>
      <c r="K21" s="82">
        <v>484.19880000000006</v>
      </c>
      <c r="L21" s="82"/>
      <c r="M21" s="82"/>
      <c r="N21" s="82">
        <v>4468.4319999999998</v>
      </c>
      <c r="O21" s="78">
        <v>4468.4319999999998</v>
      </c>
      <c r="P21" s="78">
        <v>0</v>
      </c>
      <c r="Q21" s="73">
        <v>22277.855399999997</v>
      </c>
      <c r="R21" s="78">
        <v>13404.633300000001</v>
      </c>
      <c r="S21" s="78">
        <v>8873.222099999999</v>
      </c>
    </row>
    <row r="22" spans="1:19" ht="12" customHeight="1" x14ac:dyDescent="0.2">
      <c r="A22" s="55">
        <v>2005</v>
      </c>
      <c r="B22" s="55" t="s">
        <v>5</v>
      </c>
      <c r="C22" s="82"/>
      <c r="D22" s="82">
        <v>16119.762199999997</v>
      </c>
      <c r="E22" s="78">
        <v>6676.8742999999986</v>
      </c>
      <c r="F22" s="78">
        <v>9442.8878999999997</v>
      </c>
      <c r="G22" s="82"/>
      <c r="H22" s="82"/>
      <c r="I22" s="82">
        <v>1847.0380000000002</v>
      </c>
      <c r="J22" s="82">
        <v>0</v>
      </c>
      <c r="K22" s="82">
        <v>728.35039999999992</v>
      </c>
      <c r="L22" s="82"/>
      <c r="M22" s="82"/>
      <c r="N22" s="82">
        <v>6309.7880999999998</v>
      </c>
      <c r="O22" s="78">
        <v>6309.7880999999998</v>
      </c>
      <c r="P22" s="78">
        <v>0</v>
      </c>
      <c r="Q22" s="73">
        <v>25004.938699999995</v>
      </c>
      <c r="R22" s="78">
        <v>15562.050799999997</v>
      </c>
      <c r="S22" s="78">
        <v>9442.8878999999997</v>
      </c>
    </row>
    <row r="23" spans="1:19" ht="12" customHeight="1" x14ac:dyDescent="0.2">
      <c r="A23" s="55">
        <v>2005</v>
      </c>
      <c r="B23" s="55" t="s">
        <v>6</v>
      </c>
      <c r="C23" s="82"/>
      <c r="D23" s="82">
        <v>13439.936699999998</v>
      </c>
      <c r="E23" s="78">
        <v>4692.3760999999995</v>
      </c>
      <c r="F23" s="78">
        <v>8747.5605999999989</v>
      </c>
      <c r="G23" s="82"/>
      <c r="H23" s="82"/>
      <c r="I23" s="82">
        <v>3902.7077100000006</v>
      </c>
      <c r="J23" s="82">
        <v>0</v>
      </c>
      <c r="K23" s="82">
        <v>729.36920000000009</v>
      </c>
      <c r="L23" s="82"/>
      <c r="M23" s="82"/>
      <c r="N23" s="82">
        <v>4672.7844000000005</v>
      </c>
      <c r="O23" s="78">
        <v>4672.7844000000005</v>
      </c>
      <c r="P23" s="78">
        <v>0</v>
      </c>
      <c r="Q23" s="73">
        <v>22744.798009999999</v>
      </c>
      <c r="R23" s="78">
        <v>13997.237410000002</v>
      </c>
      <c r="S23" s="78">
        <v>8747.5605999999989</v>
      </c>
    </row>
    <row r="24" spans="1:19" ht="12" customHeight="1" x14ac:dyDescent="0.2">
      <c r="A24" s="55">
        <v>2005</v>
      </c>
      <c r="B24" s="55" t="s">
        <v>7</v>
      </c>
      <c r="C24" s="82"/>
      <c r="D24" s="82">
        <v>13017.129000000001</v>
      </c>
      <c r="E24" s="78">
        <v>4048.3016000000002</v>
      </c>
      <c r="F24" s="78">
        <v>8968.8274000000001</v>
      </c>
      <c r="G24" s="82"/>
      <c r="H24" s="82"/>
      <c r="I24" s="82">
        <v>1768.0127399999999</v>
      </c>
      <c r="J24" s="82">
        <v>0</v>
      </c>
      <c r="K24" s="82">
        <v>731.178</v>
      </c>
      <c r="L24" s="82"/>
      <c r="M24" s="82"/>
      <c r="N24" s="82">
        <v>5949.7918999999993</v>
      </c>
      <c r="O24" s="78">
        <v>5949.7918999999993</v>
      </c>
      <c r="P24" s="78">
        <v>0</v>
      </c>
      <c r="Q24" s="73">
        <v>21466.111639999999</v>
      </c>
      <c r="R24" s="78">
        <v>12497.284239999999</v>
      </c>
      <c r="S24" s="78">
        <v>8968.8274000000001</v>
      </c>
    </row>
    <row r="25" spans="1:19" ht="12" customHeight="1" x14ac:dyDescent="0.2">
      <c r="A25" s="55">
        <v>2005</v>
      </c>
      <c r="B25" s="55" t="s">
        <v>8</v>
      </c>
      <c r="C25" s="82"/>
      <c r="D25" s="82">
        <v>11453.078259999998</v>
      </c>
      <c r="E25" s="78">
        <v>3149.7106599999997</v>
      </c>
      <c r="F25" s="78">
        <v>8303.3675999999996</v>
      </c>
      <c r="G25" s="82"/>
      <c r="H25" s="82"/>
      <c r="I25" s="82">
        <v>4356.2932699999992</v>
      </c>
      <c r="J25" s="82">
        <v>0</v>
      </c>
      <c r="K25" s="82">
        <v>728.18809999999996</v>
      </c>
      <c r="L25" s="82"/>
      <c r="M25" s="82"/>
      <c r="N25" s="82">
        <v>6011.9969099999998</v>
      </c>
      <c r="O25" s="78">
        <v>6011.9969099999998</v>
      </c>
      <c r="P25" s="78">
        <v>0</v>
      </c>
      <c r="Q25" s="73">
        <v>22549.556539999998</v>
      </c>
      <c r="R25" s="78">
        <v>14246.188939999998</v>
      </c>
      <c r="S25" s="78">
        <v>8303.3675999999996</v>
      </c>
    </row>
    <row r="26" spans="1:19" ht="12" customHeight="1" x14ac:dyDescent="0.2">
      <c r="A26" s="55">
        <v>2005</v>
      </c>
      <c r="B26" s="55" t="s">
        <v>9</v>
      </c>
      <c r="C26" s="82"/>
      <c r="D26" s="82">
        <v>16171.383899999999</v>
      </c>
      <c r="E26" s="78">
        <v>7407.3673999999992</v>
      </c>
      <c r="F26" s="78">
        <v>8764.0164999999997</v>
      </c>
      <c r="G26" s="82"/>
      <c r="H26" s="82"/>
      <c r="I26" s="82">
        <v>3260.7507000000001</v>
      </c>
      <c r="J26" s="82">
        <v>0</v>
      </c>
      <c r="K26" s="82">
        <v>729.32159999999999</v>
      </c>
      <c r="L26" s="82"/>
      <c r="M26" s="82"/>
      <c r="N26" s="82">
        <v>5236.1040999999996</v>
      </c>
      <c r="O26" s="78">
        <v>5236.1040999999996</v>
      </c>
      <c r="P26" s="78">
        <v>0</v>
      </c>
      <c r="Q26" s="73">
        <v>25397.560299999997</v>
      </c>
      <c r="R26" s="78">
        <v>16633.543799999999</v>
      </c>
      <c r="S26" s="78">
        <v>8764.0164999999997</v>
      </c>
    </row>
    <row r="27" spans="1:19" ht="12" customHeight="1" x14ac:dyDescent="0.2">
      <c r="A27" s="55">
        <v>2005</v>
      </c>
      <c r="B27" s="55" t="s">
        <v>10</v>
      </c>
      <c r="C27" s="82"/>
      <c r="D27" s="82">
        <v>11982.56868</v>
      </c>
      <c r="E27" s="78">
        <v>4626.8671599999998</v>
      </c>
      <c r="F27" s="78">
        <v>7355.7015200000014</v>
      </c>
      <c r="G27" s="82"/>
      <c r="H27" s="82"/>
      <c r="I27" s="82">
        <v>1726.9074099999996</v>
      </c>
      <c r="J27" s="82">
        <v>0</v>
      </c>
      <c r="K27" s="82">
        <v>730.01499999999999</v>
      </c>
      <c r="L27" s="82"/>
      <c r="M27" s="82"/>
      <c r="N27" s="82">
        <v>5365.560919999999</v>
      </c>
      <c r="O27" s="78">
        <v>5365.560919999999</v>
      </c>
      <c r="P27" s="78">
        <v>0</v>
      </c>
      <c r="Q27" s="73">
        <v>19805.052010000003</v>
      </c>
      <c r="R27" s="78">
        <v>12449.350489999999</v>
      </c>
      <c r="S27" s="78">
        <v>7355.7015200000014</v>
      </c>
    </row>
    <row r="28" spans="1:19" ht="12" customHeight="1" x14ac:dyDescent="0.2">
      <c r="A28" s="55">
        <v>2005</v>
      </c>
      <c r="B28" s="55" t="s">
        <v>11</v>
      </c>
      <c r="C28" s="82"/>
      <c r="D28" s="82">
        <v>12390.257819999995</v>
      </c>
      <c r="E28" s="78">
        <v>4333.0761199999997</v>
      </c>
      <c r="F28" s="78">
        <v>8057.1816999999955</v>
      </c>
      <c r="G28" s="82"/>
      <c r="H28" s="82"/>
      <c r="I28" s="82">
        <v>3548.1437099999998</v>
      </c>
      <c r="J28" s="82">
        <v>0</v>
      </c>
      <c r="K28" s="82">
        <v>1733.8467000000003</v>
      </c>
      <c r="L28" s="82"/>
      <c r="M28" s="82"/>
      <c r="N28" s="82">
        <v>1969.9874</v>
      </c>
      <c r="O28" s="78">
        <v>1969.9874</v>
      </c>
      <c r="P28" s="78">
        <v>0</v>
      </c>
      <c r="Q28" s="73">
        <v>19642.235629999996</v>
      </c>
      <c r="R28" s="78">
        <v>11585.05393</v>
      </c>
      <c r="S28" s="78">
        <v>8057.1816999999955</v>
      </c>
    </row>
    <row r="29" spans="1:19" ht="12" customHeight="1" x14ac:dyDescent="0.2">
      <c r="A29" s="55">
        <v>2005</v>
      </c>
      <c r="B29" s="55" t="s">
        <v>12</v>
      </c>
      <c r="C29" s="82"/>
      <c r="D29" s="82">
        <v>12275.163280000001</v>
      </c>
      <c r="E29" s="78">
        <v>4908.3731400000006</v>
      </c>
      <c r="F29" s="78">
        <v>7366.790140000001</v>
      </c>
      <c r="G29" s="82"/>
      <c r="H29" s="82"/>
      <c r="I29" s="82">
        <v>2491.8417000000004</v>
      </c>
      <c r="J29" s="82">
        <v>0</v>
      </c>
      <c r="K29" s="82">
        <v>765.98169999999993</v>
      </c>
      <c r="L29" s="82"/>
      <c r="M29" s="82"/>
      <c r="N29" s="82">
        <v>4635.6437700000006</v>
      </c>
      <c r="O29" s="78">
        <v>4635.6437700000006</v>
      </c>
      <c r="P29" s="78">
        <v>0</v>
      </c>
      <c r="Q29" s="73">
        <v>20168.630450000001</v>
      </c>
      <c r="R29" s="78">
        <v>12801.840310000001</v>
      </c>
      <c r="S29" s="78">
        <v>7366.790140000001</v>
      </c>
    </row>
    <row r="30" spans="1:19" ht="12" customHeight="1" x14ac:dyDescent="0.2">
      <c r="A30" s="55">
        <v>2005</v>
      </c>
      <c r="B30" s="55" t="s">
        <v>13</v>
      </c>
      <c r="C30" s="82"/>
      <c r="D30" s="82">
        <v>12590.6024</v>
      </c>
      <c r="E30" s="78">
        <v>3792.3044</v>
      </c>
      <c r="F30" s="78">
        <v>8798.2980000000007</v>
      </c>
      <c r="G30" s="82"/>
      <c r="H30" s="82"/>
      <c r="I30" s="82">
        <v>6850.8699399999996</v>
      </c>
      <c r="J30" s="82">
        <v>0</v>
      </c>
      <c r="K30" s="82">
        <v>1314.8030000000001</v>
      </c>
      <c r="L30" s="82"/>
      <c r="M30" s="82"/>
      <c r="N30" s="82">
        <v>4609.9358000000011</v>
      </c>
      <c r="O30" s="78">
        <v>4609.9358000000011</v>
      </c>
      <c r="P30" s="78">
        <v>0</v>
      </c>
      <c r="Q30" s="73">
        <v>25366.211139999999</v>
      </c>
      <c r="R30" s="78">
        <v>16567.913140000001</v>
      </c>
      <c r="S30" s="78">
        <v>8798.2980000000007</v>
      </c>
    </row>
    <row r="31" spans="1:19" ht="12" customHeight="1" x14ac:dyDescent="0.2">
      <c r="A31" s="55">
        <v>2005</v>
      </c>
      <c r="B31" s="55" t="s">
        <v>14</v>
      </c>
      <c r="C31" s="82"/>
      <c r="D31" s="82">
        <v>11724.632099999999</v>
      </c>
      <c r="E31" s="78">
        <v>2297.9395999999997</v>
      </c>
      <c r="F31" s="78">
        <v>9426.6924999999992</v>
      </c>
      <c r="G31" s="82"/>
      <c r="H31" s="82"/>
      <c r="I31" s="82">
        <v>7082.6205099999997</v>
      </c>
      <c r="J31" s="82">
        <v>0</v>
      </c>
      <c r="K31" s="82">
        <v>992.75079999999991</v>
      </c>
      <c r="L31" s="82"/>
      <c r="M31" s="82"/>
      <c r="N31" s="82">
        <v>6648.7491999999993</v>
      </c>
      <c r="O31" s="78">
        <v>6648.7491999999993</v>
      </c>
      <c r="P31" s="78">
        <v>0</v>
      </c>
      <c r="Q31" s="73">
        <v>26448.75261</v>
      </c>
      <c r="R31" s="78">
        <v>17022.060109999999</v>
      </c>
      <c r="S31" s="78">
        <v>9426.6924999999992</v>
      </c>
    </row>
    <row r="32" spans="1:19" ht="12" customHeight="1" x14ac:dyDescent="0.2">
      <c r="A32" s="55">
        <v>2005</v>
      </c>
      <c r="B32" s="55" t="s">
        <v>15</v>
      </c>
      <c r="C32" s="82"/>
      <c r="D32" s="82">
        <v>161381.31954</v>
      </c>
      <c r="E32" s="78">
        <v>59073.791579999997</v>
      </c>
      <c r="F32" s="78">
        <v>102307.52795999999</v>
      </c>
      <c r="G32" s="82"/>
      <c r="H32" s="82"/>
      <c r="I32" s="82">
        <v>39545.349180000005</v>
      </c>
      <c r="J32" s="82">
        <v>0</v>
      </c>
      <c r="K32" s="82">
        <v>10641.316000000001</v>
      </c>
      <c r="L32" s="82"/>
      <c r="M32" s="82"/>
      <c r="N32" s="82">
        <v>61278.65159999999</v>
      </c>
      <c r="O32" s="78">
        <v>61278.65159999999</v>
      </c>
      <c r="P32" s="78">
        <v>0</v>
      </c>
      <c r="Q32" s="73">
        <v>272846.63631999999</v>
      </c>
      <c r="R32" s="78">
        <v>170539.10836000001</v>
      </c>
      <c r="S32" s="78">
        <v>102307.52795999999</v>
      </c>
    </row>
    <row r="33" spans="1:19" ht="12" customHeight="1" x14ac:dyDescent="0.2">
      <c r="A33" s="55">
        <v>2006</v>
      </c>
      <c r="B33" s="55" t="s">
        <v>3</v>
      </c>
      <c r="C33" s="82"/>
      <c r="D33" s="82">
        <v>13331.723</v>
      </c>
      <c r="E33" s="78">
        <v>4703.5697</v>
      </c>
      <c r="F33" s="78">
        <v>8628.1532999999999</v>
      </c>
      <c r="G33" s="82"/>
      <c r="H33" s="82"/>
      <c r="I33" s="82">
        <v>7877.6487900000002</v>
      </c>
      <c r="J33" s="82">
        <v>0</v>
      </c>
      <c r="K33" s="82">
        <v>1285.8048999999999</v>
      </c>
      <c r="L33" s="82"/>
      <c r="M33" s="82"/>
      <c r="N33" s="82">
        <v>5129.8331099999996</v>
      </c>
      <c r="O33" s="78">
        <v>5129.8331099999996</v>
      </c>
      <c r="P33" s="78">
        <v>0</v>
      </c>
      <c r="Q33" s="73">
        <v>27625.009799999996</v>
      </c>
      <c r="R33" s="78">
        <v>18996.856499999998</v>
      </c>
      <c r="S33" s="78">
        <v>8628.1532999999999</v>
      </c>
    </row>
    <row r="34" spans="1:19" ht="12" customHeight="1" x14ac:dyDescent="0.2">
      <c r="A34" s="55">
        <v>2006</v>
      </c>
      <c r="B34" s="55" t="s">
        <v>4</v>
      </c>
      <c r="C34" s="82"/>
      <c r="D34" s="82">
        <v>11430.734999999999</v>
      </c>
      <c r="E34" s="78">
        <v>2458.7529</v>
      </c>
      <c r="F34" s="78">
        <v>8971.9820999999993</v>
      </c>
      <c r="G34" s="82"/>
      <c r="H34" s="82"/>
      <c r="I34" s="82">
        <v>5997.2717000000002</v>
      </c>
      <c r="J34" s="82">
        <v>0</v>
      </c>
      <c r="K34" s="82">
        <v>728.06181000000004</v>
      </c>
      <c r="L34" s="82"/>
      <c r="M34" s="82"/>
      <c r="N34" s="82">
        <v>6732.9412999999995</v>
      </c>
      <c r="O34" s="78">
        <v>6732.9412999999995</v>
      </c>
      <c r="P34" s="78">
        <v>0</v>
      </c>
      <c r="Q34" s="73">
        <v>24889.00981</v>
      </c>
      <c r="R34" s="78">
        <v>15917.027709999998</v>
      </c>
      <c r="S34" s="78">
        <v>8971.9820999999993</v>
      </c>
    </row>
    <row r="35" spans="1:19" ht="12" customHeight="1" x14ac:dyDescent="0.2">
      <c r="A35" s="55">
        <v>2006</v>
      </c>
      <c r="B35" s="55" t="s">
        <v>5</v>
      </c>
      <c r="C35" s="82"/>
      <c r="D35" s="82">
        <v>11875.029900000001</v>
      </c>
      <c r="E35" s="78">
        <v>2733.44</v>
      </c>
      <c r="F35" s="78">
        <v>9141.5899000000009</v>
      </c>
      <c r="G35" s="82"/>
      <c r="H35" s="82"/>
      <c r="I35" s="82">
        <v>3554.5592099999999</v>
      </c>
      <c r="J35" s="82">
        <v>0</v>
      </c>
      <c r="K35" s="82">
        <v>639.74810000000014</v>
      </c>
      <c r="L35" s="82"/>
      <c r="M35" s="82"/>
      <c r="N35" s="82">
        <v>8247.3338999999996</v>
      </c>
      <c r="O35" s="78">
        <v>8247.3338999999996</v>
      </c>
      <c r="P35" s="78">
        <v>0</v>
      </c>
      <c r="Q35" s="73">
        <v>24316.671109999999</v>
      </c>
      <c r="R35" s="78">
        <v>15175.08121</v>
      </c>
      <c r="S35" s="78">
        <v>9141.5899000000009</v>
      </c>
    </row>
    <row r="36" spans="1:19" ht="12" customHeight="1" x14ac:dyDescent="0.2">
      <c r="A36" s="55">
        <v>2006</v>
      </c>
      <c r="B36" s="55" t="s">
        <v>6</v>
      </c>
      <c r="C36" s="82"/>
      <c r="D36" s="82">
        <v>11135.070299999999</v>
      </c>
      <c r="E36" s="78">
        <v>2527.2534000000005</v>
      </c>
      <c r="F36" s="78">
        <v>8607.8168999999998</v>
      </c>
      <c r="G36" s="82"/>
      <c r="H36" s="82"/>
      <c r="I36" s="82">
        <v>5857.3648400000002</v>
      </c>
      <c r="J36" s="82">
        <v>0</v>
      </c>
      <c r="K36" s="82">
        <v>1129.4889300000002</v>
      </c>
      <c r="L36" s="82"/>
      <c r="M36" s="82"/>
      <c r="N36" s="82">
        <v>5426.0265500000005</v>
      </c>
      <c r="O36" s="78">
        <v>5426.0265500000005</v>
      </c>
      <c r="P36" s="78">
        <v>0</v>
      </c>
      <c r="Q36" s="73">
        <v>23547.95062</v>
      </c>
      <c r="R36" s="78">
        <v>14940.13372</v>
      </c>
      <c r="S36" s="78">
        <v>8607.8168999999998</v>
      </c>
    </row>
    <row r="37" spans="1:19" ht="12" customHeight="1" x14ac:dyDescent="0.2">
      <c r="A37" s="55">
        <v>2006</v>
      </c>
      <c r="B37" s="55" t="s">
        <v>7</v>
      </c>
      <c r="C37" s="82"/>
      <c r="D37" s="82">
        <v>10087.651199999998</v>
      </c>
      <c r="E37" s="78">
        <v>1894.2516000000003</v>
      </c>
      <c r="F37" s="78">
        <v>8193.3995999999988</v>
      </c>
      <c r="G37" s="82"/>
      <c r="H37" s="82"/>
      <c r="I37" s="82">
        <v>3808.7133600000002</v>
      </c>
      <c r="J37" s="82">
        <v>0</v>
      </c>
      <c r="K37" s="82">
        <v>244.42699999999999</v>
      </c>
      <c r="L37" s="82"/>
      <c r="M37" s="82"/>
      <c r="N37" s="82">
        <v>8288.8410800000001</v>
      </c>
      <c r="O37" s="78">
        <v>8288.8410800000001</v>
      </c>
      <c r="P37" s="78">
        <v>0</v>
      </c>
      <c r="Q37" s="73">
        <v>22429.63264</v>
      </c>
      <c r="R37" s="78">
        <v>14236.233039999999</v>
      </c>
      <c r="S37" s="78">
        <v>8193.3995999999988</v>
      </c>
    </row>
    <row r="38" spans="1:19" ht="12" customHeight="1" x14ac:dyDescent="0.2">
      <c r="A38" s="55">
        <v>2006</v>
      </c>
      <c r="B38" s="55" t="s">
        <v>8</v>
      </c>
      <c r="C38" s="82"/>
      <c r="D38" s="82">
        <v>10522.822200000001</v>
      </c>
      <c r="E38" s="78">
        <v>1786.5685999999998</v>
      </c>
      <c r="F38" s="78">
        <v>8736.2536</v>
      </c>
      <c r="G38" s="82"/>
      <c r="H38" s="82"/>
      <c r="I38" s="82">
        <v>2587.2305000000001</v>
      </c>
      <c r="J38" s="82">
        <v>0</v>
      </c>
      <c r="K38" s="82">
        <v>755.2115</v>
      </c>
      <c r="L38" s="82"/>
      <c r="M38" s="82"/>
      <c r="N38" s="82">
        <v>9091.833419999999</v>
      </c>
      <c r="O38" s="78">
        <v>9091.833419999999</v>
      </c>
      <c r="P38" s="78">
        <v>0</v>
      </c>
      <c r="Q38" s="73">
        <v>22957.097619999997</v>
      </c>
      <c r="R38" s="78">
        <v>14220.84402</v>
      </c>
      <c r="S38" s="78">
        <v>8736.2536</v>
      </c>
    </row>
    <row r="39" spans="1:19" ht="12" customHeight="1" x14ac:dyDescent="0.2">
      <c r="A39" s="55">
        <v>2006</v>
      </c>
      <c r="B39" s="55" t="s">
        <v>9</v>
      </c>
      <c r="C39" s="82"/>
      <c r="D39" s="82">
        <v>10499.804600000001</v>
      </c>
      <c r="E39" s="78">
        <v>1185.8947000000001</v>
      </c>
      <c r="F39" s="78">
        <v>9313.9099000000006</v>
      </c>
      <c r="G39" s="82"/>
      <c r="H39" s="82"/>
      <c r="I39" s="82">
        <v>877.13610000000006</v>
      </c>
      <c r="J39" s="82">
        <v>0</v>
      </c>
      <c r="K39" s="82">
        <v>893.40250000000003</v>
      </c>
      <c r="L39" s="82"/>
      <c r="M39" s="82"/>
      <c r="N39" s="82">
        <v>7174.8520000000008</v>
      </c>
      <c r="O39" s="78">
        <v>7174.8520000000008</v>
      </c>
      <c r="P39" s="78">
        <v>0</v>
      </c>
      <c r="Q39" s="73">
        <v>19445.195199999998</v>
      </c>
      <c r="R39" s="78">
        <v>10131.285300000001</v>
      </c>
      <c r="S39" s="78">
        <v>9313.9099000000006</v>
      </c>
    </row>
    <row r="40" spans="1:19" ht="12" customHeight="1" x14ac:dyDescent="0.2">
      <c r="A40" s="55">
        <v>2006</v>
      </c>
      <c r="B40" s="55" t="s">
        <v>10</v>
      </c>
      <c r="C40" s="82"/>
      <c r="D40" s="82">
        <v>8616.4374000000007</v>
      </c>
      <c r="E40" s="78">
        <v>1724.5744999999999</v>
      </c>
      <c r="F40" s="78">
        <v>6891.8629000000001</v>
      </c>
      <c r="G40" s="82"/>
      <c r="H40" s="82"/>
      <c r="I40" s="82">
        <v>3428.0843000000004</v>
      </c>
      <c r="J40" s="82">
        <v>0</v>
      </c>
      <c r="K40" s="82">
        <v>361.53090000000003</v>
      </c>
      <c r="L40" s="82"/>
      <c r="M40" s="82"/>
      <c r="N40" s="82">
        <v>7130.0367000000006</v>
      </c>
      <c r="O40" s="78">
        <v>7130.0367000000006</v>
      </c>
      <c r="P40" s="78">
        <v>0</v>
      </c>
      <c r="Q40" s="73">
        <v>19536.0893</v>
      </c>
      <c r="R40" s="78">
        <v>12644.2264</v>
      </c>
      <c r="S40" s="78">
        <v>6891.8629000000001</v>
      </c>
    </row>
    <row r="41" spans="1:19" ht="12" customHeight="1" x14ac:dyDescent="0.2">
      <c r="A41" s="55">
        <v>2006</v>
      </c>
      <c r="B41" s="55" t="s">
        <v>11</v>
      </c>
      <c r="C41" s="82"/>
      <c r="D41" s="82">
        <v>10497.7289</v>
      </c>
      <c r="E41" s="78">
        <v>3330.1387</v>
      </c>
      <c r="F41" s="78">
        <v>7167.5902000000006</v>
      </c>
      <c r="G41" s="82"/>
      <c r="H41" s="82"/>
      <c r="I41" s="82">
        <v>4569.5671700000003</v>
      </c>
      <c r="J41" s="82">
        <v>0</v>
      </c>
      <c r="K41" s="82">
        <v>0</v>
      </c>
      <c r="L41" s="82"/>
      <c r="M41" s="82"/>
      <c r="N41" s="82">
        <v>6963.4426000000003</v>
      </c>
      <c r="O41" s="78">
        <v>6963.4426000000003</v>
      </c>
      <c r="P41" s="78">
        <v>0</v>
      </c>
      <c r="Q41" s="73">
        <v>22030.738670000002</v>
      </c>
      <c r="R41" s="78">
        <v>14863.14847</v>
      </c>
      <c r="S41" s="78">
        <v>7167.5902000000006</v>
      </c>
    </row>
    <row r="42" spans="1:19" ht="12" customHeight="1" x14ac:dyDescent="0.2">
      <c r="A42" s="55">
        <v>2006</v>
      </c>
      <c r="B42" s="55" t="s">
        <v>12</v>
      </c>
      <c r="C42" s="82"/>
      <c r="D42" s="82">
        <v>11732.394400000001</v>
      </c>
      <c r="E42" s="78">
        <v>2888.3434999999999</v>
      </c>
      <c r="F42" s="78">
        <v>8844.0509000000002</v>
      </c>
      <c r="G42" s="82"/>
      <c r="H42" s="82"/>
      <c r="I42" s="82">
        <v>2678.9127699999999</v>
      </c>
      <c r="J42" s="82">
        <v>0</v>
      </c>
      <c r="K42" s="82">
        <v>276.62479999999999</v>
      </c>
      <c r="L42" s="82"/>
      <c r="M42" s="82"/>
      <c r="N42" s="82">
        <v>5418.2232999999987</v>
      </c>
      <c r="O42" s="78">
        <v>5418.2232999999987</v>
      </c>
      <c r="P42" s="78">
        <v>0</v>
      </c>
      <c r="Q42" s="73">
        <v>20106.155269999999</v>
      </c>
      <c r="R42" s="78">
        <v>11262.104369999997</v>
      </c>
      <c r="S42" s="78">
        <v>8844.0509000000002</v>
      </c>
    </row>
    <row r="43" spans="1:19" ht="12" customHeight="1" x14ac:dyDescent="0.2">
      <c r="A43" s="55">
        <v>2006</v>
      </c>
      <c r="B43" s="55" t="s">
        <v>13</v>
      </c>
      <c r="C43" s="82"/>
      <c r="D43" s="82">
        <v>10205.6708</v>
      </c>
      <c r="E43" s="78">
        <v>2723.8402000000001</v>
      </c>
      <c r="F43" s="78">
        <v>7481.8305999999993</v>
      </c>
      <c r="G43" s="82"/>
      <c r="H43" s="82"/>
      <c r="I43" s="82">
        <v>5725.8837999999996</v>
      </c>
      <c r="J43" s="82">
        <v>0</v>
      </c>
      <c r="K43" s="82">
        <v>1082.6498999999999</v>
      </c>
      <c r="L43" s="82"/>
      <c r="M43" s="82"/>
      <c r="N43" s="82">
        <v>5639.0132999999996</v>
      </c>
      <c r="O43" s="78">
        <v>5639.0132999999996</v>
      </c>
      <c r="P43" s="78">
        <v>0</v>
      </c>
      <c r="Q43" s="73">
        <v>22653.217800000002</v>
      </c>
      <c r="R43" s="78">
        <v>15171.387200000001</v>
      </c>
      <c r="S43" s="78">
        <v>7481.8305999999993</v>
      </c>
    </row>
    <row r="44" spans="1:19" ht="12" customHeight="1" x14ac:dyDescent="0.2">
      <c r="A44" s="55">
        <v>2006</v>
      </c>
      <c r="B44" s="55" t="s">
        <v>14</v>
      </c>
      <c r="C44" s="82"/>
      <c r="D44" s="82">
        <v>11918.189990000001</v>
      </c>
      <c r="E44" s="78">
        <v>3805.36609</v>
      </c>
      <c r="F44" s="78">
        <v>8112.8239000000003</v>
      </c>
      <c r="G44" s="82"/>
      <c r="H44" s="82"/>
      <c r="I44" s="82">
        <v>3505.7949999999996</v>
      </c>
      <c r="J44" s="82">
        <v>0</v>
      </c>
      <c r="K44" s="82">
        <v>517.37620000000004</v>
      </c>
      <c r="L44" s="82"/>
      <c r="M44" s="82"/>
      <c r="N44" s="82">
        <v>7919.0861599999998</v>
      </c>
      <c r="O44" s="78">
        <v>7919.0861599999998</v>
      </c>
      <c r="P44" s="78">
        <v>0</v>
      </c>
      <c r="Q44" s="73">
        <v>23860.447350000002</v>
      </c>
      <c r="R44" s="78">
        <v>15747.623449999999</v>
      </c>
      <c r="S44" s="78">
        <v>8112.8239000000003</v>
      </c>
    </row>
    <row r="45" spans="1:19" ht="12" customHeight="1" x14ac:dyDescent="0.2">
      <c r="A45" s="55">
        <v>2006</v>
      </c>
      <c r="B45" s="55" t="s">
        <v>15</v>
      </c>
      <c r="C45" s="82"/>
      <c r="D45" s="82">
        <v>131853.25769</v>
      </c>
      <c r="E45" s="78">
        <v>31761.993889999994</v>
      </c>
      <c r="F45" s="78">
        <v>100091.26380000002</v>
      </c>
      <c r="G45" s="82"/>
      <c r="H45" s="82"/>
      <c r="I45" s="82">
        <v>50468.167540000009</v>
      </c>
      <c r="J45" s="82">
        <v>0</v>
      </c>
      <c r="K45" s="82">
        <v>7914.3265399999991</v>
      </c>
      <c r="L45" s="82"/>
      <c r="M45" s="82"/>
      <c r="N45" s="82">
        <v>83161.463420000015</v>
      </c>
      <c r="O45" s="78">
        <v>83161.463420000015</v>
      </c>
      <c r="P45" s="78">
        <v>0</v>
      </c>
      <c r="Q45" s="73">
        <v>273397.21518999996</v>
      </c>
      <c r="R45" s="78">
        <v>173305.95139</v>
      </c>
      <c r="S45" s="78">
        <v>100091.26380000002</v>
      </c>
    </row>
    <row r="46" spans="1:19" ht="12" customHeight="1" x14ac:dyDescent="0.2">
      <c r="A46" s="55">
        <v>2007</v>
      </c>
      <c r="B46" s="55" t="s">
        <v>3</v>
      </c>
      <c r="C46" s="82"/>
      <c r="D46" s="82">
        <v>12453.908900000002</v>
      </c>
      <c r="E46" s="78">
        <v>2878.1840000000002</v>
      </c>
      <c r="F46" s="78">
        <v>9575.7249000000011</v>
      </c>
      <c r="G46" s="82"/>
      <c r="H46" s="82"/>
      <c r="I46" s="82">
        <v>5215.8926900000006</v>
      </c>
      <c r="J46" s="82">
        <v>0</v>
      </c>
      <c r="K46" s="82">
        <v>972.01550000000009</v>
      </c>
      <c r="L46" s="82"/>
      <c r="M46" s="82"/>
      <c r="N46" s="82">
        <v>8850.9755999999998</v>
      </c>
      <c r="O46" s="78">
        <v>8850.9755999999998</v>
      </c>
      <c r="P46" s="78">
        <v>0</v>
      </c>
      <c r="Q46" s="73">
        <v>27492.792689999998</v>
      </c>
      <c r="R46" s="78">
        <v>17917.067790000001</v>
      </c>
      <c r="S46" s="78">
        <v>9575.7249000000011</v>
      </c>
    </row>
    <row r="47" spans="1:19" ht="12" customHeight="1" x14ac:dyDescent="0.2">
      <c r="A47" s="55">
        <v>2007</v>
      </c>
      <c r="B47" s="55" t="s">
        <v>4</v>
      </c>
      <c r="C47" s="82"/>
      <c r="D47" s="82">
        <v>11179.161699999999</v>
      </c>
      <c r="E47" s="78">
        <v>2761.8094999999998</v>
      </c>
      <c r="F47" s="78">
        <v>8417.3521999999994</v>
      </c>
      <c r="G47" s="82"/>
      <c r="H47" s="82"/>
      <c r="I47" s="82">
        <v>4261.8127000000004</v>
      </c>
      <c r="J47" s="82">
        <v>0</v>
      </c>
      <c r="K47" s="82">
        <v>489.62604999999996</v>
      </c>
      <c r="L47" s="82"/>
      <c r="M47" s="82"/>
      <c r="N47" s="82">
        <v>7216.4392400000015</v>
      </c>
      <c r="O47" s="78">
        <v>7216.4392400000015</v>
      </c>
      <c r="P47" s="78">
        <v>0</v>
      </c>
      <c r="Q47" s="73">
        <v>23147.039690000001</v>
      </c>
      <c r="R47" s="78">
        <v>14729.68749</v>
      </c>
      <c r="S47" s="78">
        <v>8417.3521999999994</v>
      </c>
    </row>
    <row r="48" spans="1:19" ht="12" customHeight="1" x14ac:dyDescent="0.2">
      <c r="A48" s="55">
        <v>2007</v>
      </c>
      <c r="B48" s="55" t="s">
        <v>5</v>
      </c>
      <c r="C48" s="82"/>
      <c r="D48" s="82">
        <v>11486.260900000001</v>
      </c>
      <c r="E48" s="78">
        <v>4287.18</v>
      </c>
      <c r="F48" s="78">
        <v>7199.0808999999999</v>
      </c>
      <c r="G48" s="82"/>
      <c r="H48" s="82"/>
      <c r="I48" s="82">
        <v>4326.5854800000006</v>
      </c>
      <c r="J48" s="82">
        <v>0</v>
      </c>
      <c r="K48" s="82">
        <v>734.8605</v>
      </c>
      <c r="L48" s="82"/>
      <c r="M48" s="82"/>
      <c r="N48" s="82">
        <v>5791.86283</v>
      </c>
      <c r="O48" s="78">
        <v>5791.86283</v>
      </c>
      <c r="P48" s="78">
        <v>0</v>
      </c>
      <c r="Q48" s="73">
        <v>22339.56971</v>
      </c>
      <c r="R48" s="78">
        <v>15140.488810000003</v>
      </c>
      <c r="S48" s="78">
        <v>7199.0808999999999</v>
      </c>
    </row>
    <row r="49" spans="1:19" ht="12" customHeight="1" x14ac:dyDescent="0.2">
      <c r="A49" s="55">
        <v>2007</v>
      </c>
      <c r="B49" s="55" t="s">
        <v>6</v>
      </c>
      <c r="C49" s="82"/>
      <c r="D49" s="82">
        <v>10673.343059999999</v>
      </c>
      <c r="E49" s="78">
        <v>2992.5229600000002</v>
      </c>
      <c r="F49" s="78">
        <v>7680.8200999999999</v>
      </c>
      <c r="G49" s="82"/>
      <c r="H49" s="82"/>
      <c r="I49" s="82">
        <v>3813.6913800000002</v>
      </c>
      <c r="J49" s="82">
        <v>0</v>
      </c>
      <c r="K49" s="82">
        <v>732.50530000000003</v>
      </c>
      <c r="L49" s="82"/>
      <c r="M49" s="82"/>
      <c r="N49" s="82">
        <v>9532.9387999999999</v>
      </c>
      <c r="O49" s="78">
        <v>9532.9387999999999</v>
      </c>
      <c r="P49" s="78">
        <v>0</v>
      </c>
      <c r="Q49" s="73">
        <v>24752.478540000004</v>
      </c>
      <c r="R49" s="78">
        <v>17071.658439999999</v>
      </c>
      <c r="S49" s="78">
        <v>7680.8200999999999</v>
      </c>
    </row>
    <row r="50" spans="1:19" ht="12" customHeight="1" x14ac:dyDescent="0.2">
      <c r="A50" s="55">
        <v>2007</v>
      </c>
      <c r="B50" s="55" t="s">
        <v>7</v>
      </c>
      <c r="C50" s="82"/>
      <c r="D50" s="82">
        <v>9837.8513999999996</v>
      </c>
      <c r="E50" s="78">
        <v>2128.2712000000001</v>
      </c>
      <c r="F50" s="78">
        <v>7709.5802000000003</v>
      </c>
      <c r="G50" s="82"/>
      <c r="H50" s="82"/>
      <c r="I50" s="82">
        <v>5327.5448999999999</v>
      </c>
      <c r="J50" s="82">
        <v>0</v>
      </c>
      <c r="K50" s="82">
        <v>728.98119999999994</v>
      </c>
      <c r="L50" s="82"/>
      <c r="M50" s="82"/>
      <c r="N50" s="82">
        <v>8156.6562899999999</v>
      </c>
      <c r="O50" s="78">
        <v>8156.6562899999999</v>
      </c>
      <c r="P50" s="78">
        <v>0</v>
      </c>
      <c r="Q50" s="73">
        <v>24051.033789999998</v>
      </c>
      <c r="R50" s="78">
        <v>16341.453590000001</v>
      </c>
      <c r="S50" s="78">
        <v>7709.5802000000003</v>
      </c>
    </row>
    <row r="51" spans="1:19" ht="12" customHeight="1" x14ac:dyDescent="0.2">
      <c r="A51" s="55">
        <v>2007</v>
      </c>
      <c r="B51" s="55" t="s">
        <v>8</v>
      </c>
      <c r="C51" s="82"/>
      <c r="D51" s="82">
        <v>11543.076279999999</v>
      </c>
      <c r="E51" s="78">
        <v>4044.3561799999998</v>
      </c>
      <c r="F51" s="78">
        <v>7498.7200999999995</v>
      </c>
      <c r="G51" s="82"/>
      <c r="H51" s="82"/>
      <c r="I51" s="82">
        <v>4446.4313000000002</v>
      </c>
      <c r="J51" s="82">
        <v>0</v>
      </c>
      <c r="K51" s="82">
        <v>729.976</v>
      </c>
      <c r="L51" s="82"/>
      <c r="M51" s="82"/>
      <c r="N51" s="82">
        <v>6890.8115399999988</v>
      </c>
      <c r="O51" s="78">
        <v>6890.8115399999988</v>
      </c>
      <c r="P51" s="78">
        <v>0</v>
      </c>
      <c r="Q51" s="73">
        <v>23610.295119999999</v>
      </c>
      <c r="R51" s="78">
        <v>16111.575019999998</v>
      </c>
      <c r="S51" s="78">
        <v>7498.7200999999995</v>
      </c>
    </row>
    <row r="52" spans="1:19" ht="12" customHeight="1" x14ac:dyDescent="0.2">
      <c r="A52" s="55">
        <v>2007</v>
      </c>
      <c r="B52" s="55" t="s">
        <v>9</v>
      </c>
      <c r="C52" s="82"/>
      <c r="D52" s="82">
        <v>11223.471100000001</v>
      </c>
      <c r="E52" s="78">
        <v>3327.0639000000006</v>
      </c>
      <c r="F52" s="78">
        <v>7896.4072000000006</v>
      </c>
      <c r="G52" s="82"/>
      <c r="H52" s="82"/>
      <c r="I52" s="82">
        <v>3176.5895</v>
      </c>
      <c r="J52" s="82">
        <v>0</v>
      </c>
      <c r="K52" s="82">
        <v>733.02149999999995</v>
      </c>
      <c r="L52" s="82"/>
      <c r="M52" s="82"/>
      <c r="N52" s="82">
        <v>9801.8039400000016</v>
      </c>
      <c r="O52" s="78">
        <v>9801.8039400000016</v>
      </c>
      <c r="P52" s="78">
        <v>0</v>
      </c>
      <c r="Q52" s="73">
        <v>24934.886040000001</v>
      </c>
      <c r="R52" s="78">
        <v>17038.478840000003</v>
      </c>
      <c r="S52" s="78">
        <v>7896.4072000000006</v>
      </c>
    </row>
    <row r="53" spans="1:19" ht="12" customHeight="1" x14ac:dyDescent="0.2">
      <c r="A53" s="55">
        <v>2007</v>
      </c>
      <c r="B53" s="55" t="s">
        <v>10</v>
      </c>
      <c r="C53" s="82"/>
      <c r="D53" s="82">
        <v>11729.894700000001</v>
      </c>
      <c r="E53" s="78">
        <v>4555.9057000000003</v>
      </c>
      <c r="F53" s="78">
        <v>7173.9889999999996</v>
      </c>
      <c r="G53" s="82"/>
      <c r="H53" s="82"/>
      <c r="I53" s="82">
        <v>1949.5461</v>
      </c>
      <c r="J53" s="82">
        <v>0</v>
      </c>
      <c r="K53" s="82">
        <v>728.85950000000003</v>
      </c>
      <c r="L53" s="82"/>
      <c r="M53" s="82"/>
      <c r="N53" s="82">
        <v>8261.1672999999992</v>
      </c>
      <c r="O53" s="78">
        <v>8261.1672999999992</v>
      </c>
      <c r="P53" s="78">
        <v>0</v>
      </c>
      <c r="Q53" s="73">
        <v>22669.467599999996</v>
      </c>
      <c r="R53" s="78">
        <v>15495.4786</v>
      </c>
      <c r="S53" s="78">
        <v>7173.9889999999996</v>
      </c>
    </row>
    <row r="54" spans="1:19" ht="12" customHeight="1" x14ac:dyDescent="0.2">
      <c r="A54" s="55">
        <v>2007</v>
      </c>
      <c r="B54" s="55" t="s">
        <v>11</v>
      </c>
      <c r="C54" s="82"/>
      <c r="D54" s="82">
        <v>12221.108679999999</v>
      </c>
      <c r="E54" s="78">
        <v>4762.1935800000001</v>
      </c>
      <c r="F54" s="78">
        <v>7458.9150999999993</v>
      </c>
      <c r="G54" s="82"/>
      <c r="H54" s="82"/>
      <c r="I54" s="82">
        <v>2656.0738999999999</v>
      </c>
      <c r="J54" s="82">
        <v>0</v>
      </c>
      <c r="K54" s="82">
        <v>726.90150000000006</v>
      </c>
      <c r="L54" s="82"/>
      <c r="M54" s="82"/>
      <c r="N54" s="82">
        <v>8065.5438400000003</v>
      </c>
      <c r="O54" s="78">
        <v>8065.5438400000003</v>
      </c>
      <c r="P54" s="78">
        <v>0</v>
      </c>
      <c r="Q54" s="73">
        <v>23669.627920000003</v>
      </c>
      <c r="R54" s="78">
        <v>16210.712820000001</v>
      </c>
      <c r="S54" s="78">
        <v>7458.9150999999993</v>
      </c>
    </row>
    <row r="55" spans="1:19" ht="12" customHeight="1" x14ac:dyDescent="0.2">
      <c r="A55" s="55">
        <v>2007</v>
      </c>
      <c r="B55" s="55" t="s">
        <v>12</v>
      </c>
      <c r="C55" s="82"/>
      <c r="D55" s="82">
        <v>11619.05472</v>
      </c>
      <c r="E55" s="78">
        <v>4413.5881200000003</v>
      </c>
      <c r="F55" s="78">
        <v>7205.4665999999997</v>
      </c>
      <c r="G55" s="82"/>
      <c r="H55" s="82"/>
      <c r="I55" s="82">
        <v>4488.4258</v>
      </c>
      <c r="J55" s="82">
        <v>0</v>
      </c>
      <c r="K55" s="82">
        <v>727.89300000000003</v>
      </c>
      <c r="L55" s="82"/>
      <c r="M55" s="82"/>
      <c r="N55" s="82">
        <v>7964.9507999999987</v>
      </c>
      <c r="O55" s="78">
        <v>7964.9507999999987</v>
      </c>
      <c r="P55" s="78">
        <v>0</v>
      </c>
      <c r="Q55" s="73">
        <v>24800.32432</v>
      </c>
      <c r="R55" s="78">
        <v>17594.85772</v>
      </c>
      <c r="S55" s="78">
        <v>7205.4665999999997</v>
      </c>
    </row>
    <row r="56" spans="1:19" ht="12" customHeight="1" x14ac:dyDescent="0.2">
      <c r="A56" s="55">
        <v>2007</v>
      </c>
      <c r="B56" s="55" t="s">
        <v>13</v>
      </c>
      <c r="C56" s="82"/>
      <c r="D56" s="82">
        <v>15799.13307</v>
      </c>
      <c r="E56" s="78">
        <v>5173.96047</v>
      </c>
      <c r="F56" s="78">
        <v>10625.1726</v>
      </c>
      <c r="G56" s="82"/>
      <c r="H56" s="82"/>
      <c r="I56" s="82">
        <v>3961.1739800000005</v>
      </c>
      <c r="J56" s="82">
        <v>0</v>
      </c>
      <c r="K56" s="82">
        <v>728.35769999999991</v>
      </c>
      <c r="L56" s="82"/>
      <c r="M56" s="82"/>
      <c r="N56" s="82">
        <v>8338.4889000000003</v>
      </c>
      <c r="O56" s="78">
        <v>8338.4889000000003</v>
      </c>
      <c r="P56" s="78">
        <v>0</v>
      </c>
      <c r="Q56" s="73">
        <v>28827.15365</v>
      </c>
      <c r="R56" s="78">
        <v>18201.981050000002</v>
      </c>
      <c r="S56" s="78">
        <v>10625.1726</v>
      </c>
    </row>
    <row r="57" spans="1:19" ht="12" customHeight="1" x14ac:dyDescent="0.2">
      <c r="A57" s="55">
        <v>2007</v>
      </c>
      <c r="B57" s="55" t="s">
        <v>14</v>
      </c>
      <c r="C57" s="82"/>
      <c r="D57" s="82">
        <v>15974.934899999998</v>
      </c>
      <c r="E57" s="78">
        <v>5033.9261999999999</v>
      </c>
      <c r="F57" s="78">
        <v>10941.008699999998</v>
      </c>
      <c r="G57" s="82"/>
      <c r="H57" s="82"/>
      <c r="I57" s="82">
        <v>3040.6734700000002</v>
      </c>
      <c r="J57" s="82">
        <v>0</v>
      </c>
      <c r="K57" s="82">
        <v>727.16899999999998</v>
      </c>
      <c r="L57" s="82"/>
      <c r="M57" s="82"/>
      <c r="N57" s="82">
        <v>9445.8459999999995</v>
      </c>
      <c r="O57" s="78">
        <v>9086.2459999999992</v>
      </c>
      <c r="P57" s="78">
        <v>359.6</v>
      </c>
      <c r="Q57" s="73">
        <v>29188.623369999998</v>
      </c>
      <c r="R57" s="78">
        <v>17888.014669999997</v>
      </c>
      <c r="S57" s="78">
        <v>11300.608699999999</v>
      </c>
    </row>
    <row r="58" spans="1:19" ht="12" customHeight="1" x14ac:dyDescent="0.2">
      <c r="A58" s="55">
        <v>2007</v>
      </c>
      <c r="B58" s="55" t="s">
        <v>15</v>
      </c>
      <c r="C58" s="82"/>
      <c r="D58" s="82">
        <v>145741.19941000003</v>
      </c>
      <c r="E58" s="78">
        <v>46358.961810000001</v>
      </c>
      <c r="F58" s="78">
        <v>99382.237600000022</v>
      </c>
      <c r="G58" s="82"/>
      <c r="H58" s="82"/>
      <c r="I58" s="82">
        <v>46664.441200000001</v>
      </c>
      <c r="J58" s="82">
        <v>0</v>
      </c>
      <c r="K58" s="82">
        <v>8760.1667500000003</v>
      </c>
      <c r="L58" s="82"/>
      <c r="M58" s="82"/>
      <c r="N58" s="82">
        <v>98317.485079999999</v>
      </c>
      <c r="O58" s="78">
        <v>97957.885079999993</v>
      </c>
      <c r="P58" s="78">
        <v>359.6</v>
      </c>
      <c r="Q58" s="73">
        <v>299483.29243999999</v>
      </c>
      <c r="R58" s="78">
        <v>199741.45484000002</v>
      </c>
      <c r="S58" s="78">
        <v>99741.837600000028</v>
      </c>
    </row>
    <row r="59" spans="1:19" ht="12" customHeight="1" x14ac:dyDescent="0.2">
      <c r="A59" s="55">
        <v>2008</v>
      </c>
      <c r="B59" s="55" t="s">
        <v>3</v>
      </c>
      <c r="C59" s="82"/>
      <c r="D59" s="82">
        <v>14464.22135</v>
      </c>
      <c r="E59" s="78">
        <v>4291.3704499999994</v>
      </c>
      <c r="F59" s="78">
        <v>10172.850900000001</v>
      </c>
      <c r="G59" s="82"/>
      <c r="H59" s="82"/>
      <c r="I59" s="82">
        <v>3981.7162000000003</v>
      </c>
      <c r="J59" s="82"/>
      <c r="K59" s="82">
        <v>727.84839999999997</v>
      </c>
      <c r="L59" s="82"/>
      <c r="M59" s="82"/>
      <c r="N59" s="82">
        <v>9893.4251999999997</v>
      </c>
      <c r="O59" s="78">
        <v>9893.4251999999997</v>
      </c>
      <c r="P59" s="78">
        <v>0</v>
      </c>
      <c r="Q59" s="73">
        <v>29067.211149999996</v>
      </c>
      <c r="R59" s="78">
        <f t="shared" ref="R59:R90" si="0">O59+E59+I59+J59+K59</f>
        <v>18894.360249999998</v>
      </c>
      <c r="S59" s="78">
        <f t="shared" ref="S59:S90" si="1">F59+P59</f>
        <v>10172.850900000001</v>
      </c>
    </row>
    <row r="60" spans="1:19" ht="12" customHeight="1" x14ac:dyDescent="0.2">
      <c r="A60" s="55">
        <v>2008</v>
      </c>
      <c r="B60" s="55" t="s">
        <v>4</v>
      </c>
      <c r="C60" s="82"/>
      <c r="D60" s="82">
        <v>13975.409745000012</v>
      </c>
      <c r="E60" s="78">
        <v>3889.3593639999999</v>
      </c>
      <c r="F60" s="78">
        <v>10086.050381000012</v>
      </c>
      <c r="G60" s="82"/>
      <c r="H60" s="82"/>
      <c r="I60" s="82">
        <v>4570.8916040000004</v>
      </c>
      <c r="J60" s="82"/>
      <c r="K60" s="82">
        <v>487.262922</v>
      </c>
      <c r="L60" s="82"/>
      <c r="M60" s="82"/>
      <c r="N60" s="82">
        <v>8194.9515050449991</v>
      </c>
      <c r="O60" s="78">
        <v>8194.9513999999999</v>
      </c>
      <c r="P60" s="78">
        <v>0</v>
      </c>
      <c r="Q60" s="73">
        <v>27228.515776045013</v>
      </c>
      <c r="R60" s="78">
        <f t="shared" si="0"/>
        <v>17142.46529</v>
      </c>
      <c r="S60" s="78">
        <f t="shared" si="1"/>
        <v>10086.050381000012</v>
      </c>
    </row>
    <row r="61" spans="1:19" ht="12" customHeight="1" x14ac:dyDescent="0.2">
      <c r="A61" s="55">
        <v>2008</v>
      </c>
      <c r="B61" s="55" t="s">
        <v>5</v>
      </c>
      <c r="C61" s="82"/>
      <c r="D61" s="82">
        <v>14722.591792999998</v>
      </c>
      <c r="E61" s="78">
        <v>5051.8695819999994</v>
      </c>
      <c r="F61" s="78">
        <v>9670.7222109999984</v>
      </c>
      <c r="G61" s="82"/>
      <c r="H61" s="82"/>
      <c r="I61" s="82">
        <v>3651.3100509999999</v>
      </c>
      <c r="J61" s="82"/>
      <c r="K61" s="82">
        <v>730.30704000000003</v>
      </c>
      <c r="L61" s="82"/>
      <c r="M61" s="82"/>
      <c r="N61" s="82">
        <v>8385.7110087099991</v>
      </c>
      <c r="O61" s="78">
        <v>8385.7109</v>
      </c>
      <c r="P61" s="78">
        <v>0</v>
      </c>
      <c r="Q61" s="73">
        <v>27489.919892709997</v>
      </c>
      <c r="R61" s="78">
        <f t="shared" si="0"/>
        <v>17819.197572999998</v>
      </c>
      <c r="S61" s="78">
        <f t="shared" si="1"/>
        <v>9670.7222109999984</v>
      </c>
    </row>
    <row r="62" spans="1:19" ht="12" customHeight="1" x14ac:dyDescent="0.2">
      <c r="A62" s="55">
        <v>2008</v>
      </c>
      <c r="B62" s="55" t="s">
        <v>6</v>
      </c>
      <c r="C62" s="82"/>
      <c r="D62" s="82">
        <v>14551.938259999999</v>
      </c>
      <c r="E62" s="78">
        <v>5567.0351599999995</v>
      </c>
      <c r="F62" s="78">
        <v>8984.9030999999995</v>
      </c>
      <c r="G62" s="82"/>
      <c r="H62" s="82"/>
      <c r="I62" s="82">
        <v>5769.9930000000004</v>
      </c>
      <c r="J62" s="82"/>
      <c r="K62" s="82">
        <v>731.52121</v>
      </c>
      <c r="L62" s="82"/>
      <c r="M62" s="82"/>
      <c r="N62" s="82">
        <v>5381.5029999999988</v>
      </c>
      <c r="O62" s="78">
        <v>5381.5029999999997</v>
      </c>
      <c r="P62" s="78">
        <v>0</v>
      </c>
      <c r="Q62" s="73">
        <v>26434.955470000001</v>
      </c>
      <c r="R62" s="78">
        <f t="shared" si="0"/>
        <v>17450.052369999998</v>
      </c>
      <c r="S62" s="78">
        <f t="shared" si="1"/>
        <v>8984.9030999999995</v>
      </c>
    </row>
    <row r="63" spans="1:19" ht="12" customHeight="1" x14ac:dyDescent="0.2">
      <c r="A63" s="55">
        <v>2008</v>
      </c>
      <c r="B63" s="55" t="s">
        <v>7</v>
      </c>
      <c r="C63" s="82"/>
      <c r="D63" s="82">
        <v>13316.268371507998</v>
      </c>
      <c r="E63" s="78">
        <v>4671.0250309079993</v>
      </c>
      <c r="F63" s="78">
        <v>8645.2433405999982</v>
      </c>
      <c r="G63" s="82"/>
      <c r="H63" s="82"/>
      <c r="I63" s="82">
        <v>3681.1958450000002</v>
      </c>
      <c r="J63" s="82"/>
      <c r="K63" s="82">
        <v>491.92638199999999</v>
      </c>
      <c r="L63" s="82"/>
      <c r="M63" s="82"/>
      <c r="N63" s="82">
        <v>7820.5495608209994</v>
      </c>
      <c r="O63" s="78">
        <v>7820.5495600000004</v>
      </c>
      <c r="P63" s="78">
        <v>0</v>
      </c>
      <c r="Q63" s="73">
        <v>25309.940159328999</v>
      </c>
      <c r="R63" s="78">
        <f t="shared" si="0"/>
        <v>16664.696817908</v>
      </c>
      <c r="S63" s="78">
        <f t="shared" si="1"/>
        <v>8645.2433405999982</v>
      </c>
    </row>
    <row r="64" spans="1:19" ht="12" customHeight="1" x14ac:dyDescent="0.2">
      <c r="A64" s="55">
        <v>2008</v>
      </c>
      <c r="B64" s="55" t="s">
        <v>8</v>
      </c>
      <c r="C64" s="82"/>
      <c r="D64" s="82">
        <v>13522.501588380997</v>
      </c>
      <c r="E64" s="78">
        <v>4429.7051563810001</v>
      </c>
      <c r="F64" s="78">
        <v>9092.7964319999974</v>
      </c>
      <c r="G64" s="82"/>
      <c r="H64" s="82"/>
      <c r="I64" s="82">
        <v>3747.3704630000002</v>
      </c>
      <c r="J64" s="82"/>
      <c r="K64" s="82">
        <v>488.65575399999994</v>
      </c>
      <c r="L64" s="82"/>
      <c r="M64" s="82"/>
      <c r="N64" s="82">
        <v>10359.912332676999</v>
      </c>
      <c r="O64" s="78">
        <v>10359.91243</v>
      </c>
      <c r="P64" s="78">
        <v>0</v>
      </c>
      <c r="Q64" s="73">
        <v>28118.440138057995</v>
      </c>
      <c r="R64" s="78">
        <f t="shared" si="0"/>
        <v>19025.643803381001</v>
      </c>
      <c r="S64" s="78">
        <f t="shared" si="1"/>
        <v>9092.7964319999974</v>
      </c>
    </row>
    <row r="65" spans="1:19" ht="12" customHeight="1" x14ac:dyDescent="0.2">
      <c r="A65" s="55">
        <v>2008</v>
      </c>
      <c r="B65" s="55" t="s">
        <v>9</v>
      </c>
      <c r="C65" s="82"/>
      <c r="D65" s="82">
        <v>13547.120339999998</v>
      </c>
      <c r="E65" s="78">
        <v>4486.78964</v>
      </c>
      <c r="F65" s="78">
        <v>9060.3306999999986</v>
      </c>
      <c r="G65" s="82"/>
      <c r="H65" s="82"/>
      <c r="I65" s="82">
        <v>5335.3233</v>
      </c>
      <c r="J65" s="82"/>
      <c r="K65" s="82">
        <v>245.99520000000001</v>
      </c>
      <c r="L65" s="82"/>
      <c r="M65" s="82"/>
      <c r="N65" s="82">
        <v>9109.1418000000012</v>
      </c>
      <c r="O65" s="78">
        <v>9109.1418000000012</v>
      </c>
      <c r="P65" s="78">
        <v>0</v>
      </c>
      <c r="Q65" s="73">
        <v>28237.58064</v>
      </c>
      <c r="R65" s="78">
        <f t="shared" si="0"/>
        <v>19177.249940000002</v>
      </c>
      <c r="S65" s="78">
        <f t="shared" si="1"/>
        <v>9060.3306999999986</v>
      </c>
    </row>
    <row r="66" spans="1:19" ht="12" customHeight="1" x14ac:dyDescent="0.2">
      <c r="A66" s="55">
        <v>2008</v>
      </c>
      <c r="B66" s="55" t="s">
        <v>10</v>
      </c>
      <c r="C66" s="82"/>
      <c r="D66" s="82">
        <v>12098.78397525</v>
      </c>
      <c r="E66" s="78">
        <v>4175.2993699999997</v>
      </c>
      <c r="F66" s="78">
        <v>7923.4846052499997</v>
      </c>
      <c r="G66" s="82"/>
      <c r="H66" s="82"/>
      <c r="I66" s="82">
        <v>5590.6820989999997</v>
      </c>
      <c r="J66" s="82"/>
      <c r="K66" s="82"/>
      <c r="L66" s="82"/>
      <c r="M66" s="82"/>
      <c r="N66" s="82">
        <v>5253.4050593080001</v>
      </c>
      <c r="O66" s="78">
        <v>5253.4050999999999</v>
      </c>
      <c r="P66" s="78">
        <v>0</v>
      </c>
      <c r="Q66" s="73">
        <v>22942.871133558001</v>
      </c>
      <c r="R66" s="78">
        <f t="shared" si="0"/>
        <v>15019.386569</v>
      </c>
      <c r="S66" s="78">
        <f t="shared" si="1"/>
        <v>7923.4846052499997</v>
      </c>
    </row>
    <row r="67" spans="1:19" ht="12" customHeight="1" x14ac:dyDescent="0.2">
      <c r="A67" s="55">
        <v>2008</v>
      </c>
      <c r="B67" s="55" t="s">
        <v>11</v>
      </c>
      <c r="C67" s="82"/>
      <c r="D67" s="82">
        <v>11946.583757269</v>
      </c>
      <c r="E67" s="78">
        <v>3498.0562732690005</v>
      </c>
      <c r="F67" s="78">
        <v>8448.5274839999984</v>
      </c>
      <c r="G67" s="82"/>
      <c r="H67" s="82"/>
      <c r="I67" s="82">
        <v>6050.7831510000005</v>
      </c>
      <c r="J67" s="82"/>
      <c r="K67" s="82">
        <v>243.66650700000002</v>
      </c>
      <c r="L67" s="82"/>
      <c r="M67" s="82"/>
      <c r="N67" s="82">
        <v>5487.497894696</v>
      </c>
      <c r="O67" s="78">
        <v>5487.497800000001</v>
      </c>
      <c r="P67" s="78">
        <v>0</v>
      </c>
      <c r="Q67" s="73">
        <v>23728.531309965001</v>
      </c>
      <c r="R67" s="78">
        <f t="shared" si="0"/>
        <v>15280.003731269002</v>
      </c>
      <c r="S67" s="78">
        <f t="shared" si="1"/>
        <v>8448.5274839999984</v>
      </c>
    </row>
    <row r="68" spans="1:19" ht="12" customHeight="1" x14ac:dyDescent="0.2">
      <c r="A68" s="55">
        <v>2008</v>
      </c>
      <c r="B68" s="55" t="s">
        <v>12</v>
      </c>
      <c r="C68" s="82"/>
      <c r="D68" s="82">
        <v>12589.63645</v>
      </c>
      <c r="E68" s="78">
        <v>4281.7250469999999</v>
      </c>
      <c r="F68" s="78">
        <v>8307.9114030000001</v>
      </c>
      <c r="G68" s="82"/>
      <c r="H68" s="82"/>
      <c r="I68" s="82">
        <v>3088.5710750000003</v>
      </c>
      <c r="J68" s="82">
        <v>945.45519899999999</v>
      </c>
      <c r="K68" s="82">
        <v>487.410775</v>
      </c>
      <c r="L68" s="82"/>
      <c r="M68" s="82"/>
      <c r="N68" s="82">
        <v>9062.4817770000009</v>
      </c>
      <c r="O68" s="78">
        <v>9062.4818000000014</v>
      </c>
      <c r="P68" s="78">
        <v>0</v>
      </c>
      <c r="Q68" s="73">
        <v>26173.555275999999</v>
      </c>
      <c r="R68" s="78">
        <f t="shared" si="0"/>
        <v>17865.643896000001</v>
      </c>
      <c r="S68" s="78">
        <f t="shared" si="1"/>
        <v>8307.9114030000001</v>
      </c>
    </row>
    <row r="69" spans="1:19" ht="12" customHeight="1" x14ac:dyDescent="0.2">
      <c r="A69" s="55">
        <v>2008</v>
      </c>
      <c r="B69" s="55" t="s">
        <v>13</v>
      </c>
      <c r="C69" s="82"/>
      <c r="D69" s="82">
        <v>10811.583099903</v>
      </c>
      <c r="E69" s="78">
        <v>3611.996846903</v>
      </c>
      <c r="F69" s="78">
        <v>7199.5862530000004</v>
      </c>
      <c r="G69" s="82"/>
      <c r="H69" s="82"/>
      <c r="I69" s="82">
        <v>1774.1433959999999</v>
      </c>
      <c r="J69" s="82"/>
      <c r="K69" s="82">
        <v>728.00246300000003</v>
      </c>
      <c r="L69" s="82"/>
      <c r="M69" s="82"/>
      <c r="N69" s="82">
        <v>9399.8330500680004</v>
      </c>
      <c r="O69" s="78">
        <v>9399.8329300000023</v>
      </c>
      <c r="P69" s="78">
        <v>0</v>
      </c>
      <c r="Q69" s="73">
        <v>22713.562008971003</v>
      </c>
      <c r="R69" s="78">
        <f t="shared" si="0"/>
        <v>15513.975635903003</v>
      </c>
      <c r="S69" s="78">
        <f t="shared" si="1"/>
        <v>7199.5862530000004</v>
      </c>
    </row>
    <row r="70" spans="1:19" ht="12" customHeight="1" x14ac:dyDescent="0.2">
      <c r="A70" s="55">
        <v>2008</v>
      </c>
      <c r="B70" s="55" t="s">
        <v>14</v>
      </c>
      <c r="C70" s="82"/>
      <c r="D70" s="82">
        <v>9741.2072840000001</v>
      </c>
      <c r="E70" s="78">
        <v>3668.6501010000002</v>
      </c>
      <c r="F70" s="78">
        <v>6072.5571829999999</v>
      </c>
      <c r="G70" s="82"/>
      <c r="H70" s="82"/>
      <c r="I70" s="82">
        <v>4593.2986900000005</v>
      </c>
      <c r="J70" s="82"/>
      <c r="K70" s="82">
        <v>727.74471100000005</v>
      </c>
      <c r="L70" s="82"/>
      <c r="M70" s="82"/>
      <c r="N70" s="82">
        <v>4260.0752910000001</v>
      </c>
      <c r="O70" s="78">
        <v>4260.0753999999997</v>
      </c>
      <c r="P70" s="78">
        <v>0</v>
      </c>
      <c r="Q70" s="73">
        <v>19322.325976</v>
      </c>
      <c r="R70" s="78">
        <f t="shared" si="0"/>
        <v>13249.768902</v>
      </c>
      <c r="S70" s="78">
        <f t="shared" si="1"/>
        <v>6072.5571829999999</v>
      </c>
    </row>
    <row r="71" spans="1:19" ht="12" customHeight="1" x14ac:dyDescent="0.2">
      <c r="A71" s="55">
        <v>2008</v>
      </c>
      <c r="B71" s="55" t="s">
        <v>15</v>
      </c>
      <c r="C71" s="82"/>
      <c r="D71" s="82">
        <v>155287.84601431101</v>
      </c>
      <c r="E71" s="78">
        <v>51622.882021460995</v>
      </c>
      <c r="F71" s="78">
        <v>103664.96399285</v>
      </c>
      <c r="G71" s="82"/>
      <c r="H71" s="82"/>
      <c r="I71" s="82">
        <v>51835.278874000011</v>
      </c>
      <c r="J71" s="82">
        <v>945.45519899999999</v>
      </c>
      <c r="K71" s="82">
        <v>6090.3413639999999</v>
      </c>
      <c r="L71" s="82"/>
      <c r="M71" s="82"/>
      <c r="N71" s="82">
        <v>92608.487479324991</v>
      </c>
      <c r="O71" s="78">
        <f>SUM(O59:O70)</f>
        <v>92608.487320000015</v>
      </c>
      <c r="P71" s="78">
        <v>0</v>
      </c>
      <c r="Q71" s="73">
        <v>306767.40893063601</v>
      </c>
      <c r="R71" s="78">
        <f t="shared" si="0"/>
        <v>203102.44477846101</v>
      </c>
      <c r="S71" s="78">
        <f t="shared" si="1"/>
        <v>103664.96399285</v>
      </c>
    </row>
    <row r="72" spans="1:19" ht="12" customHeight="1" x14ac:dyDescent="0.2">
      <c r="A72" s="55">
        <v>2009</v>
      </c>
      <c r="B72" s="55" t="s">
        <v>3</v>
      </c>
      <c r="C72" s="82"/>
      <c r="D72" s="82">
        <v>10534.20248</v>
      </c>
      <c r="E72" s="78">
        <v>2530.3732</v>
      </c>
      <c r="F72" s="78">
        <v>8003.8292800000008</v>
      </c>
      <c r="G72" s="82"/>
      <c r="H72" s="82"/>
      <c r="I72" s="82">
        <v>7299.8898000000008</v>
      </c>
      <c r="J72" s="82"/>
      <c r="K72" s="82">
        <v>729.22405000000003</v>
      </c>
      <c r="L72" s="82"/>
      <c r="M72" s="82"/>
      <c r="N72" s="82">
        <v>4851.4980800000003</v>
      </c>
      <c r="O72" s="78">
        <v>4851.4980800000003</v>
      </c>
      <c r="P72" s="78">
        <v>0</v>
      </c>
      <c r="Q72" s="73">
        <v>23414.814410000003</v>
      </c>
      <c r="R72" s="78">
        <f t="shared" si="0"/>
        <v>15410.985130000001</v>
      </c>
      <c r="S72" s="78">
        <f t="shared" si="1"/>
        <v>8003.8292800000008</v>
      </c>
    </row>
    <row r="73" spans="1:19" ht="12" customHeight="1" x14ac:dyDescent="0.2">
      <c r="A73" s="55">
        <v>2009</v>
      </c>
      <c r="B73" s="55" t="s">
        <v>4</v>
      </c>
      <c r="C73" s="82"/>
      <c r="D73" s="82">
        <v>10154.860799999999</v>
      </c>
      <c r="E73" s="78">
        <v>4209.3656999999994</v>
      </c>
      <c r="F73" s="78">
        <v>5945.4950999999992</v>
      </c>
      <c r="G73" s="82"/>
      <c r="H73" s="82"/>
      <c r="I73" s="82">
        <v>4538.6113499999992</v>
      </c>
      <c r="J73" s="82"/>
      <c r="K73" s="82">
        <v>729.93799999999999</v>
      </c>
      <c r="L73" s="82"/>
      <c r="M73" s="82"/>
      <c r="N73" s="82">
        <v>3575.6431999999995</v>
      </c>
      <c r="O73" s="78">
        <v>3575.6431999999995</v>
      </c>
      <c r="P73" s="78">
        <v>0</v>
      </c>
      <c r="Q73" s="73">
        <v>18999.053349999995</v>
      </c>
      <c r="R73" s="78">
        <f t="shared" si="0"/>
        <v>13053.558249999998</v>
      </c>
      <c r="S73" s="78">
        <f t="shared" si="1"/>
        <v>5945.4950999999992</v>
      </c>
    </row>
    <row r="74" spans="1:19" ht="12" customHeight="1" x14ac:dyDescent="0.2">
      <c r="A74" s="55">
        <v>2009</v>
      </c>
      <c r="B74" s="55" t="s">
        <v>5</v>
      </c>
      <c r="C74" s="82"/>
      <c r="D74" s="82">
        <v>9344.1313200000004</v>
      </c>
      <c r="E74" s="78">
        <v>4172.5603200000005</v>
      </c>
      <c r="F74" s="78">
        <v>5171.5709999999999</v>
      </c>
      <c r="G74" s="82"/>
      <c r="H74" s="82"/>
      <c r="I74" s="82">
        <v>4347.0652699999991</v>
      </c>
      <c r="J74" s="82"/>
      <c r="K74" s="82">
        <v>974.79309999999998</v>
      </c>
      <c r="L74" s="82"/>
      <c r="M74" s="82"/>
      <c r="N74" s="82">
        <v>2773.7528200000002</v>
      </c>
      <c r="O74" s="78">
        <v>2773.7528200000002</v>
      </c>
      <c r="P74" s="78">
        <v>0</v>
      </c>
      <c r="Q74" s="73">
        <v>17439.74251</v>
      </c>
      <c r="R74" s="78">
        <f t="shared" si="0"/>
        <v>12268.17151</v>
      </c>
      <c r="S74" s="78">
        <f t="shared" si="1"/>
        <v>5171.5709999999999</v>
      </c>
    </row>
    <row r="75" spans="1:19" ht="12" customHeight="1" x14ac:dyDescent="0.2">
      <c r="A75" s="55">
        <v>2009</v>
      </c>
      <c r="B75" s="55" t="s">
        <v>6</v>
      </c>
      <c r="C75" s="82"/>
      <c r="D75" s="82">
        <v>10327.62528</v>
      </c>
      <c r="E75" s="78">
        <v>4079.2301299999999</v>
      </c>
      <c r="F75" s="78">
        <v>6248.3951500000003</v>
      </c>
      <c r="G75" s="82"/>
      <c r="H75" s="82"/>
      <c r="I75" s="82">
        <v>3838.4573300000002</v>
      </c>
      <c r="J75" s="82"/>
      <c r="K75" s="82">
        <v>729.70485000000008</v>
      </c>
      <c r="L75" s="82"/>
      <c r="M75" s="82"/>
      <c r="N75" s="82">
        <v>2554.8031599999995</v>
      </c>
      <c r="O75" s="78">
        <v>2554.8031599999999</v>
      </c>
      <c r="P75" s="78">
        <v>0</v>
      </c>
      <c r="Q75" s="73">
        <v>17450.590620000003</v>
      </c>
      <c r="R75" s="78">
        <f t="shared" si="0"/>
        <v>11202.195470000001</v>
      </c>
      <c r="S75" s="78">
        <f t="shared" si="1"/>
        <v>6248.3951500000003</v>
      </c>
    </row>
    <row r="76" spans="1:19" ht="12" customHeight="1" x14ac:dyDescent="0.2">
      <c r="A76" s="55">
        <v>2009</v>
      </c>
      <c r="B76" s="55" t="s">
        <v>7</v>
      </c>
      <c r="C76" s="82"/>
      <c r="D76" s="82">
        <v>10805.018799999998</v>
      </c>
      <c r="E76" s="78">
        <v>4334.9685299999992</v>
      </c>
      <c r="F76" s="78">
        <v>6470.0502699999997</v>
      </c>
      <c r="G76" s="82"/>
      <c r="H76" s="82"/>
      <c r="I76" s="82">
        <v>3673.6111799999999</v>
      </c>
      <c r="J76" s="82"/>
      <c r="K76" s="82">
        <v>728.77165999999988</v>
      </c>
      <c r="L76" s="82"/>
      <c r="M76" s="82"/>
      <c r="N76" s="82">
        <v>4611.7839499999991</v>
      </c>
      <c r="O76" s="78">
        <v>4611.7839499999991</v>
      </c>
      <c r="P76" s="78">
        <v>0</v>
      </c>
      <c r="Q76" s="73">
        <v>19819.185589999994</v>
      </c>
      <c r="R76" s="78">
        <f t="shared" si="0"/>
        <v>13349.135319999999</v>
      </c>
      <c r="S76" s="78">
        <f t="shared" si="1"/>
        <v>6470.0502699999997</v>
      </c>
    </row>
    <row r="77" spans="1:19" ht="12" customHeight="1" x14ac:dyDescent="0.2">
      <c r="A77" s="55">
        <v>2009</v>
      </c>
      <c r="B77" s="55" t="s">
        <v>8</v>
      </c>
      <c r="C77" s="82"/>
      <c r="D77" s="82">
        <v>12495.70558</v>
      </c>
      <c r="E77" s="78">
        <v>5436.0633600000001</v>
      </c>
      <c r="F77" s="78">
        <v>7059.6422199999997</v>
      </c>
      <c r="G77" s="82"/>
      <c r="H77" s="82"/>
      <c r="I77" s="82">
        <v>6349.3402599999999</v>
      </c>
      <c r="J77" s="82"/>
      <c r="K77" s="82">
        <v>729.98699999999997</v>
      </c>
      <c r="L77" s="82"/>
      <c r="M77" s="82"/>
      <c r="N77" s="82">
        <v>3678.4042100000001</v>
      </c>
      <c r="O77" s="78">
        <v>3678.4042100000001</v>
      </c>
      <c r="P77" s="78">
        <v>0</v>
      </c>
      <c r="Q77" s="73">
        <v>23253.43705</v>
      </c>
      <c r="R77" s="78">
        <f t="shared" si="0"/>
        <v>16193.794830000001</v>
      </c>
      <c r="S77" s="78">
        <f t="shared" si="1"/>
        <v>7059.6422199999997</v>
      </c>
    </row>
    <row r="78" spans="1:19" ht="12" customHeight="1" x14ac:dyDescent="0.2">
      <c r="A78" s="55">
        <v>2009</v>
      </c>
      <c r="B78" s="55" t="s">
        <v>9</v>
      </c>
      <c r="C78" s="82"/>
      <c r="D78" s="82">
        <v>13218.704229999999</v>
      </c>
      <c r="E78" s="78">
        <v>6284.2875099999992</v>
      </c>
      <c r="F78" s="78">
        <v>6934.4167200000002</v>
      </c>
      <c r="G78" s="82"/>
      <c r="H78" s="82"/>
      <c r="I78" s="82">
        <v>3712.1408800000004</v>
      </c>
      <c r="J78" s="82"/>
      <c r="K78" s="82">
        <v>732.75474999999994</v>
      </c>
      <c r="L78" s="82"/>
      <c r="M78" s="82"/>
      <c r="N78" s="82">
        <v>5562.0714600000001</v>
      </c>
      <c r="O78" s="78">
        <v>5562.0714600000001</v>
      </c>
      <c r="P78" s="78">
        <v>0</v>
      </c>
      <c r="Q78" s="73">
        <v>23225.671319999998</v>
      </c>
      <c r="R78" s="78">
        <f t="shared" si="0"/>
        <v>16291.2546</v>
      </c>
      <c r="S78" s="78">
        <f t="shared" si="1"/>
        <v>6934.4167200000002</v>
      </c>
    </row>
    <row r="79" spans="1:19" ht="12" customHeight="1" x14ac:dyDescent="0.2">
      <c r="A79" s="55">
        <v>2009</v>
      </c>
      <c r="B79" s="55" t="s">
        <v>10</v>
      </c>
      <c r="C79" s="82"/>
      <c r="D79" s="82">
        <v>11777.440999999999</v>
      </c>
      <c r="E79" s="78">
        <v>5840.7760200000002</v>
      </c>
      <c r="F79" s="78">
        <v>5936.6649799999996</v>
      </c>
      <c r="G79" s="82"/>
      <c r="H79" s="82"/>
      <c r="I79" s="82">
        <v>3711.7988600000003</v>
      </c>
      <c r="J79" s="82"/>
      <c r="K79" s="82">
        <v>235.89524</v>
      </c>
      <c r="L79" s="82"/>
      <c r="M79" s="82"/>
      <c r="N79" s="82">
        <v>3679.7094000000002</v>
      </c>
      <c r="O79" s="78">
        <v>3679.7094000000002</v>
      </c>
      <c r="P79" s="78">
        <v>0</v>
      </c>
      <c r="Q79" s="73">
        <v>19404.844499999999</v>
      </c>
      <c r="R79" s="78">
        <f t="shared" si="0"/>
        <v>13468.179520000002</v>
      </c>
      <c r="S79" s="78">
        <f t="shared" si="1"/>
        <v>5936.6649799999996</v>
      </c>
    </row>
    <row r="80" spans="1:19" ht="12" customHeight="1" x14ac:dyDescent="0.2">
      <c r="A80" s="55">
        <v>2009</v>
      </c>
      <c r="B80" s="55" t="s">
        <v>11</v>
      </c>
      <c r="C80" s="82"/>
      <c r="D80" s="82">
        <v>14604.630880000001</v>
      </c>
      <c r="E80" s="78">
        <v>7442.6070099999997</v>
      </c>
      <c r="F80" s="78">
        <v>7162.02387</v>
      </c>
      <c r="G80" s="82"/>
      <c r="H80" s="82"/>
      <c r="I80" s="82">
        <v>2665.6370999999999</v>
      </c>
      <c r="J80" s="82"/>
      <c r="K80" s="82">
        <v>718.12069999999994</v>
      </c>
      <c r="L80" s="82"/>
      <c r="M80" s="82"/>
      <c r="N80" s="82">
        <v>4430.6453300000003</v>
      </c>
      <c r="O80" s="78">
        <v>4430.6453300000003</v>
      </c>
      <c r="P80" s="78">
        <v>0</v>
      </c>
      <c r="Q80" s="73">
        <v>22419.034009999999</v>
      </c>
      <c r="R80" s="78">
        <f t="shared" si="0"/>
        <v>15257.010139999999</v>
      </c>
      <c r="S80" s="78">
        <f t="shared" si="1"/>
        <v>7162.02387</v>
      </c>
    </row>
    <row r="81" spans="1:19" ht="12" customHeight="1" x14ac:dyDescent="0.2">
      <c r="A81" s="55">
        <v>2009</v>
      </c>
      <c r="B81" s="55" t="s">
        <v>12</v>
      </c>
      <c r="C81" s="82"/>
      <c r="D81" s="82">
        <v>10574.504840000001</v>
      </c>
      <c r="E81" s="78">
        <v>4976.2038200000006</v>
      </c>
      <c r="F81" s="78">
        <v>5598.3010200000008</v>
      </c>
      <c r="G81" s="82"/>
      <c r="H81" s="82"/>
      <c r="I81" s="82">
        <v>5516.4729200000002</v>
      </c>
      <c r="J81" s="82"/>
      <c r="K81" s="82">
        <v>726.84145000000001</v>
      </c>
      <c r="L81" s="82"/>
      <c r="M81" s="82"/>
      <c r="N81" s="82">
        <v>3451.0356200000001</v>
      </c>
      <c r="O81" s="78">
        <v>3451.0356200000001</v>
      </c>
      <c r="P81" s="78">
        <v>0</v>
      </c>
      <c r="Q81" s="73">
        <v>20268.854830000004</v>
      </c>
      <c r="R81" s="78">
        <f t="shared" si="0"/>
        <v>14670.553810000001</v>
      </c>
      <c r="S81" s="78">
        <f t="shared" si="1"/>
        <v>5598.3010200000008</v>
      </c>
    </row>
    <row r="82" spans="1:19" ht="12" customHeight="1" x14ac:dyDescent="0.2">
      <c r="A82" s="55">
        <v>2009</v>
      </c>
      <c r="B82" s="55" t="s">
        <v>13</v>
      </c>
      <c r="C82" s="82"/>
      <c r="D82" s="82">
        <v>14050.327160000001</v>
      </c>
      <c r="E82" s="78">
        <v>5665.3707199999999</v>
      </c>
      <c r="F82" s="78">
        <v>8384.9564399999999</v>
      </c>
      <c r="G82" s="82"/>
      <c r="H82" s="82"/>
      <c r="I82" s="82">
        <v>4138.5535100000006</v>
      </c>
      <c r="J82" s="82"/>
      <c r="K82" s="82">
        <v>730.6228000000001</v>
      </c>
      <c r="L82" s="82"/>
      <c r="M82" s="82"/>
      <c r="N82" s="82">
        <v>6405.6896199999992</v>
      </c>
      <c r="O82" s="78">
        <v>6405.689620000001</v>
      </c>
      <c r="P82" s="78">
        <v>0</v>
      </c>
      <c r="Q82" s="73">
        <v>25325.193090000001</v>
      </c>
      <c r="R82" s="78">
        <f t="shared" si="0"/>
        <v>16940.236650000003</v>
      </c>
      <c r="S82" s="78">
        <f t="shared" si="1"/>
        <v>8384.9564399999999</v>
      </c>
    </row>
    <row r="83" spans="1:19" ht="12" customHeight="1" x14ac:dyDescent="0.2">
      <c r="A83" s="55">
        <v>2009</v>
      </c>
      <c r="B83" s="55" t="s">
        <v>14</v>
      </c>
      <c r="C83" s="82"/>
      <c r="D83" s="82">
        <v>14308.432979999998</v>
      </c>
      <c r="E83" s="78">
        <v>6323.984269999999</v>
      </c>
      <c r="F83" s="78">
        <v>7984.4487099999997</v>
      </c>
      <c r="G83" s="82"/>
      <c r="H83" s="82"/>
      <c r="I83" s="82">
        <v>1752.2125600000002</v>
      </c>
      <c r="J83" s="82"/>
      <c r="K83" s="82">
        <v>728.72307999999998</v>
      </c>
      <c r="L83" s="82"/>
      <c r="M83" s="82"/>
      <c r="N83" s="82">
        <v>5303.6410099999994</v>
      </c>
      <c r="O83" s="78">
        <v>5303.6410099999994</v>
      </c>
      <c r="P83" s="78">
        <v>0</v>
      </c>
      <c r="Q83" s="73">
        <v>22093.009629999997</v>
      </c>
      <c r="R83" s="78">
        <f t="shared" si="0"/>
        <v>14108.560919999998</v>
      </c>
      <c r="S83" s="78">
        <f t="shared" si="1"/>
        <v>7984.4487099999997</v>
      </c>
    </row>
    <row r="84" spans="1:19" ht="12" customHeight="1" x14ac:dyDescent="0.2">
      <c r="A84" s="55">
        <v>2009</v>
      </c>
      <c r="B84" s="55" t="s">
        <v>15</v>
      </c>
      <c r="C84" s="82"/>
      <c r="D84" s="82">
        <v>142195.58534999998</v>
      </c>
      <c r="E84" s="78">
        <v>61295.790589999997</v>
      </c>
      <c r="F84" s="78">
        <v>80899.79475999999</v>
      </c>
      <c r="G84" s="82"/>
      <c r="H84" s="82"/>
      <c r="I84" s="82">
        <v>51543.791020000004</v>
      </c>
      <c r="J84" s="82"/>
      <c r="K84" s="82">
        <v>8495.3766799999994</v>
      </c>
      <c r="L84" s="82"/>
      <c r="M84" s="82"/>
      <c r="N84" s="82">
        <v>50878.677859999996</v>
      </c>
      <c r="O84" s="78">
        <f>SUM(O72:O83)</f>
        <v>50878.677860000003</v>
      </c>
      <c r="P84" s="78">
        <v>0</v>
      </c>
      <c r="Q84" s="73">
        <v>253113.43091</v>
      </c>
      <c r="R84" s="78">
        <f t="shared" si="0"/>
        <v>172213.63614999998</v>
      </c>
      <c r="S84" s="78">
        <f t="shared" si="1"/>
        <v>80899.79475999999</v>
      </c>
    </row>
    <row r="85" spans="1:19" ht="12" customHeight="1" x14ac:dyDescent="0.2">
      <c r="A85" s="55">
        <v>2010</v>
      </c>
      <c r="B85" s="55" t="s">
        <v>3</v>
      </c>
      <c r="C85" s="82"/>
      <c r="D85" s="82">
        <v>13707.81884</v>
      </c>
      <c r="E85" s="78">
        <v>4830.7072799999996</v>
      </c>
      <c r="F85" s="78">
        <v>8877.1115600000012</v>
      </c>
      <c r="G85" s="82"/>
      <c r="H85" s="82"/>
      <c r="I85" s="82">
        <v>3628.0042999999996</v>
      </c>
      <c r="J85" s="82"/>
      <c r="K85" s="82">
        <v>727.47843</v>
      </c>
      <c r="L85" s="82"/>
      <c r="M85" s="82"/>
      <c r="N85" s="82">
        <v>6290.3787899999988</v>
      </c>
      <c r="O85" s="78">
        <v>6290.3787899999988</v>
      </c>
      <c r="P85" s="78">
        <v>0</v>
      </c>
      <c r="Q85" s="73">
        <v>24353.680359999998</v>
      </c>
      <c r="R85" s="78">
        <f t="shared" si="0"/>
        <v>15476.568799999997</v>
      </c>
      <c r="S85" s="78">
        <f t="shared" si="1"/>
        <v>8877.1115600000012</v>
      </c>
    </row>
    <row r="86" spans="1:19" ht="12" customHeight="1" x14ac:dyDescent="0.2">
      <c r="A86" s="55">
        <v>2010</v>
      </c>
      <c r="B86" s="55" t="s">
        <v>4</v>
      </c>
      <c r="C86" s="82"/>
      <c r="D86" s="82">
        <v>12381.990719999998</v>
      </c>
      <c r="E86" s="78">
        <v>4624.652759999999</v>
      </c>
      <c r="F86" s="78">
        <v>7757.3379599999998</v>
      </c>
      <c r="G86" s="82"/>
      <c r="H86" s="82"/>
      <c r="I86" s="82">
        <v>2766.5471200000002</v>
      </c>
      <c r="J86" s="82"/>
      <c r="K86" s="82">
        <v>481.99513000000002</v>
      </c>
      <c r="L86" s="82"/>
      <c r="M86" s="82"/>
      <c r="N86" s="82">
        <v>7490.7286900000008</v>
      </c>
      <c r="O86" s="78">
        <v>7490.7286900000008</v>
      </c>
      <c r="P86" s="78">
        <v>0</v>
      </c>
      <c r="Q86" s="73">
        <v>23121.261659999996</v>
      </c>
      <c r="R86" s="78">
        <f t="shared" si="0"/>
        <v>15363.923699999999</v>
      </c>
      <c r="S86" s="78">
        <f t="shared" si="1"/>
        <v>7757.3379599999998</v>
      </c>
    </row>
    <row r="87" spans="1:19" ht="12" customHeight="1" x14ac:dyDescent="0.2">
      <c r="A87" s="55">
        <v>2010</v>
      </c>
      <c r="B87" s="55" t="s">
        <v>5</v>
      </c>
      <c r="C87" s="82"/>
      <c r="D87" s="82">
        <v>14722.06941</v>
      </c>
      <c r="E87" s="78">
        <v>5673.8706600000005</v>
      </c>
      <c r="F87" s="78">
        <v>9048.1987499999996</v>
      </c>
      <c r="G87" s="82"/>
      <c r="H87" s="82"/>
      <c r="I87" s="82">
        <v>4583.5817400000005</v>
      </c>
      <c r="J87" s="82"/>
      <c r="K87" s="82">
        <v>485.03742000000005</v>
      </c>
      <c r="L87" s="82"/>
      <c r="M87" s="82"/>
      <c r="N87" s="82">
        <v>4949.4817499999999</v>
      </c>
      <c r="O87" s="78">
        <v>4949.4817499999999</v>
      </c>
      <c r="P87" s="78">
        <v>0</v>
      </c>
      <c r="Q87" s="73">
        <v>24740.170320000001</v>
      </c>
      <c r="R87" s="78">
        <f t="shared" si="0"/>
        <v>15691.971570000002</v>
      </c>
      <c r="S87" s="78">
        <f t="shared" si="1"/>
        <v>9048.1987499999996</v>
      </c>
    </row>
    <row r="88" spans="1:19" ht="12" customHeight="1" x14ac:dyDescent="0.2">
      <c r="A88" s="55">
        <v>2010</v>
      </c>
      <c r="B88" s="55" t="s">
        <v>6</v>
      </c>
      <c r="C88" s="82"/>
      <c r="D88" s="82">
        <v>9281.8473699999995</v>
      </c>
      <c r="E88" s="78">
        <v>3721.4627900000005</v>
      </c>
      <c r="F88" s="78">
        <v>5560.384579999999</v>
      </c>
      <c r="G88" s="82"/>
      <c r="H88" s="82"/>
      <c r="I88" s="82">
        <v>2760.9649199999999</v>
      </c>
      <c r="J88" s="82"/>
      <c r="K88" s="82">
        <v>489.87479000000002</v>
      </c>
      <c r="L88" s="82"/>
      <c r="M88" s="82"/>
      <c r="N88" s="82">
        <v>6921.7413399999996</v>
      </c>
      <c r="O88" s="78">
        <v>6921.7413399999996</v>
      </c>
      <c r="P88" s="78">
        <v>0</v>
      </c>
      <c r="Q88" s="73">
        <v>19454.42842</v>
      </c>
      <c r="R88" s="78">
        <f t="shared" si="0"/>
        <v>13894.04384</v>
      </c>
      <c r="S88" s="78">
        <f t="shared" si="1"/>
        <v>5560.384579999999</v>
      </c>
    </row>
    <row r="89" spans="1:19" ht="12" customHeight="1" x14ac:dyDescent="0.2">
      <c r="A89" s="55">
        <v>2010</v>
      </c>
      <c r="B89" s="55" t="s">
        <v>7</v>
      </c>
      <c r="C89" s="82"/>
      <c r="D89" s="82">
        <v>8920.5126299999993</v>
      </c>
      <c r="E89" s="78">
        <v>2609.7485899999997</v>
      </c>
      <c r="F89" s="78">
        <v>6310.76404</v>
      </c>
      <c r="G89" s="82"/>
      <c r="H89" s="82"/>
      <c r="I89" s="82">
        <v>2673.2382900000002</v>
      </c>
      <c r="J89" s="82"/>
      <c r="K89" s="82">
        <v>0</v>
      </c>
      <c r="L89" s="82"/>
      <c r="M89" s="82"/>
      <c r="N89" s="82">
        <v>7210.6325300000008</v>
      </c>
      <c r="O89" s="78">
        <v>7210.6325299999999</v>
      </c>
      <c r="P89" s="78">
        <v>0</v>
      </c>
      <c r="Q89" s="73">
        <v>18804.383450000001</v>
      </c>
      <c r="R89" s="78">
        <f t="shared" si="0"/>
        <v>12493.619409999999</v>
      </c>
      <c r="S89" s="78">
        <f t="shared" si="1"/>
        <v>6310.76404</v>
      </c>
    </row>
    <row r="90" spans="1:19" ht="12" customHeight="1" x14ac:dyDescent="0.2">
      <c r="A90" s="55">
        <v>2010</v>
      </c>
      <c r="B90" s="55" t="s">
        <v>8</v>
      </c>
      <c r="C90" s="82"/>
      <c r="D90" s="82">
        <v>11813.335739999999</v>
      </c>
      <c r="E90" s="78">
        <v>5922.6159600000001</v>
      </c>
      <c r="F90" s="78">
        <v>5890.7197799999994</v>
      </c>
      <c r="G90" s="82"/>
      <c r="H90" s="82"/>
      <c r="I90" s="82">
        <v>3628.48569</v>
      </c>
      <c r="J90" s="82"/>
      <c r="K90" s="82">
        <v>0</v>
      </c>
      <c r="L90" s="82"/>
      <c r="M90" s="82"/>
      <c r="N90" s="82">
        <v>6293.4827000000014</v>
      </c>
      <c r="O90" s="78">
        <v>6293.4827000000014</v>
      </c>
      <c r="P90" s="78">
        <v>0</v>
      </c>
      <c r="Q90" s="73">
        <v>21735.30413</v>
      </c>
      <c r="R90" s="78">
        <f t="shared" si="0"/>
        <v>15844.584350000001</v>
      </c>
      <c r="S90" s="78">
        <f t="shared" si="1"/>
        <v>5890.7197799999994</v>
      </c>
    </row>
    <row r="91" spans="1:19" ht="12" customHeight="1" x14ac:dyDescent="0.2">
      <c r="A91" s="55">
        <v>2010</v>
      </c>
      <c r="B91" s="55" t="s">
        <v>9</v>
      </c>
      <c r="C91" s="82"/>
      <c r="D91" s="82">
        <v>9775.6870199999994</v>
      </c>
      <c r="E91" s="78">
        <v>4156.1369800000002</v>
      </c>
      <c r="F91" s="78">
        <v>5619.5500399999992</v>
      </c>
      <c r="G91" s="82"/>
      <c r="H91" s="82"/>
      <c r="I91" s="82">
        <v>0</v>
      </c>
      <c r="J91" s="82"/>
      <c r="K91" s="82">
        <v>112.64192999999999</v>
      </c>
      <c r="L91" s="82"/>
      <c r="M91" s="82"/>
      <c r="N91" s="82">
        <v>11018.973959999999</v>
      </c>
      <c r="O91" s="78">
        <v>11018.973959999999</v>
      </c>
      <c r="P91" s="78">
        <v>0</v>
      </c>
      <c r="Q91" s="73">
        <v>20907.302910000002</v>
      </c>
      <c r="R91" s="78">
        <f t="shared" ref="R91:R122" si="2">O91+E91+I91+J91+K91</f>
        <v>15287.752869999998</v>
      </c>
      <c r="S91" s="78">
        <f t="shared" ref="S91:S122" si="3">F91+P91</f>
        <v>5619.5500399999992</v>
      </c>
    </row>
    <row r="92" spans="1:19" ht="12" customHeight="1" x14ac:dyDescent="0.2">
      <c r="A92" s="55">
        <v>2010</v>
      </c>
      <c r="B92" s="55" t="s">
        <v>10</v>
      </c>
      <c r="C92" s="82"/>
      <c r="D92" s="82">
        <v>6070.2462400000004</v>
      </c>
      <c r="E92" s="78">
        <v>1871.2303699999998</v>
      </c>
      <c r="F92" s="78">
        <v>4199.0158700000002</v>
      </c>
      <c r="G92" s="82"/>
      <c r="H92" s="82"/>
      <c r="I92" s="82">
        <v>1746.0916099999999</v>
      </c>
      <c r="J92" s="82"/>
      <c r="K92" s="82">
        <v>664.55223999999998</v>
      </c>
      <c r="L92" s="82"/>
      <c r="M92" s="82"/>
      <c r="N92" s="82">
        <v>11016.383440000001</v>
      </c>
      <c r="O92" s="78">
        <v>11016.383440000001</v>
      </c>
      <c r="P92" s="78">
        <v>0</v>
      </c>
      <c r="Q92" s="73">
        <v>19497.273530000002</v>
      </c>
      <c r="R92" s="78">
        <f t="shared" si="2"/>
        <v>15298.257659999999</v>
      </c>
      <c r="S92" s="78">
        <f t="shared" si="3"/>
        <v>4199.0158700000002</v>
      </c>
    </row>
    <row r="93" spans="1:19" ht="12" customHeight="1" x14ac:dyDescent="0.2">
      <c r="A93" s="55">
        <v>2010</v>
      </c>
      <c r="B93" s="55" t="s">
        <v>11</v>
      </c>
      <c r="C93" s="82"/>
      <c r="D93" s="82">
        <v>7572.5175600000002</v>
      </c>
      <c r="E93" s="78">
        <v>2833.3120500000005</v>
      </c>
      <c r="F93" s="78">
        <v>4739.2055099999998</v>
      </c>
      <c r="G93" s="82"/>
      <c r="H93" s="82"/>
      <c r="I93" s="82">
        <v>4644.8726999999999</v>
      </c>
      <c r="J93" s="82"/>
      <c r="K93" s="82">
        <v>435.65836999999999</v>
      </c>
      <c r="L93" s="82"/>
      <c r="M93" s="82"/>
      <c r="N93" s="82">
        <v>6464.4169000000002</v>
      </c>
      <c r="O93" s="78">
        <v>6464.4169000000002</v>
      </c>
      <c r="P93" s="78">
        <v>0</v>
      </c>
      <c r="Q93" s="73">
        <v>19117.465530000001</v>
      </c>
      <c r="R93" s="78">
        <f t="shared" si="2"/>
        <v>14378.26002</v>
      </c>
      <c r="S93" s="78">
        <f t="shared" si="3"/>
        <v>4739.2055099999998</v>
      </c>
    </row>
    <row r="94" spans="1:19" ht="12" customHeight="1" x14ac:dyDescent="0.2">
      <c r="A94" s="55">
        <v>2010</v>
      </c>
      <c r="B94" s="55" t="s">
        <v>12</v>
      </c>
      <c r="C94" s="82"/>
      <c r="D94" s="82">
        <v>10582.988649999999</v>
      </c>
      <c r="E94" s="78">
        <v>3857.5772899999997</v>
      </c>
      <c r="F94" s="78">
        <v>6725.4113599999991</v>
      </c>
      <c r="G94" s="82"/>
      <c r="H94" s="82"/>
      <c r="I94" s="82">
        <v>989.41246999999998</v>
      </c>
      <c r="J94" s="82"/>
      <c r="K94" s="82">
        <v>241.52457000000001</v>
      </c>
      <c r="L94" s="82"/>
      <c r="M94" s="82"/>
      <c r="N94" s="82">
        <v>6556.3986799999993</v>
      </c>
      <c r="O94" s="78">
        <v>6556.3986799999993</v>
      </c>
      <c r="P94" s="78">
        <v>0</v>
      </c>
      <c r="Q94" s="73">
        <v>18370.324369999998</v>
      </c>
      <c r="R94" s="78">
        <f t="shared" si="2"/>
        <v>11644.913009999998</v>
      </c>
      <c r="S94" s="78">
        <f t="shared" si="3"/>
        <v>6725.4113599999991</v>
      </c>
    </row>
    <row r="95" spans="1:19" ht="12" customHeight="1" x14ac:dyDescent="0.2">
      <c r="A95" s="55">
        <v>2010</v>
      </c>
      <c r="B95" s="55" t="s">
        <v>13</v>
      </c>
      <c r="C95" s="82"/>
      <c r="D95" s="82">
        <v>13331.883809999999</v>
      </c>
      <c r="E95" s="78">
        <v>5935.5038099999992</v>
      </c>
      <c r="F95" s="78">
        <v>7396.38</v>
      </c>
      <c r="G95" s="82"/>
      <c r="H95" s="82"/>
      <c r="I95" s="82">
        <v>2626.71218</v>
      </c>
      <c r="J95" s="82"/>
      <c r="K95" s="82">
        <v>0</v>
      </c>
      <c r="L95" s="82"/>
      <c r="M95" s="82"/>
      <c r="N95" s="82">
        <v>5438.8864299999996</v>
      </c>
      <c r="O95" s="78">
        <v>5438.8864299999996</v>
      </c>
      <c r="P95" s="78">
        <v>0</v>
      </c>
      <c r="Q95" s="73">
        <v>21397.482419999997</v>
      </c>
      <c r="R95" s="78">
        <f t="shared" si="2"/>
        <v>14001.102419999999</v>
      </c>
      <c r="S95" s="78">
        <f t="shared" si="3"/>
        <v>7396.38</v>
      </c>
    </row>
    <row r="96" spans="1:19" ht="12" customHeight="1" x14ac:dyDescent="0.2">
      <c r="A96" s="55">
        <v>2010</v>
      </c>
      <c r="B96" s="55" t="s">
        <v>14</v>
      </c>
      <c r="C96" s="82"/>
      <c r="D96" s="82">
        <v>15997.67628</v>
      </c>
      <c r="E96" s="78">
        <v>6902.2810499999996</v>
      </c>
      <c r="F96" s="78">
        <v>9095.3952300000001</v>
      </c>
      <c r="G96" s="82"/>
      <c r="H96" s="82"/>
      <c r="I96" s="82">
        <v>2680.1116899999997</v>
      </c>
      <c r="J96" s="82"/>
      <c r="K96" s="82">
        <v>489.54981999999995</v>
      </c>
      <c r="L96" s="82"/>
      <c r="M96" s="82"/>
      <c r="N96" s="82">
        <v>7341.6585999999988</v>
      </c>
      <c r="O96" s="78">
        <v>7341.6585999999998</v>
      </c>
      <c r="P96" s="78">
        <v>0</v>
      </c>
      <c r="Q96" s="73">
        <v>26508.99639</v>
      </c>
      <c r="R96" s="78">
        <f t="shared" si="2"/>
        <v>17413.601159999998</v>
      </c>
      <c r="S96" s="78">
        <f t="shared" si="3"/>
        <v>9095.3952300000001</v>
      </c>
    </row>
    <row r="97" spans="1:19" ht="12" customHeight="1" x14ac:dyDescent="0.2">
      <c r="A97" s="55">
        <v>2010</v>
      </c>
      <c r="B97" s="55" t="s">
        <v>15</v>
      </c>
      <c r="C97" s="82"/>
      <c r="D97" s="82">
        <v>134158.57426999998</v>
      </c>
      <c r="E97" s="78">
        <v>52939.099589999998</v>
      </c>
      <c r="F97" s="78">
        <v>81219.474679999999</v>
      </c>
      <c r="G97" s="82"/>
      <c r="H97" s="82"/>
      <c r="I97" s="82">
        <v>32728.022709999997</v>
      </c>
      <c r="J97" s="82"/>
      <c r="K97" s="82">
        <v>4128.3126999999995</v>
      </c>
      <c r="L97" s="82"/>
      <c r="M97" s="82"/>
      <c r="N97" s="82">
        <v>86993.163809999998</v>
      </c>
      <c r="O97" s="78">
        <f>SUM(O85:O96)</f>
        <v>86993.163809999998</v>
      </c>
      <c r="P97" s="78">
        <v>0</v>
      </c>
      <c r="Q97" s="73">
        <v>258008.07348999998</v>
      </c>
      <c r="R97" s="78">
        <f t="shared" si="2"/>
        <v>176788.59881</v>
      </c>
      <c r="S97" s="78">
        <f t="shared" si="3"/>
        <v>81219.474679999999</v>
      </c>
    </row>
    <row r="98" spans="1:19" ht="12" customHeight="1" x14ac:dyDescent="0.2">
      <c r="A98" s="55">
        <v>2011</v>
      </c>
      <c r="B98" s="55" t="s">
        <v>3</v>
      </c>
      <c r="C98" s="82"/>
      <c r="D98" s="82">
        <v>14646.527979999999</v>
      </c>
      <c r="E98" s="78">
        <v>5250.8415000000005</v>
      </c>
      <c r="F98" s="78">
        <v>9395.6864799999985</v>
      </c>
      <c r="G98" s="82"/>
      <c r="H98" s="82"/>
      <c r="I98" s="82">
        <v>3630.5173799999998</v>
      </c>
      <c r="J98" s="82"/>
      <c r="K98" s="82">
        <v>483.48177000000004</v>
      </c>
      <c r="L98" s="82"/>
      <c r="M98" s="82"/>
      <c r="N98" s="82">
        <v>8009.3832900000007</v>
      </c>
      <c r="O98" s="78">
        <v>8009.3832899999998</v>
      </c>
      <c r="P98" s="78">
        <v>0</v>
      </c>
      <c r="Q98" s="73">
        <v>26769.91042</v>
      </c>
      <c r="R98" s="78">
        <f t="shared" si="2"/>
        <v>17374.22394</v>
      </c>
      <c r="S98" s="78">
        <f t="shared" si="3"/>
        <v>9395.6864799999985</v>
      </c>
    </row>
    <row r="99" spans="1:19" ht="12" customHeight="1" x14ac:dyDescent="0.2">
      <c r="A99" s="55">
        <v>2011</v>
      </c>
      <c r="B99" s="55" t="s">
        <v>4</v>
      </c>
      <c r="C99" s="82"/>
      <c r="D99" s="82">
        <v>15202.761370000002</v>
      </c>
      <c r="E99" s="78">
        <v>6304.6030100000007</v>
      </c>
      <c r="F99" s="78">
        <v>8898.1583600000013</v>
      </c>
      <c r="G99" s="82"/>
      <c r="H99" s="82"/>
      <c r="I99" s="82">
        <v>2675.6326099999997</v>
      </c>
      <c r="J99" s="82"/>
      <c r="K99" s="82">
        <v>483.42990000000003</v>
      </c>
      <c r="L99" s="82"/>
      <c r="M99" s="82"/>
      <c r="N99" s="82">
        <v>4387.12165</v>
      </c>
      <c r="O99" s="78">
        <v>4387.12165</v>
      </c>
      <c r="P99" s="78">
        <v>0</v>
      </c>
      <c r="Q99" s="73">
        <v>22748.945530000001</v>
      </c>
      <c r="R99" s="78">
        <f t="shared" si="2"/>
        <v>13850.78717</v>
      </c>
      <c r="S99" s="78">
        <f t="shared" si="3"/>
        <v>8898.1583600000013</v>
      </c>
    </row>
    <row r="100" spans="1:19" ht="12" customHeight="1" x14ac:dyDescent="0.2">
      <c r="A100" s="55">
        <v>2011</v>
      </c>
      <c r="B100" s="55" t="s">
        <v>5</v>
      </c>
      <c r="C100" s="82"/>
      <c r="D100" s="82">
        <v>13923.311129999998</v>
      </c>
      <c r="E100" s="78">
        <v>3530.4107399999998</v>
      </c>
      <c r="F100" s="78">
        <v>10392.900389999999</v>
      </c>
      <c r="G100" s="82"/>
      <c r="H100" s="82"/>
      <c r="I100" s="82">
        <v>4531.3085600000004</v>
      </c>
      <c r="J100" s="82"/>
      <c r="K100" s="82"/>
      <c r="L100" s="82"/>
      <c r="M100" s="82"/>
      <c r="N100" s="82">
        <v>6395.1325499999984</v>
      </c>
      <c r="O100" s="78">
        <v>6395.1325499999984</v>
      </c>
      <c r="P100" s="78">
        <v>0</v>
      </c>
      <c r="Q100" s="73">
        <v>24849.752239999998</v>
      </c>
      <c r="R100" s="78">
        <f t="shared" si="2"/>
        <v>14456.851849999999</v>
      </c>
      <c r="S100" s="78">
        <f t="shared" si="3"/>
        <v>10392.900389999999</v>
      </c>
    </row>
    <row r="101" spans="1:19" ht="12" customHeight="1" x14ac:dyDescent="0.2">
      <c r="A101" s="55">
        <v>2011</v>
      </c>
      <c r="B101" s="55" t="s">
        <v>6</v>
      </c>
      <c r="C101" s="82"/>
      <c r="D101" s="82">
        <v>10586.596439999999</v>
      </c>
      <c r="E101" s="78">
        <v>2909.6271499999993</v>
      </c>
      <c r="F101" s="78">
        <v>7676.96929</v>
      </c>
      <c r="G101" s="82"/>
      <c r="H101" s="82"/>
      <c r="I101" s="82">
        <v>1771.3465499999998</v>
      </c>
      <c r="J101" s="82"/>
      <c r="K101" s="82"/>
      <c r="L101" s="82"/>
      <c r="M101" s="82"/>
      <c r="N101" s="82">
        <v>8538.7559999999976</v>
      </c>
      <c r="O101" s="78">
        <v>8538.7559999999976</v>
      </c>
      <c r="P101" s="78">
        <v>0</v>
      </c>
      <c r="Q101" s="73">
        <v>20896.698989999994</v>
      </c>
      <c r="R101" s="78">
        <f t="shared" si="2"/>
        <v>13219.729699999998</v>
      </c>
      <c r="S101" s="78">
        <f t="shared" si="3"/>
        <v>7676.96929</v>
      </c>
    </row>
    <row r="102" spans="1:19" ht="12" customHeight="1" x14ac:dyDescent="0.2">
      <c r="A102" s="55">
        <v>2011</v>
      </c>
      <c r="B102" s="55" t="s">
        <v>7</v>
      </c>
      <c r="C102" s="82"/>
      <c r="D102" s="82">
        <v>9476.6428200000009</v>
      </c>
      <c r="E102" s="78">
        <v>1582.0877800000003</v>
      </c>
      <c r="F102" s="78">
        <v>7894.5550400000002</v>
      </c>
      <c r="G102" s="82"/>
      <c r="H102" s="82"/>
      <c r="I102" s="82">
        <v>1755.5515299999997</v>
      </c>
      <c r="J102" s="82"/>
      <c r="K102" s="82"/>
      <c r="L102" s="82"/>
      <c r="M102" s="82"/>
      <c r="N102" s="82">
        <v>8503.4375699999982</v>
      </c>
      <c r="O102" s="78">
        <v>8503.4375699999982</v>
      </c>
      <c r="P102" s="78">
        <v>0</v>
      </c>
      <c r="Q102" s="73">
        <v>19735.63192</v>
      </c>
      <c r="R102" s="78">
        <f t="shared" si="2"/>
        <v>11841.076879999997</v>
      </c>
      <c r="S102" s="78">
        <f t="shared" si="3"/>
        <v>7894.5550400000002</v>
      </c>
    </row>
    <row r="103" spans="1:19" ht="12" customHeight="1" x14ac:dyDescent="0.2">
      <c r="A103" s="55">
        <v>2011</v>
      </c>
      <c r="B103" s="55" t="s">
        <v>8</v>
      </c>
      <c r="C103" s="82"/>
      <c r="D103" s="82">
        <v>16261.360260000001</v>
      </c>
      <c r="E103" s="78">
        <v>4121.9345199999998</v>
      </c>
      <c r="F103" s="78">
        <v>12139.425740000002</v>
      </c>
      <c r="G103" s="82"/>
      <c r="H103" s="82"/>
      <c r="I103" s="82">
        <v>1846.5483900000002</v>
      </c>
      <c r="J103" s="82"/>
      <c r="K103" s="82"/>
      <c r="L103" s="82"/>
      <c r="M103" s="82"/>
      <c r="N103" s="82">
        <v>4360.6539399999992</v>
      </c>
      <c r="O103" s="78">
        <v>4360.6539400000001</v>
      </c>
      <c r="P103" s="78">
        <v>0</v>
      </c>
      <c r="Q103" s="73">
        <v>22468.562590000001</v>
      </c>
      <c r="R103" s="78">
        <f t="shared" si="2"/>
        <v>10329.136849999999</v>
      </c>
      <c r="S103" s="78">
        <f t="shared" si="3"/>
        <v>12139.425740000002</v>
      </c>
    </row>
    <row r="104" spans="1:19" ht="12" customHeight="1" x14ac:dyDescent="0.2">
      <c r="A104" s="55">
        <v>2011</v>
      </c>
      <c r="B104" s="55" t="s">
        <v>9</v>
      </c>
      <c r="C104" s="82"/>
      <c r="D104" s="82">
        <v>11580.965269999999</v>
      </c>
      <c r="E104" s="78">
        <v>2816.20091</v>
      </c>
      <c r="F104" s="78">
        <v>8764.7643599999992</v>
      </c>
      <c r="G104" s="82"/>
      <c r="H104" s="82"/>
      <c r="I104" s="82">
        <v>1846.6584499999999</v>
      </c>
      <c r="J104" s="82"/>
      <c r="K104" s="82"/>
      <c r="L104" s="82"/>
      <c r="M104" s="82"/>
      <c r="N104" s="82">
        <v>5135.4048400000001</v>
      </c>
      <c r="O104" s="78">
        <v>5135.4048400000001</v>
      </c>
      <c r="P104" s="78">
        <v>0</v>
      </c>
      <c r="Q104" s="73">
        <v>18563.028559999999</v>
      </c>
      <c r="R104" s="78">
        <f t="shared" si="2"/>
        <v>9798.2642000000014</v>
      </c>
      <c r="S104" s="78">
        <f t="shared" si="3"/>
        <v>8764.7643599999992</v>
      </c>
    </row>
    <row r="105" spans="1:19" ht="12" customHeight="1" x14ac:dyDescent="0.2">
      <c r="A105" s="55">
        <v>2011</v>
      </c>
      <c r="B105" s="55" t="s">
        <v>10</v>
      </c>
      <c r="C105" s="82"/>
      <c r="D105" s="82">
        <v>8044.9821000000011</v>
      </c>
      <c r="E105" s="78">
        <v>2765.1995499999998</v>
      </c>
      <c r="F105" s="78">
        <v>5279.7825500000008</v>
      </c>
      <c r="G105" s="82"/>
      <c r="H105" s="82"/>
      <c r="I105" s="82">
        <v>2770.7578000000003</v>
      </c>
      <c r="J105" s="82"/>
      <c r="K105" s="82"/>
      <c r="L105" s="82"/>
      <c r="M105" s="82"/>
      <c r="N105" s="82">
        <v>6022.7728999999999</v>
      </c>
      <c r="O105" s="78">
        <v>6022.7728999999999</v>
      </c>
      <c r="P105" s="78">
        <v>0</v>
      </c>
      <c r="Q105" s="73">
        <v>16838.5128</v>
      </c>
      <c r="R105" s="78">
        <f t="shared" si="2"/>
        <v>11558.730250000001</v>
      </c>
      <c r="S105" s="78">
        <f t="shared" si="3"/>
        <v>5279.7825500000008</v>
      </c>
    </row>
    <row r="106" spans="1:19" ht="12" customHeight="1" x14ac:dyDescent="0.2">
      <c r="A106" s="55">
        <v>2011</v>
      </c>
      <c r="B106" s="55" t="s">
        <v>11</v>
      </c>
      <c r="C106" s="82"/>
      <c r="D106" s="82">
        <v>10790.50416</v>
      </c>
      <c r="E106" s="78">
        <v>2583.2520600000003</v>
      </c>
      <c r="F106" s="78">
        <v>8207.2520999999997</v>
      </c>
      <c r="G106" s="82"/>
      <c r="H106" s="82"/>
      <c r="I106" s="82">
        <v>882.97893999999997</v>
      </c>
      <c r="J106" s="82"/>
      <c r="K106" s="82"/>
      <c r="L106" s="82"/>
      <c r="M106" s="82"/>
      <c r="N106" s="82">
        <v>6302.5384800000002</v>
      </c>
      <c r="O106" s="78">
        <v>6302.5384800000002</v>
      </c>
      <c r="P106" s="78">
        <v>0</v>
      </c>
      <c r="Q106" s="73">
        <v>17976.021580000001</v>
      </c>
      <c r="R106" s="78">
        <f t="shared" si="2"/>
        <v>9768.769479999999</v>
      </c>
      <c r="S106" s="78">
        <f t="shared" si="3"/>
        <v>8207.2520999999997</v>
      </c>
    </row>
    <row r="107" spans="1:19" ht="12" customHeight="1" x14ac:dyDescent="0.2">
      <c r="A107" s="55">
        <v>2011</v>
      </c>
      <c r="B107" s="55" t="s">
        <v>12</v>
      </c>
      <c r="C107" s="82"/>
      <c r="D107" s="82">
        <v>13248.544660000001</v>
      </c>
      <c r="E107" s="78">
        <v>3600.6961100000003</v>
      </c>
      <c r="F107" s="78">
        <v>9647.8485500000006</v>
      </c>
      <c r="G107" s="82"/>
      <c r="H107" s="82"/>
      <c r="I107" s="82">
        <v>663.64989000000003</v>
      </c>
      <c r="J107" s="82"/>
      <c r="K107" s="82"/>
      <c r="L107" s="82"/>
      <c r="M107" s="82"/>
      <c r="N107" s="82">
        <v>6151.8694000000005</v>
      </c>
      <c r="O107" s="78">
        <v>6151.8694000000005</v>
      </c>
      <c r="P107" s="78">
        <v>0</v>
      </c>
      <c r="Q107" s="73">
        <v>20064.063950000003</v>
      </c>
      <c r="R107" s="78">
        <f t="shared" si="2"/>
        <v>10416.215400000001</v>
      </c>
      <c r="S107" s="78">
        <f t="shared" si="3"/>
        <v>9647.8485500000006</v>
      </c>
    </row>
    <row r="108" spans="1:19" ht="12" customHeight="1" x14ac:dyDescent="0.2">
      <c r="A108" s="55">
        <v>2011</v>
      </c>
      <c r="B108" s="55" t="s">
        <v>13</v>
      </c>
      <c r="C108" s="82"/>
      <c r="D108" s="82">
        <v>14907.12384</v>
      </c>
      <c r="E108" s="78">
        <v>5208.3991900000001</v>
      </c>
      <c r="F108" s="78">
        <v>9698.7246500000001</v>
      </c>
      <c r="G108" s="82"/>
      <c r="H108" s="82"/>
      <c r="I108" s="82">
        <v>898.97208999999998</v>
      </c>
      <c r="J108" s="82"/>
      <c r="K108" s="82"/>
      <c r="L108" s="82"/>
      <c r="M108" s="82"/>
      <c r="N108" s="82">
        <v>4547.0459800000008</v>
      </c>
      <c r="O108" s="78">
        <v>4547.0459800000008</v>
      </c>
      <c r="P108" s="78">
        <v>0</v>
      </c>
      <c r="Q108" s="73">
        <v>20353.141910000002</v>
      </c>
      <c r="R108" s="78">
        <f t="shared" si="2"/>
        <v>10654.41726</v>
      </c>
      <c r="S108" s="78">
        <f t="shared" si="3"/>
        <v>9698.7246500000001</v>
      </c>
    </row>
    <row r="109" spans="1:19" ht="12" customHeight="1" x14ac:dyDescent="0.2">
      <c r="A109" s="55">
        <v>2011</v>
      </c>
      <c r="B109" s="55" t="s">
        <v>14</v>
      </c>
      <c r="C109" s="82"/>
      <c r="D109" s="82">
        <v>13127.791229999999</v>
      </c>
      <c r="E109" s="78">
        <v>2685.3696100000002</v>
      </c>
      <c r="F109" s="78">
        <v>10442.421619999999</v>
      </c>
      <c r="G109" s="82"/>
      <c r="H109" s="82"/>
      <c r="I109" s="82">
        <v>2659.1539900000002</v>
      </c>
      <c r="J109" s="82"/>
      <c r="K109" s="82"/>
      <c r="L109" s="82"/>
      <c r="M109" s="82"/>
      <c r="N109" s="82">
        <v>5854.39545</v>
      </c>
      <c r="O109" s="78">
        <v>5854.39545</v>
      </c>
      <c r="P109" s="78">
        <v>0</v>
      </c>
      <c r="Q109" s="73">
        <v>21641.340669999998</v>
      </c>
      <c r="R109" s="78">
        <f t="shared" si="2"/>
        <v>11198.91905</v>
      </c>
      <c r="S109" s="78">
        <f t="shared" si="3"/>
        <v>10442.421619999999</v>
      </c>
    </row>
    <row r="110" spans="1:19" ht="12" customHeight="1" x14ac:dyDescent="0.2">
      <c r="A110" s="55">
        <v>2011</v>
      </c>
      <c r="B110" s="55" t="s">
        <v>15</v>
      </c>
      <c r="C110" s="82"/>
      <c r="D110" s="82">
        <v>151797.11126000001</v>
      </c>
      <c r="E110" s="78">
        <v>43358.622129999996</v>
      </c>
      <c r="F110" s="78">
        <v>108438.48912999999</v>
      </c>
      <c r="G110" s="82"/>
      <c r="H110" s="82"/>
      <c r="I110" s="82">
        <v>25933.076179999996</v>
      </c>
      <c r="J110" s="82"/>
      <c r="K110" s="82">
        <v>966.91167000000007</v>
      </c>
      <c r="L110" s="82"/>
      <c r="M110" s="82"/>
      <c r="N110" s="82">
        <v>74208.512050000005</v>
      </c>
      <c r="O110" s="78">
        <f>SUM(O98:O109)</f>
        <v>74208.512050000005</v>
      </c>
      <c r="P110" s="78">
        <v>0</v>
      </c>
      <c r="Q110" s="73">
        <v>252905.61116000003</v>
      </c>
      <c r="R110" s="78">
        <f t="shared" si="2"/>
        <v>144467.12203</v>
      </c>
      <c r="S110" s="78">
        <f t="shared" si="3"/>
        <v>108438.48912999999</v>
      </c>
    </row>
    <row r="111" spans="1:19" ht="12" customHeight="1" x14ac:dyDescent="0.2">
      <c r="A111" s="55">
        <v>2012</v>
      </c>
      <c r="B111" s="55" t="s">
        <v>3</v>
      </c>
      <c r="C111" s="82"/>
      <c r="D111" s="82">
        <v>15500.627829999999</v>
      </c>
      <c r="E111" s="78">
        <v>3400.2760300000004</v>
      </c>
      <c r="F111" s="78">
        <v>12100.351799999999</v>
      </c>
      <c r="G111" s="82"/>
      <c r="H111" s="82"/>
      <c r="I111" s="82">
        <v>881.51434999999992</v>
      </c>
      <c r="J111" s="82"/>
      <c r="K111" s="82"/>
      <c r="L111" s="82"/>
      <c r="M111" s="82"/>
      <c r="N111" s="82">
        <v>4483.8389000000006</v>
      </c>
      <c r="O111" s="78">
        <v>4483.8389000000006</v>
      </c>
      <c r="P111" s="78">
        <v>0</v>
      </c>
      <c r="Q111" s="73">
        <v>20865.981080000001</v>
      </c>
      <c r="R111" s="78">
        <f t="shared" si="2"/>
        <v>8765.629280000001</v>
      </c>
      <c r="S111" s="78">
        <f t="shared" si="3"/>
        <v>12100.351799999999</v>
      </c>
    </row>
    <row r="112" spans="1:19" ht="12" customHeight="1" x14ac:dyDescent="0.2">
      <c r="A112" s="55">
        <v>2012</v>
      </c>
      <c r="B112" s="55" t="s">
        <v>4</v>
      </c>
      <c r="C112" s="82"/>
      <c r="D112" s="82">
        <v>16919.691649999997</v>
      </c>
      <c r="E112" s="78">
        <v>4404.5763399999996</v>
      </c>
      <c r="F112" s="78">
        <v>12515.115309999997</v>
      </c>
      <c r="G112" s="82"/>
      <c r="H112" s="82"/>
      <c r="I112" s="82">
        <v>1767.2854199999999</v>
      </c>
      <c r="J112" s="82"/>
      <c r="K112" s="82"/>
      <c r="L112" s="82"/>
      <c r="M112" s="82"/>
      <c r="N112" s="82">
        <v>6155.5663700000005</v>
      </c>
      <c r="O112" s="78">
        <v>6155.5663700000005</v>
      </c>
      <c r="P112" s="78">
        <v>0</v>
      </c>
      <c r="Q112" s="73">
        <v>24842.543439999998</v>
      </c>
      <c r="R112" s="78">
        <f t="shared" si="2"/>
        <v>12327.42813</v>
      </c>
      <c r="S112" s="78">
        <f t="shared" si="3"/>
        <v>12515.115309999997</v>
      </c>
    </row>
    <row r="113" spans="1:19" ht="12" customHeight="1" x14ac:dyDescent="0.2">
      <c r="A113" s="55">
        <v>2012</v>
      </c>
      <c r="B113" s="55" t="s">
        <v>5</v>
      </c>
      <c r="C113" s="82"/>
      <c r="D113" s="82">
        <v>15937.52663</v>
      </c>
      <c r="E113" s="78">
        <v>3643.4522599999996</v>
      </c>
      <c r="F113" s="78">
        <v>12294.07437</v>
      </c>
      <c r="G113" s="82"/>
      <c r="H113" s="82"/>
      <c r="I113" s="82">
        <v>1850.17338</v>
      </c>
      <c r="J113" s="82"/>
      <c r="K113" s="82"/>
      <c r="L113" s="82"/>
      <c r="M113" s="82"/>
      <c r="N113" s="82">
        <v>3335.6891900000001</v>
      </c>
      <c r="O113" s="78">
        <v>3335.6891900000001</v>
      </c>
      <c r="P113" s="78">
        <v>0</v>
      </c>
      <c r="Q113" s="73">
        <v>21123.389200000001</v>
      </c>
      <c r="R113" s="78">
        <f t="shared" si="2"/>
        <v>8829.3148299999993</v>
      </c>
      <c r="S113" s="78">
        <f t="shared" si="3"/>
        <v>12294.07437</v>
      </c>
    </row>
    <row r="114" spans="1:19" ht="12" customHeight="1" x14ac:dyDescent="0.2">
      <c r="A114" s="55">
        <v>2012</v>
      </c>
      <c r="B114" s="55" t="s">
        <v>6</v>
      </c>
      <c r="C114" s="82"/>
      <c r="D114" s="82">
        <v>11768.809379999999</v>
      </c>
      <c r="E114" s="78">
        <v>3681.3316899999995</v>
      </c>
      <c r="F114" s="78">
        <v>8087.4776899999997</v>
      </c>
      <c r="G114" s="82"/>
      <c r="H114" s="82"/>
      <c r="I114" s="82">
        <v>1767.26818</v>
      </c>
      <c r="J114" s="82"/>
      <c r="K114" s="82"/>
      <c r="L114" s="82"/>
      <c r="M114" s="82"/>
      <c r="N114" s="82">
        <v>5183.6677399999999</v>
      </c>
      <c r="O114" s="78">
        <v>5183.6677399999999</v>
      </c>
      <c r="P114" s="78">
        <v>0</v>
      </c>
      <c r="Q114" s="73">
        <v>18719.745299999999</v>
      </c>
      <c r="R114" s="78">
        <f t="shared" si="2"/>
        <v>10632.267609999999</v>
      </c>
      <c r="S114" s="78">
        <f t="shared" si="3"/>
        <v>8087.4776899999997</v>
      </c>
    </row>
    <row r="115" spans="1:19" ht="12" customHeight="1" x14ac:dyDescent="0.2">
      <c r="A115" s="55">
        <v>2012</v>
      </c>
      <c r="B115" s="55" t="s">
        <v>7</v>
      </c>
      <c r="C115" s="82"/>
      <c r="D115" s="82">
        <v>13642.018370000002</v>
      </c>
      <c r="E115" s="78">
        <v>2583.8175000000001</v>
      </c>
      <c r="F115" s="78">
        <v>11058.200870000001</v>
      </c>
      <c r="G115" s="82"/>
      <c r="H115" s="82"/>
      <c r="I115" s="82"/>
      <c r="J115" s="82"/>
      <c r="K115" s="82"/>
      <c r="L115" s="82"/>
      <c r="M115" s="82"/>
      <c r="N115" s="82">
        <v>4411.7116500000002</v>
      </c>
      <c r="O115" s="78">
        <v>4411.7116500000002</v>
      </c>
      <c r="P115" s="78">
        <v>0</v>
      </c>
      <c r="Q115" s="73">
        <v>18053.730020000003</v>
      </c>
      <c r="R115" s="78">
        <f t="shared" si="2"/>
        <v>6995.5291500000003</v>
      </c>
      <c r="S115" s="78">
        <f t="shared" si="3"/>
        <v>11058.200870000001</v>
      </c>
    </row>
    <row r="116" spans="1:19" ht="12" customHeight="1" x14ac:dyDescent="0.2">
      <c r="A116" s="55">
        <v>2012</v>
      </c>
      <c r="B116" s="55" t="s">
        <v>8</v>
      </c>
      <c r="C116" s="82"/>
      <c r="D116" s="82">
        <v>14544.384310000001</v>
      </c>
      <c r="E116" s="78">
        <v>3565.36384</v>
      </c>
      <c r="F116" s="78">
        <v>10979.020470000001</v>
      </c>
      <c r="G116" s="82"/>
      <c r="H116" s="82"/>
      <c r="I116" s="82"/>
      <c r="J116" s="82"/>
      <c r="K116" s="82"/>
      <c r="L116" s="82"/>
      <c r="M116" s="82"/>
      <c r="N116" s="82">
        <v>1808.1648399999999</v>
      </c>
      <c r="O116" s="78">
        <v>1808.1648399999999</v>
      </c>
      <c r="P116" s="78">
        <v>0</v>
      </c>
      <c r="Q116" s="73">
        <v>16352.549150000001</v>
      </c>
      <c r="R116" s="78">
        <f t="shared" si="2"/>
        <v>5373.5286799999994</v>
      </c>
      <c r="S116" s="78">
        <f t="shared" si="3"/>
        <v>10979.020470000001</v>
      </c>
    </row>
    <row r="117" spans="1:19" ht="12" customHeight="1" x14ac:dyDescent="0.2">
      <c r="A117" s="55">
        <v>2012</v>
      </c>
      <c r="B117" s="55" t="s">
        <v>9</v>
      </c>
      <c r="C117" s="82"/>
      <c r="D117" s="82">
        <v>9523.6622399999997</v>
      </c>
      <c r="E117" s="78">
        <v>2636.6770499999998</v>
      </c>
      <c r="F117" s="78">
        <v>6886.9851899999994</v>
      </c>
      <c r="G117" s="82"/>
      <c r="H117" s="82"/>
      <c r="I117" s="82"/>
      <c r="J117" s="82"/>
      <c r="K117" s="82"/>
      <c r="L117" s="82"/>
      <c r="M117" s="82"/>
      <c r="N117" s="82">
        <v>6312.1414199999999</v>
      </c>
      <c r="O117" s="78">
        <v>6312.1414199999999</v>
      </c>
      <c r="P117" s="78">
        <v>0</v>
      </c>
      <c r="Q117" s="73">
        <v>15835.80366</v>
      </c>
      <c r="R117" s="78">
        <f t="shared" si="2"/>
        <v>8948.8184700000002</v>
      </c>
      <c r="S117" s="78">
        <f t="shared" si="3"/>
        <v>6886.9851899999994</v>
      </c>
    </row>
    <row r="118" spans="1:19" ht="12" customHeight="1" x14ac:dyDescent="0.2">
      <c r="A118" s="55">
        <v>2012</v>
      </c>
      <c r="B118" s="55" t="s">
        <v>10</v>
      </c>
      <c r="C118" s="82"/>
      <c r="D118" s="82">
        <v>8619.8592600000011</v>
      </c>
      <c r="E118" s="78">
        <v>3275.0383900000002</v>
      </c>
      <c r="F118" s="78">
        <v>5344.8208700000005</v>
      </c>
      <c r="G118" s="82"/>
      <c r="H118" s="82"/>
      <c r="I118" s="82">
        <v>886.63793999999996</v>
      </c>
      <c r="J118" s="82"/>
      <c r="K118" s="82"/>
      <c r="L118" s="82"/>
      <c r="M118" s="82"/>
      <c r="N118" s="82">
        <v>8362.5738400000009</v>
      </c>
      <c r="O118" s="78">
        <v>8362.5738399999991</v>
      </c>
      <c r="P118" s="78">
        <v>0</v>
      </c>
      <c r="Q118" s="73">
        <v>17869.071040000003</v>
      </c>
      <c r="R118" s="78">
        <f t="shared" si="2"/>
        <v>12524.250169999999</v>
      </c>
      <c r="S118" s="78">
        <f t="shared" si="3"/>
        <v>5344.8208700000005</v>
      </c>
    </row>
    <row r="119" spans="1:19" ht="12" customHeight="1" x14ac:dyDescent="0.2">
      <c r="A119" s="55">
        <v>2012</v>
      </c>
      <c r="B119" s="55" t="s">
        <v>11</v>
      </c>
      <c r="C119" s="82"/>
      <c r="D119" s="82">
        <v>8333.6334600000009</v>
      </c>
      <c r="E119" s="78">
        <v>2259.2612100000001</v>
      </c>
      <c r="F119" s="78">
        <v>6074.3722500000003</v>
      </c>
      <c r="G119" s="82"/>
      <c r="H119" s="82"/>
      <c r="I119" s="82"/>
      <c r="J119" s="82"/>
      <c r="K119" s="82"/>
      <c r="L119" s="82"/>
      <c r="M119" s="82"/>
      <c r="N119" s="82">
        <v>7853.3670299999994</v>
      </c>
      <c r="O119" s="78">
        <v>7853.3670300000003</v>
      </c>
      <c r="P119" s="78">
        <v>0</v>
      </c>
      <c r="Q119" s="73">
        <v>16187.00049</v>
      </c>
      <c r="R119" s="78">
        <f t="shared" si="2"/>
        <v>10112.62824</v>
      </c>
      <c r="S119" s="78">
        <f t="shared" si="3"/>
        <v>6074.3722500000003</v>
      </c>
    </row>
    <row r="120" spans="1:19" ht="12" customHeight="1" x14ac:dyDescent="0.2">
      <c r="A120" s="55">
        <v>2012</v>
      </c>
      <c r="B120" s="55" t="s">
        <v>12</v>
      </c>
      <c r="C120" s="82"/>
      <c r="D120" s="82">
        <v>15856.4773</v>
      </c>
      <c r="E120" s="78">
        <v>4059.8219199999999</v>
      </c>
      <c r="F120" s="78">
        <v>11796.65538</v>
      </c>
      <c r="G120" s="82"/>
      <c r="H120" s="82"/>
      <c r="I120" s="82"/>
      <c r="J120" s="82"/>
      <c r="K120" s="82"/>
      <c r="L120" s="82"/>
      <c r="M120" s="82"/>
      <c r="N120" s="82">
        <v>3508.5705800000001</v>
      </c>
      <c r="O120" s="78">
        <v>3508.5705800000001</v>
      </c>
      <c r="P120" s="78">
        <v>0</v>
      </c>
      <c r="Q120" s="73">
        <v>19365.047880000002</v>
      </c>
      <c r="R120" s="78">
        <f t="shared" si="2"/>
        <v>7568.3924999999999</v>
      </c>
      <c r="S120" s="78">
        <f t="shared" si="3"/>
        <v>11796.65538</v>
      </c>
    </row>
    <row r="121" spans="1:19" ht="12" customHeight="1" x14ac:dyDescent="0.2">
      <c r="A121" s="55">
        <v>2012</v>
      </c>
      <c r="B121" s="55" t="s">
        <v>13</v>
      </c>
      <c r="C121" s="82"/>
      <c r="D121" s="82">
        <v>14226.16202</v>
      </c>
      <c r="E121" s="78">
        <v>2594.9424499999996</v>
      </c>
      <c r="F121" s="78">
        <v>11631.219570000001</v>
      </c>
      <c r="G121" s="82"/>
      <c r="H121" s="82"/>
      <c r="I121" s="82"/>
      <c r="J121" s="82"/>
      <c r="K121" s="82"/>
      <c r="L121" s="82"/>
      <c r="M121" s="82"/>
      <c r="N121" s="82">
        <v>4475.3082200000008</v>
      </c>
      <c r="O121" s="78">
        <v>4475.3082200000008</v>
      </c>
      <c r="P121" s="78">
        <v>0</v>
      </c>
      <c r="Q121" s="73">
        <v>18701.470240000002</v>
      </c>
      <c r="R121" s="78">
        <f t="shared" si="2"/>
        <v>7070.2506700000004</v>
      </c>
      <c r="S121" s="78">
        <f t="shared" si="3"/>
        <v>11631.219570000001</v>
      </c>
    </row>
    <row r="122" spans="1:19" ht="12" customHeight="1" x14ac:dyDescent="0.2">
      <c r="A122" s="55">
        <v>2012</v>
      </c>
      <c r="B122" s="55" t="s">
        <v>14</v>
      </c>
      <c r="C122" s="82"/>
      <c r="D122" s="82">
        <v>19717.709920000001</v>
      </c>
      <c r="E122" s="78">
        <v>6697.5184499999996</v>
      </c>
      <c r="F122" s="78">
        <v>13020.191470000002</v>
      </c>
      <c r="G122" s="82"/>
      <c r="H122" s="82"/>
      <c r="I122" s="82"/>
      <c r="J122" s="82"/>
      <c r="K122" s="82"/>
      <c r="L122" s="82"/>
      <c r="M122" s="82"/>
      <c r="N122" s="82">
        <v>5235.7020300000004</v>
      </c>
      <c r="O122" s="78">
        <v>5235.7020300000004</v>
      </c>
      <c r="P122" s="78">
        <v>0</v>
      </c>
      <c r="Q122" s="73">
        <v>24953.411950000002</v>
      </c>
      <c r="R122" s="78">
        <f t="shared" si="2"/>
        <v>11933.22048</v>
      </c>
      <c r="S122" s="78">
        <f t="shared" si="3"/>
        <v>13020.191470000002</v>
      </c>
    </row>
    <row r="123" spans="1:19" ht="12" customHeight="1" x14ac:dyDescent="0.2">
      <c r="A123" s="55">
        <v>2012</v>
      </c>
      <c r="B123" s="55" t="s">
        <v>15</v>
      </c>
      <c r="C123" s="82"/>
      <c r="D123" s="82">
        <v>164590.56237</v>
      </c>
      <c r="E123" s="78">
        <v>42802.077130000005</v>
      </c>
      <c r="F123" s="78">
        <v>121788.48524000001</v>
      </c>
      <c r="G123" s="82"/>
      <c r="H123" s="82"/>
      <c r="I123" s="82">
        <v>7152.8792699999995</v>
      </c>
      <c r="J123" s="82"/>
      <c r="K123" s="82"/>
      <c r="L123" s="82"/>
      <c r="M123" s="82"/>
      <c r="N123" s="82">
        <v>61126.301810000004</v>
      </c>
      <c r="O123" s="78">
        <f>SUM(O111:O122)</f>
        <v>61126.301810000004</v>
      </c>
      <c r="P123" s="78">
        <v>0</v>
      </c>
      <c r="Q123" s="73">
        <v>232869.74345000001</v>
      </c>
      <c r="R123" s="78">
        <f t="shared" ref="R123:R136" si="4">O123+E123+I123+J123+K123</f>
        <v>111081.25821000001</v>
      </c>
      <c r="S123" s="78">
        <f t="shared" ref="S123:S136" si="5">F123+P123</f>
        <v>121788.48524000001</v>
      </c>
    </row>
    <row r="124" spans="1:19" ht="12" customHeight="1" x14ac:dyDescent="0.2">
      <c r="A124" s="55">
        <v>2013</v>
      </c>
      <c r="B124" s="55" t="s">
        <v>3</v>
      </c>
      <c r="C124" s="82"/>
      <c r="D124" s="82">
        <v>17187.040869999997</v>
      </c>
      <c r="E124" s="78">
        <v>3430.2890499999999</v>
      </c>
      <c r="F124" s="78">
        <v>13756.751819999998</v>
      </c>
      <c r="G124" s="82"/>
      <c r="H124" s="82"/>
      <c r="I124" s="82">
        <v>463.86265000000003</v>
      </c>
      <c r="J124" s="82"/>
      <c r="K124" s="82"/>
      <c r="L124" s="82"/>
      <c r="M124" s="82"/>
      <c r="N124" s="82">
        <v>4325.80422</v>
      </c>
      <c r="O124" s="78">
        <v>4325.80422</v>
      </c>
      <c r="P124" s="78">
        <v>0</v>
      </c>
      <c r="Q124" s="73">
        <v>21976.707739999998</v>
      </c>
      <c r="R124" s="78">
        <f t="shared" si="4"/>
        <v>8219.9559200000003</v>
      </c>
      <c r="S124" s="78">
        <f t="shared" si="5"/>
        <v>13756.751819999998</v>
      </c>
    </row>
    <row r="125" spans="1:19" ht="12" customHeight="1" x14ac:dyDescent="0.2">
      <c r="A125" s="55">
        <v>2013</v>
      </c>
      <c r="B125" s="55" t="s">
        <v>4</v>
      </c>
      <c r="C125" s="82"/>
      <c r="D125" s="82">
        <v>17005.28282</v>
      </c>
      <c r="E125" s="78">
        <v>3991.4345400000002</v>
      </c>
      <c r="F125" s="78">
        <v>13013.848280000002</v>
      </c>
      <c r="G125" s="82"/>
      <c r="H125" s="82"/>
      <c r="I125" s="82"/>
      <c r="J125" s="82"/>
      <c r="K125" s="82"/>
      <c r="L125" s="82"/>
      <c r="M125" s="82"/>
      <c r="N125" s="82">
        <v>3453.7452199999998</v>
      </c>
      <c r="O125" s="78">
        <v>3453.7452199999998</v>
      </c>
      <c r="P125" s="78">
        <v>0</v>
      </c>
      <c r="Q125" s="73">
        <v>20459.028040000001</v>
      </c>
      <c r="R125" s="78">
        <f t="shared" si="4"/>
        <v>7445.17976</v>
      </c>
      <c r="S125" s="78">
        <f t="shared" si="5"/>
        <v>13013.848280000002</v>
      </c>
    </row>
    <row r="126" spans="1:19" ht="12" customHeight="1" x14ac:dyDescent="0.2">
      <c r="A126" s="55">
        <v>2013</v>
      </c>
      <c r="B126" s="55" t="s">
        <v>5</v>
      </c>
      <c r="C126" s="82"/>
      <c r="D126" s="82">
        <v>18139.660250000001</v>
      </c>
      <c r="E126" s="78">
        <v>2776.3778199999997</v>
      </c>
      <c r="F126" s="78">
        <v>15363.282429999999</v>
      </c>
      <c r="G126" s="82"/>
      <c r="H126" s="82"/>
      <c r="I126" s="82"/>
      <c r="J126" s="82"/>
      <c r="K126" s="82"/>
      <c r="L126" s="82"/>
      <c r="M126" s="82"/>
      <c r="N126" s="82">
        <v>3445.6671699999997</v>
      </c>
      <c r="O126" s="78">
        <v>3445.6671699999997</v>
      </c>
      <c r="P126" s="78">
        <v>0</v>
      </c>
      <c r="Q126" s="73">
        <v>21585.327420000001</v>
      </c>
      <c r="R126" s="78">
        <f t="shared" si="4"/>
        <v>6222.0449899999994</v>
      </c>
      <c r="S126" s="78">
        <f t="shared" si="5"/>
        <v>15363.282429999999</v>
      </c>
    </row>
    <row r="127" spans="1:19" ht="12" customHeight="1" x14ac:dyDescent="0.2">
      <c r="A127" s="55">
        <v>2013</v>
      </c>
      <c r="B127" s="55" t="s">
        <v>6</v>
      </c>
      <c r="C127" s="82"/>
      <c r="D127" s="82">
        <v>18204.522560000001</v>
      </c>
      <c r="E127" s="78">
        <v>3588.7143999999998</v>
      </c>
      <c r="F127" s="78">
        <v>14615.80816</v>
      </c>
      <c r="G127" s="82"/>
      <c r="H127" s="82"/>
      <c r="I127" s="82"/>
      <c r="J127" s="82"/>
      <c r="K127" s="82"/>
      <c r="L127" s="82"/>
      <c r="M127" s="82"/>
      <c r="N127" s="82">
        <v>2845.5941800000001</v>
      </c>
      <c r="O127" s="78">
        <v>2845.5941799999996</v>
      </c>
      <c r="P127" s="78">
        <v>0</v>
      </c>
      <c r="Q127" s="73">
        <v>21050.116740000001</v>
      </c>
      <c r="R127" s="78">
        <f t="shared" si="4"/>
        <v>6434.308579999999</v>
      </c>
      <c r="S127" s="78">
        <f t="shared" si="5"/>
        <v>14615.80816</v>
      </c>
    </row>
    <row r="128" spans="1:19" ht="12" customHeight="1" x14ac:dyDescent="0.2">
      <c r="A128" s="55">
        <v>2013</v>
      </c>
      <c r="B128" s="55" t="s">
        <v>7</v>
      </c>
      <c r="C128" s="82"/>
      <c r="D128" s="82">
        <v>16782.502209999999</v>
      </c>
      <c r="E128" s="78">
        <v>3541.7113599999998</v>
      </c>
      <c r="F128" s="78">
        <v>13240.790849999999</v>
      </c>
      <c r="G128" s="82"/>
      <c r="H128" s="82"/>
      <c r="I128" s="82"/>
      <c r="J128" s="82"/>
      <c r="K128" s="82"/>
      <c r="L128" s="82"/>
      <c r="M128" s="82"/>
      <c r="N128" s="82">
        <v>1752.421</v>
      </c>
      <c r="O128" s="78">
        <v>1752.421</v>
      </c>
      <c r="P128" s="78">
        <v>0</v>
      </c>
      <c r="Q128" s="73">
        <v>18534.923209999997</v>
      </c>
      <c r="R128" s="78">
        <f t="shared" si="4"/>
        <v>5294.1323599999996</v>
      </c>
      <c r="S128" s="78">
        <f t="shared" si="5"/>
        <v>13240.790849999999</v>
      </c>
    </row>
    <row r="129" spans="1:23" ht="12" customHeight="1" x14ac:dyDescent="0.2">
      <c r="A129" s="55">
        <v>2013</v>
      </c>
      <c r="B129" s="55" t="s">
        <v>8</v>
      </c>
      <c r="C129" s="82"/>
      <c r="D129" s="82">
        <v>14486.414450000002</v>
      </c>
      <c r="E129" s="78">
        <v>2163.0009100000002</v>
      </c>
      <c r="F129" s="78">
        <v>12323.413540000001</v>
      </c>
      <c r="G129" s="82"/>
      <c r="H129" s="82"/>
      <c r="I129" s="82"/>
      <c r="J129" s="82"/>
      <c r="K129" s="82"/>
      <c r="L129" s="82"/>
      <c r="M129" s="82"/>
      <c r="N129" s="82">
        <v>2565.80213</v>
      </c>
      <c r="O129" s="78">
        <v>2565.80213</v>
      </c>
      <c r="P129" s="78">
        <v>0</v>
      </c>
      <c r="Q129" s="73">
        <v>17052.21658</v>
      </c>
      <c r="R129" s="78">
        <f t="shared" si="4"/>
        <v>4728.8030400000007</v>
      </c>
      <c r="S129" s="78">
        <f t="shared" si="5"/>
        <v>12323.413540000001</v>
      </c>
      <c r="T129" s="61"/>
      <c r="U129" s="61"/>
      <c r="V129" s="61"/>
      <c r="W129" s="61"/>
    </row>
    <row r="130" spans="1:23" ht="12" customHeight="1" x14ac:dyDescent="0.2">
      <c r="A130" s="55">
        <v>2013</v>
      </c>
      <c r="B130" s="55" t="s">
        <v>9</v>
      </c>
      <c r="C130" s="82"/>
      <c r="D130" s="82">
        <v>15858.342140000001</v>
      </c>
      <c r="E130" s="78">
        <v>3907.9493199999997</v>
      </c>
      <c r="F130" s="78">
        <v>11950.392820000001</v>
      </c>
      <c r="G130" s="82"/>
      <c r="H130" s="82"/>
      <c r="I130" s="82"/>
      <c r="J130" s="82"/>
      <c r="K130" s="82"/>
      <c r="L130" s="82"/>
      <c r="M130" s="82"/>
      <c r="N130" s="82">
        <v>890.59430000000009</v>
      </c>
      <c r="O130" s="78">
        <v>890.59430000000009</v>
      </c>
      <c r="P130" s="78">
        <v>0</v>
      </c>
      <c r="Q130" s="73">
        <v>16748.936440000001</v>
      </c>
      <c r="R130" s="78">
        <f t="shared" si="4"/>
        <v>4798.5436199999995</v>
      </c>
      <c r="S130" s="78">
        <f t="shared" si="5"/>
        <v>11950.392820000001</v>
      </c>
      <c r="T130" s="61"/>
      <c r="U130" s="61"/>
      <c r="V130" s="61"/>
      <c r="W130" s="61"/>
    </row>
    <row r="131" spans="1:23" ht="12" customHeight="1" x14ac:dyDescent="0.2">
      <c r="A131" s="55">
        <v>2013</v>
      </c>
      <c r="B131" s="55" t="s">
        <v>10</v>
      </c>
      <c r="C131" s="82"/>
      <c r="D131" s="82">
        <v>12652.760719999998</v>
      </c>
      <c r="E131" s="78">
        <v>3116.9604200000003</v>
      </c>
      <c r="F131" s="78">
        <v>9535.800299999999</v>
      </c>
      <c r="G131" s="82"/>
      <c r="H131" s="82"/>
      <c r="I131" s="82"/>
      <c r="J131" s="82"/>
      <c r="K131" s="82"/>
      <c r="L131" s="82"/>
      <c r="M131" s="82"/>
      <c r="N131" s="82">
        <v>1691.2142200000001</v>
      </c>
      <c r="O131" s="78">
        <v>1691.2142200000001</v>
      </c>
      <c r="P131" s="78">
        <v>0</v>
      </c>
      <c r="Q131" s="73">
        <v>14343.974939999998</v>
      </c>
      <c r="R131" s="78">
        <f t="shared" si="4"/>
        <v>4808.1746400000002</v>
      </c>
      <c r="S131" s="78">
        <f t="shared" si="5"/>
        <v>9535.800299999999</v>
      </c>
      <c r="T131" s="61"/>
      <c r="U131" s="61"/>
      <c r="V131" s="61"/>
      <c r="W131" s="61"/>
    </row>
    <row r="132" spans="1:23" ht="12" customHeight="1" x14ac:dyDescent="0.2">
      <c r="A132" s="55">
        <v>2013</v>
      </c>
      <c r="B132" s="55" t="s">
        <v>11</v>
      </c>
      <c r="C132" s="82"/>
      <c r="D132" s="82">
        <v>12549.889619999998</v>
      </c>
      <c r="E132" s="78">
        <v>2624.1638800000001</v>
      </c>
      <c r="F132" s="78">
        <v>9925.725739999998</v>
      </c>
      <c r="G132" s="82"/>
      <c r="H132" s="82"/>
      <c r="I132" s="82"/>
      <c r="J132" s="82"/>
      <c r="K132" s="82"/>
      <c r="L132" s="82"/>
      <c r="M132" s="82"/>
      <c r="N132" s="82">
        <v>4716.4056600000004</v>
      </c>
      <c r="O132" s="78">
        <v>4716.4056600000004</v>
      </c>
      <c r="P132" s="78">
        <v>0</v>
      </c>
      <c r="Q132" s="73">
        <v>17266.295279999998</v>
      </c>
      <c r="R132" s="78">
        <f t="shared" si="4"/>
        <v>7340.5695400000004</v>
      </c>
      <c r="S132" s="78">
        <f t="shared" si="5"/>
        <v>9925.725739999998</v>
      </c>
      <c r="T132" s="61"/>
      <c r="U132" s="61"/>
      <c r="V132" s="61"/>
      <c r="W132" s="61"/>
    </row>
    <row r="133" spans="1:23" ht="12" customHeight="1" x14ac:dyDescent="0.2">
      <c r="A133" s="55">
        <v>2013</v>
      </c>
      <c r="B133" s="55" t="s">
        <v>12</v>
      </c>
      <c r="C133" s="82"/>
      <c r="D133" s="82">
        <v>14735.80683</v>
      </c>
      <c r="E133" s="78">
        <v>1491.31348</v>
      </c>
      <c r="F133" s="78">
        <v>13244.493349999999</v>
      </c>
      <c r="G133" s="82"/>
      <c r="H133" s="82"/>
      <c r="I133" s="82"/>
      <c r="J133" s="82"/>
      <c r="K133" s="82"/>
      <c r="L133" s="82"/>
      <c r="M133" s="82"/>
      <c r="N133" s="82">
        <v>3319.8604599999999</v>
      </c>
      <c r="O133" s="78">
        <v>3319.8604599999999</v>
      </c>
      <c r="P133" s="78">
        <v>0</v>
      </c>
      <c r="Q133" s="73">
        <v>18055.667289999998</v>
      </c>
      <c r="R133" s="78">
        <f t="shared" si="4"/>
        <v>4811.1739399999997</v>
      </c>
      <c r="S133" s="78">
        <f t="shared" si="5"/>
        <v>13244.493349999999</v>
      </c>
      <c r="T133" s="61"/>
      <c r="U133" s="62"/>
      <c r="V133" s="58"/>
      <c r="W133" s="65">
        <f>V133-Q133</f>
        <v>-18055.667289999998</v>
      </c>
    </row>
    <row r="134" spans="1:23" ht="12" customHeight="1" x14ac:dyDescent="0.2">
      <c r="A134" s="55">
        <v>2013</v>
      </c>
      <c r="B134" s="55" t="s">
        <v>13</v>
      </c>
      <c r="C134" s="82"/>
      <c r="D134" s="82">
        <v>17143.11666</v>
      </c>
      <c r="E134" s="78">
        <v>2663.30906</v>
      </c>
      <c r="F134" s="78">
        <v>14479.8076</v>
      </c>
      <c r="G134" s="82"/>
      <c r="H134" s="82"/>
      <c r="I134" s="82"/>
      <c r="J134" s="82"/>
      <c r="K134" s="82"/>
      <c r="L134" s="82"/>
      <c r="M134" s="82"/>
      <c r="N134" s="82">
        <v>4699.8673699999999</v>
      </c>
      <c r="O134" s="78">
        <v>4699.8673699999999</v>
      </c>
      <c r="P134" s="78">
        <v>0</v>
      </c>
      <c r="Q134" s="73">
        <v>21842.98403</v>
      </c>
      <c r="R134" s="78">
        <f t="shared" si="4"/>
        <v>7363.1764299999995</v>
      </c>
      <c r="S134" s="78">
        <f t="shared" si="5"/>
        <v>14479.8076</v>
      </c>
      <c r="T134" s="61"/>
      <c r="U134" s="62"/>
      <c r="V134" s="61"/>
      <c r="W134" s="61"/>
    </row>
    <row r="135" spans="1:23" ht="12" customHeight="1" x14ac:dyDescent="0.2">
      <c r="A135" s="55">
        <v>2013</v>
      </c>
      <c r="B135" s="55" t="s">
        <v>14</v>
      </c>
      <c r="C135" s="82"/>
      <c r="D135" s="82">
        <v>18959.65137</v>
      </c>
      <c r="E135" s="78">
        <v>4366.3215199999995</v>
      </c>
      <c r="F135" s="78">
        <v>14593.329850000002</v>
      </c>
      <c r="G135" s="82"/>
      <c r="H135" s="82"/>
      <c r="I135" s="82"/>
      <c r="J135" s="82"/>
      <c r="K135" s="82"/>
      <c r="L135" s="82"/>
      <c r="M135" s="82"/>
      <c r="N135" s="82">
        <v>2468.66768</v>
      </c>
      <c r="O135" s="78">
        <v>2468.66768</v>
      </c>
      <c r="P135" s="78">
        <v>0</v>
      </c>
      <c r="Q135" s="73">
        <v>21428.319049999998</v>
      </c>
      <c r="R135" s="78">
        <f t="shared" si="4"/>
        <v>6834.9892</v>
      </c>
      <c r="S135" s="78">
        <f t="shared" si="5"/>
        <v>14593.329850000002</v>
      </c>
      <c r="T135" s="61"/>
      <c r="U135" s="62"/>
      <c r="V135" s="64"/>
      <c r="W135" s="61"/>
    </row>
    <row r="136" spans="1:23" ht="12" customHeight="1" x14ac:dyDescent="0.2">
      <c r="A136" s="55">
        <v>2013</v>
      </c>
      <c r="B136" s="55" t="s">
        <v>15</v>
      </c>
      <c r="C136" s="82"/>
      <c r="D136" s="82">
        <v>193704.99027000001</v>
      </c>
      <c r="E136" s="78">
        <v>37661.545579999998</v>
      </c>
      <c r="F136" s="78">
        <v>156043.44469000003</v>
      </c>
      <c r="G136" s="82"/>
      <c r="H136" s="82"/>
      <c r="I136" s="82">
        <v>463.86265000000003</v>
      </c>
      <c r="J136" s="82"/>
      <c r="K136" s="82"/>
      <c r="L136" s="82"/>
      <c r="M136" s="82"/>
      <c r="N136" s="82">
        <v>36175.643150000004</v>
      </c>
      <c r="O136" s="78">
        <f>SUM(O124:O135)</f>
        <v>36175.643609999999</v>
      </c>
      <c r="P136" s="78">
        <v>0</v>
      </c>
      <c r="Q136" s="73">
        <v>230344.49606999994</v>
      </c>
      <c r="R136" s="78">
        <f t="shared" si="4"/>
        <v>74301.05184</v>
      </c>
      <c r="S136" s="78">
        <f t="shared" si="5"/>
        <v>156043.44469000003</v>
      </c>
      <c r="T136" s="61"/>
      <c r="U136" s="61"/>
      <c r="V136" s="61"/>
      <c r="W136" s="61"/>
    </row>
    <row r="137" spans="1:23" ht="12" customHeight="1" x14ac:dyDescent="0.2">
      <c r="A137" s="55">
        <v>2014</v>
      </c>
      <c r="B137" s="55" t="s">
        <v>3</v>
      </c>
      <c r="C137" s="82">
        <v>0</v>
      </c>
      <c r="D137" s="82">
        <v>19268.050599999999</v>
      </c>
      <c r="E137" s="78">
        <v>4532.61553</v>
      </c>
      <c r="F137" s="78">
        <v>14735.43507</v>
      </c>
      <c r="G137" s="82">
        <v>0</v>
      </c>
      <c r="H137" s="82"/>
      <c r="I137" s="82">
        <v>0</v>
      </c>
      <c r="J137" s="82">
        <v>0</v>
      </c>
      <c r="K137" s="82">
        <v>0</v>
      </c>
      <c r="L137" s="82"/>
      <c r="M137" s="82"/>
      <c r="N137" s="82">
        <v>4109.9518699999999</v>
      </c>
      <c r="O137" s="78">
        <v>4109.9518699999999</v>
      </c>
      <c r="P137" s="78">
        <v>0</v>
      </c>
      <c r="Q137" s="73">
        <v>23378.002469999999</v>
      </c>
      <c r="R137" s="78">
        <v>8642.5673999999999</v>
      </c>
      <c r="S137" s="78">
        <v>14735.43507</v>
      </c>
      <c r="T137" s="61"/>
      <c r="U137" s="61"/>
      <c r="V137" s="61"/>
      <c r="W137" s="61"/>
    </row>
    <row r="138" spans="1:23" ht="12" customHeight="1" x14ac:dyDescent="0.2">
      <c r="A138" s="55">
        <v>2014</v>
      </c>
      <c r="B138" s="55" t="s">
        <v>4</v>
      </c>
      <c r="C138" s="82">
        <v>0</v>
      </c>
      <c r="D138" s="82">
        <v>19197.77074</v>
      </c>
      <c r="E138" s="78">
        <v>5222.0958499999997</v>
      </c>
      <c r="F138" s="78">
        <v>13975.67489</v>
      </c>
      <c r="G138" s="82">
        <v>0</v>
      </c>
      <c r="H138" s="82"/>
      <c r="I138" s="82">
        <v>0</v>
      </c>
      <c r="J138" s="82">
        <v>0</v>
      </c>
      <c r="K138" s="82">
        <v>0</v>
      </c>
      <c r="L138" s="82"/>
      <c r="M138" s="82"/>
      <c r="N138" s="82">
        <v>1129.71363</v>
      </c>
      <c r="O138" s="78">
        <v>1129.71363</v>
      </c>
      <c r="P138" s="78">
        <v>0</v>
      </c>
      <c r="Q138" s="73">
        <v>20327.484369999998</v>
      </c>
      <c r="R138" s="78">
        <v>6351.8094799999999</v>
      </c>
      <c r="S138" s="78">
        <v>13975.67489</v>
      </c>
      <c r="T138" s="61"/>
      <c r="U138" s="61"/>
      <c r="V138" s="61"/>
      <c r="W138" s="61"/>
    </row>
    <row r="139" spans="1:23" ht="12" customHeight="1" x14ac:dyDescent="0.2">
      <c r="A139" s="55">
        <v>2014</v>
      </c>
      <c r="B139" s="55" t="s">
        <v>5</v>
      </c>
      <c r="C139" s="82">
        <v>0</v>
      </c>
      <c r="D139" s="82">
        <v>19336.770570000001</v>
      </c>
      <c r="E139" s="78">
        <v>4772.3057299999991</v>
      </c>
      <c r="F139" s="78">
        <v>14564.464840000001</v>
      </c>
      <c r="G139" s="82">
        <v>0</v>
      </c>
      <c r="H139" s="82"/>
      <c r="I139" s="82">
        <v>0</v>
      </c>
      <c r="J139" s="82">
        <v>0</v>
      </c>
      <c r="K139" s="82">
        <v>0</v>
      </c>
      <c r="L139" s="82"/>
      <c r="M139" s="82"/>
      <c r="N139" s="82">
        <v>2724.6155099999996</v>
      </c>
      <c r="O139" s="78">
        <v>2724.6155099999996</v>
      </c>
      <c r="P139" s="78">
        <v>0</v>
      </c>
      <c r="Q139" s="73">
        <v>22061.38608</v>
      </c>
      <c r="R139" s="78">
        <v>7496.9212399999988</v>
      </c>
      <c r="S139" s="78">
        <v>14564.464840000001</v>
      </c>
      <c r="T139" s="61"/>
      <c r="U139" s="61"/>
      <c r="V139" s="61"/>
      <c r="W139" s="61"/>
    </row>
    <row r="140" spans="1:23" ht="12" customHeight="1" x14ac:dyDescent="0.2">
      <c r="A140" s="55">
        <v>2014</v>
      </c>
      <c r="B140" s="55" t="s">
        <v>6</v>
      </c>
      <c r="C140" s="82">
        <v>0</v>
      </c>
      <c r="D140" s="82">
        <v>19663.347900000001</v>
      </c>
      <c r="E140" s="78">
        <v>7536.7148400000015</v>
      </c>
      <c r="F140" s="78">
        <v>12126.63306</v>
      </c>
      <c r="G140" s="82">
        <v>0</v>
      </c>
      <c r="H140" s="82"/>
      <c r="I140" s="82">
        <v>0</v>
      </c>
      <c r="J140" s="82">
        <v>0</v>
      </c>
      <c r="K140" s="82">
        <v>0</v>
      </c>
      <c r="L140" s="82"/>
      <c r="M140" s="82"/>
      <c r="N140" s="82">
        <v>3643.7028</v>
      </c>
      <c r="O140" s="78">
        <v>3643.7028</v>
      </c>
      <c r="P140" s="78">
        <v>0</v>
      </c>
      <c r="Q140" s="73">
        <v>23307.0507</v>
      </c>
      <c r="R140" s="78">
        <v>11180.417640000001</v>
      </c>
      <c r="S140" s="78">
        <v>12126.63306</v>
      </c>
      <c r="T140" s="61"/>
      <c r="U140" s="61"/>
      <c r="V140" s="61"/>
      <c r="W140" s="61"/>
    </row>
    <row r="141" spans="1:23" ht="12" customHeight="1" x14ac:dyDescent="0.2">
      <c r="A141" s="55">
        <v>2014</v>
      </c>
      <c r="B141" s="55" t="s">
        <v>7</v>
      </c>
      <c r="C141" s="82">
        <v>0</v>
      </c>
      <c r="D141" s="82">
        <v>16535.002529999998</v>
      </c>
      <c r="E141" s="78">
        <v>4332.0366499999991</v>
      </c>
      <c r="F141" s="78">
        <v>12202.96588</v>
      </c>
      <c r="G141" s="82">
        <v>0</v>
      </c>
      <c r="H141" s="82"/>
      <c r="I141" s="82">
        <v>0</v>
      </c>
      <c r="J141" s="82">
        <v>0</v>
      </c>
      <c r="K141" s="82">
        <v>0</v>
      </c>
      <c r="L141" s="82"/>
      <c r="M141" s="82"/>
      <c r="N141" s="82">
        <v>1736.82629</v>
      </c>
      <c r="O141" s="78">
        <v>1736.82629</v>
      </c>
      <c r="P141" s="78">
        <v>0</v>
      </c>
      <c r="Q141" s="73">
        <v>18271.828819999999</v>
      </c>
      <c r="R141" s="78">
        <v>6068.8629399999991</v>
      </c>
      <c r="S141" s="78">
        <v>12202.96588</v>
      </c>
      <c r="T141" s="61"/>
      <c r="U141" s="61"/>
      <c r="V141" s="61"/>
      <c r="W141" s="61"/>
    </row>
    <row r="142" spans="1:23" ht="12" customHeight="1" x14ac:dyDescent="0.2">
      <c r="A142" s="55">
        <v>2014</v>
      </c>
      <c r="B142" s="55" t="s">
        <v>8</v>
      </c>
      <c r="C142" s="82">
        <v>0</v>
      </c>
      <c r="D142" s="82">
        <v>19118.34809</v>
      </c>
      <c r="E142" s="78">
        <v>5974.8109699999995</v>
      </c>
      <c r="F142" s="78">
        <v>13143.537119999999</v>
      </c>
      <c r="G142" s="82">
        <v>0</v>
      </c>
      <c r="H142" s="82"/>
      <c r="I142" s="82">
        <v>0</v>
      </c>
      <c r="J142" s="82">
        <v>0</v>
      </c>
      <c r="K142" s="82">
        <v>0</v>
      </c>
      <c r="L142" s="82"/>
      <c r="M142" s="82"/>
      <c r="N142" s="82">
        <v>788.50115000000005</v>
      </c>
      <c r="O142" s="78">
        <v>788.50115000000005</v>
      </c>
      <c r="P142" s="78">
        <v>0</v>
      </c>
      <c r="Q142" s="73">
        <v>19906.84924</v>
      </c>
      <c r="R142" s="78">
        <v>6763.3121199999996</v>
      </c>
      <c r="S142" s="78">
        <v>13143.537119999999</v>
      </c>
      <c r="T142" s="61"/>
      <c r="U142" s="61"/>
      <c r="V142" s="61"/>
      <c r="W142" s="61"/>
    </row>
    <row r="143" spans="1:23" ht="12" customHeight="1" x14ac:dyDescent="0.2">
      <c r="A143" s="55">
        <v>2014</v>
      </c>
      <c r="B143" s="55" t="s">
        <v>9</v>
      </c>
      <c r="C143" s="82">
        <v>0</v>
      </c>
      <c r="D143" s="82">
        <v>16667.125019999999</v>
      </c>
      <c r="E143" s="78">
        <v>4350.6240499999994</v>
      </c>
      <c r="F143" s="78">
        <v>12316.500969999999</v>
      </c>
      <c r="G143" s="82">
        <v>0</v>
      </c>
      <c r="H143" s="82"/>
      <c r="I143" s="82">
        <v>0</v>
      </c>
      <c r="J143" s="82">
        <v>0</v>
      </c>
      <c r="K143" s="82">
        <v>0</v>
      </c>
      <c r="L143" s="82"/>
      <c r="M143" s="82"/>
      <c r="N143" s="82">
        <v>2914.3631500000001</v>
      </c>
      <c r="O143" s="78">
        <v>2914.3631500000001</v>
      </c>
      <c r="P143" s="78">
        <v>0</v>
      </c>
      <c r="Q143" s="73">
        <v>19581.488169999997</v>
      </c>
      <c r="R143" s="78">
        <v>7264.9871999999996</v>
      </c>
      <c r="S143" s="78">
        <v>12316.500969999999</v>
      </c>
      <c r="T143" s="61"/>
      <c r="U143" s="61"/>
      <c r="V143" s="61"/>
      <c r="W143" s="61"/>
    </row>
    <row r="144" spans="1:23" ht="12" customHeight="1" x14ac:dyDescent="0.2">
      <c r="A144" s="55">
        <v>2014</v>
      </c>
      <c r="B144" s="55" t="s">
        <v>10</v>
      </c>
      <c r="C144" s="82">
        <v>0</v>
      </c>
      <c r="D144" s="82">
        <v>13064.829589999999</v>
      </c>
      <c r="E144" s="78">
        <v>3056.3772299999996</v>
      </c>
      <c r="F144" s="78">
        <v>10008.452359999999</v>
      </c>
      <c r="G144" s="82">
        <v>0</v>
      </c>
      <c r="H144" s="82"/>
      <c r="I144" s="82">
        <v>0</v>
      </c>
      <c r="J144" s="82">
        <v>0</v>
      </c>
      <c r="K144" s="82">
        <v>0</v>
      </c>
      <c r="L144" s="82"/>
      <c r="M144" s="82"/>
      <c r="N144" s="82">
        <v>1661.8433399999999</v>
      </c>
      <c r="O144" s="78">
        <v>1661.8433399999999</v>
      </c>
      <c r="P144" s="78">
        <v>0</v>
      </c>
      <c r="Q144" s="73">
        <v>14726.672929999999</v>
      </c>
      <c r="R144" s="78">
        <v>4718.2205699999995</v>
      </c>
      <c r="S144" s="78">
        <v>10008.452359999999</v>
      </c>
      <c r="T144" s="61"/>
      <c r="U144" s="61"/>
      <c r="V144" s="61"/>
      <c r="W144" s="61"/>
    </row>
    <row r="145" spans="1:19" ht="12" customHeight="1" x14ac:dyDescent="0.2">
      <c r="A145" s="55">
        <v>2014</v>
      </c>
      <c r="B145" s="55" t="s">
        <v>11</v>
      </c>
      <c r="C145" s="82">
        <v>0</v>
      </c>
      <c r="D145" s="82">
        <v>17588.723959999996</v>
      </c>
      <c r="E145" s="78">
        <v>4974.9654099999989</v>
      </c>
      <c r="F145" s="78">
        <v>12613.758549999999</v>
      </c>
      <c r="G145" s="82">
        <v>0</v>
      </c>
      <c r="H145" s="82"/>
      <c r="I145" s="82">
        <v>0</v>
      </c>
      <c r="J145" s="82">
        <v>0</v>
      </c>
      <c r="K145" s="82">
        <v>0</v>
      </c>
      <c r="L145" s="82"/>
      <c r="M145" s="82"/>
      <c r="N145" s="82">
        <v>2745.8040499999997</v>
      </c>
      <c r="O145" s="78">
        <v>2745.8040499999997</v>
      </c>
      <c r="P145" s="78">
        <v>0</v>
      </c>
      <c r="Q145" s="73">
        <v>20334.528009999998</v>
      </c>
      <c r="R145" s="78">
        <v>7720.7694599999986</v>
      </c>
      <c r="S145" s="78">
        <v>12613.758549999999</v>
      </c>
    </row>
    <row r="146" spans="1:19" ht="12" customHeight="1" x14ac:dyDescent="0.2">
      <c r="A146" s="55">
        <v>2014</v>
      </c>
      <c r="B146" s="55" t="s">
        <v>12</v>
      </c>
      <c r="C146" s="82">
        <v>0</v>
      </c>
      <c r="D146" s="82">
        <v>20363.790210000003</v>
      </c>
      <c r="E146" s="78">
        <v>6567.5689000000011</v>
      </c>
      <c r="F146" s="78">
        <v>13796.221310000001</v>
      </c>
      <c r="G146" s="82">
        <v>0</v>
      </c>
      <c r="H146" s="82"/>
      <c r="I146" s="82">
        <v>0</v>
      </c>
      <c r="J146" s="82">
        <v>0</v>
      </c>
      <c r="K146" s="82">
        <v>0</v>
      </c>
      <c r="L146" s="82"/>
      <c r="M146" s="82"/>
      <c r="N146" s="82">
        <v>4418.6220399999993</v>
      </c>
      <c r="O146" s="78">
        <v>4418.6220399999993</v>
      </c>
      <c r="P146" s="78">
        <v>0</v>
      </c>
      <c r="Q146" s="73">
        <v>24782.412250000001</v>
      </c>
      <c r="R146" s="78">
        <v>10986.19094</v>
      </c>
      <c r="S146" s="78">
        <v>13796.221310000001</v>
      </c>
    </row>
    <row r="147" spans="1:19" ht="12" customHeight="1" x14ac:dyDescent="0.2">
      <c r="A147" s="55">
        <v>2014</v>
      </c>
      <c r="B147" s="55" t="s">
        <v>13</v>
      </c>
      <c r="C147" s="82">
        <v>0</v>
      </c>
      <c r="D147" s="82">
        <v>15614.496839999998</v>
      </c>
      <c r="E147" s="78">
        <v>2074.5306600000004</v>
      </c>
      <c r="F147" s="78">
        <v>13539.966179999998</v>
      </c>
      <c r="G147" s="82">
        <v>0</v>
      </c>
      <c r="H147" s="82"/>
      <c r="I147" s="82">
        <v>0</v>
      </c>
      <c r="J147" s="82">
        <v>0</v>
      </c>
      <c r="K147" s="82">
        <v>0</v>
      </c>
      <c r="L147" s="82"/>
      <c r="M147" s="82"/>
      <c r="N147" s="82">
        <v>3866.0071799999996</v>
      </c>
      <c r="O147" s="78">
        <v>3866.0071799999996</v>
      </c>
      <c r="P147" s="78">
        <v>0</v>
      </c>
      <c r="Q147" s="73">
        <v>19480.504019999997</v>
      </c>
      <c r="R147" s="78">
        <v>5940.53784</v>
      </c>
      <c r="S147" s="78">
        <v>13539.966179999998</v>
      </c>
    </row>
    <row r="148" spans="1:19" ht="12" customHeight="1" x14ac:dyDescent="0.2">
      <c r="A148" s="55">
        <v>2014</v>
      </c>
      <c r="B148" s="55" t="s">
        <v>14</v>
      </c>
      <c r="C148" s="82">
        <v>0</v>
      </c>
      <c r="D148" s="82">
        <v>15450.899140000001</v>
      </c>
      <c r="E148" s="78">
        <v>3918.35617</v>
      </c>
      <c r="F148" s="78">
        <v>11532.54297</v>
      </c>
      <c r="G148" s="82">
        <v>0</v>
      </c>
      <c r="H148" s="82"/>
      <c r="I148" s="82">
        <v>0</v>
      </c>
      <c r="J148" s="82">
        <v>0</v>
      </c>
      <c r="K148" s="82">
        <v>0</v>
      </c>
      <c r="L148" s="82"/>
      <c r="M148" s="82"/>
      <c r="N148" s="82">
        <v>2834.4144299999998</v>
      </c>
      <c r="O148" s="78">
        <v>2834.4144299999998</v>
      </c>
      <c r="P148" s="78">
        <v>0</v>
      </c>
      <c r="Q148" s="73">
        <v>18285.313569999998</v>
      </c>
      <c r="R148" s="78">
        <v>6752.7705999999998</v>
      </c>
      <c r="S148" s="78">
        <v>11532.54297</v>
      </c>
    </row>
    <row r="149" spans="1:19" ht="12" customHeight="1" x14ac:dyDescent="0.2">
      <c r="A149" s="55">
        <v>2014</v>
      </c>
      <c r="B149" s="55" t="s">
        <v>15</v>
      </c>
      <c r="C149" s="82">
        <v>0</v>
      </c>
      <c r="D149" s="82">
        <v>211869.15519000002</v>
      </c>
      <c r="E149" s="78">
        <v>57313.00198999999</v>
      </c>
      <c r="F149" s="78">
        <v>154556.15319999997</v>
      </c>
      <c r="G149" s="82">
        <v>0</v>
      </c>
      <c r="H149" s="82"/>
      <c r="I149" s="82">
        <v>0</v>
      </c>
      <c r="J149" s="82">
        <v>0</v>
      </c>
      <c r="K149" s="82">
        <v>0</v>
      </c>
      <c r="L149" s="82"/>
      <c r="M149" s="82"/>
      <c r="N149" s="82">
        <v>32574.365439999998</v>
      </c>
      <c r="O149" s="78">
        <v>32574.365439999998</v>
      </c>
      <c r="P149" s="78">
        <v>0</v>
      </c>
      <c r="Q149" s="73">
        <v>244443.52062999998</v>
      </c>
      <c r="R149" s="78">
        <v>89887.367430000013</v>
      </c>
      <c r="S149" s="78">
        <v>154556.15319999997</v>
      </c>
    </row>
    <row r="150" spans="1:19" ht="12" customHeight="1" x14ac:dyDescent="0.2">
      <c r="A150" s="55">
        <v>2015</v>
      </c>
      <c r="B150" s="55" t="s">
        <v>3</v>
      </c>
      <c r="C150" s="82">
        <v>0</v>
      </c>
      <c r="D150" s="82">
        <v>19891.21211</v>
      </c>
      <c r="E150" s="78">
        <v>3646.2974199999999</v>
      </c>
      <c r="F150" s="78">
        <v>16244.91469</v>
      </c>
      <c r="G150" s="82">
        <v>0</v>
      </c>
      <c r="H150" s="82"/>
      <c r="I150" s="82">
        <v>0</v>
      </c>
      <c r="J150" s="82">
        <v>0</v>
      </c>
      <c r="K150" s="82">
        <v>0</v>
      </c>
      <c r="L150" s="82"/>
      <c r="M150" s="82"/>
      <c r="N150" s="82">
        <v>2819.89912</v>
      </c>
      <c r="O150" s="78">
        <v>2819.89912</v>
      </c>
      <c r="P150" s="78">
        <v>0</v>
      </c>
      <c r="Q150" s="73">
        <v>22711.111229999999</v>
      </c>
      <c r="R150" s="78">
        <v>6466.1965399999999</v>
      </c>
      <c r="S150" s="78">
        <v>16244.91469</v>
      </c>
    </row>
    <row r="151" spans="1:19" ht="12" customHeight="1" x14ac:dyDescent="0.2">
      <c r="A151" s="55">
        <v>2015</v>
      </c>
      <c r="B151" s="55" t="s">
        <v>4</v>
      </c>
      <c r="C151" s="82">
        <v>0</v>
      </c>
      <c r="D151" s="82">
        <v>13020.883</v>
      </c>
      <c r="E151" s="78">
        <v>1894.5648200000001</v>
      </c>
      <c r="F151" s="78">
        <v>11126.31818</v>
      </c>
      <c r="G151" s="82">
        <v>0</v>
      </c>
      <c r="H151" s="82"/>
      <c r="I151" s="82">
        <v>0</v>
      </c>
      <c r="J151" s="82">
        <v>0</v>
      </c>
      <c r="K151" s="82">
        <v>0</v>
      </c>
      <c r="L151" s="82"/>
      <c r="M151" s="82"/>
      <c r="N151" s="82">
        <v>2033.6197999999999</v>
      </c>
      <c r="O151" s="78">
        <v>2033.6197999999999</v>
      </c>
      <c r="P151" s="78">
        <v>0</v>
      </c>
      <c r="Q151" s="73">
        <v>15054.5028</v>
      </c>
      <c r="R151" s="78">
        <v>3928.18462</v>
      </c>
      <c r="S151" s="78">
        <v>11126.31818</v>
      </c>
    </row>
    <row r="152" spans="1:19" ht="12" customHeight="1" x14ac:dyDescent="0.2">
      <c r="A152" s="55">
        <v>2015</v>
      </c>
      <c r="B152" s="55" t="s">
        <v>5</v>
      </c>
      <c r="C152" s="82">
        <v>0</v>
      </c>
      <c r="D152" s="82">
        <v>12179.843980000001</v>
      </c>
      <c r="E152" s="78">
        <v>3077.3896400000003</v>
      </c>
      <c r="F152" s="78">
        <v>9102.4543400000002</v>
      </c>
      <c r="G152" s="82">
        <v>0</v>
      </c>
      <c r="H152" s="82"/>
      <c r="I152" s="82">
        <v>0</v>
      </c>
      <c r="J152" s="82">
        <v>0</v>
      </c>
      <c r="K152" s="82">
        <v>0</v>
      </c>
      <c r="L152" s="82"/>
      <c r="M152" s="82"/>
      <c r="N152" s="82">
        <v>3134.2080299999998</v>
      </c>
      <c r="O152" s="78">
        <v>3134.2080299999998</v>
      </c>
      <c r="P152" s="78">
        <v>0</v>
      </c>
      <c r="Q152" s="73">
        <v>15314.052009999999</v>
      </c>
      <c r="R152" s="78">
        <v>6211.5976700000001</v>
      </c>
      <c r="S152" s="78">
        <v>9102.4543400000002</v>
      </c>
    </row>
    <row r="153" spans="1:19" ht="12" customHeight="1" x14ac:dyDescent="0.2">
      <c r="A153" s="55">
        <v>2015</v>
      </c>
      <c r="B153" s="55" t="s">
        <v>6</v>
      </c>
      <c r="C153" s="82">
        <v>0</v>
      </c>
      <c r="D153" s="82">
        <v>19693.885459999998</v>
      </c>
      <c r="E153" s="78">
        <v>3753.4599499999995</v>
      </c>
      <c r="F153" s="78">
        <v>15940.425509999999</v>
      </c>
      <c r="G153" s="82">
        <v>0</v>
      </c>
      <c r="H153" s="82"/>
      <c r="I153" s="82">
        <v>0</v>
      </c>
      <c r="J153" s="82">
        <v>0</v>
      </c>
      <c r="K153" s="82">
        <v>0</v>
      </c>
      <c r="L153" s="82"/>
      <c r="M153" s="82"/>
      <c r="N153" s="82">
        <v>2814.1374799999999</v>
      </c>
      <c r="O153" s="78">
        <v>2814.1374799999999</v>
      </c>
      <c r="P153" s="78">
        <v>0</v>
      </c>
      <c r="Q153" s="73">
        <v>22508.022939999999</v>
      </c>
      <c r="R153" s="78">
        <v>6567.5974299999998</v>
      </c>
      <c r="S153" s="78">
        <v>15940.425509999999</v>
      </c>
    </row>
    <row r="154" spans="1:19" ht="12" customHeight="1" x14ac:dyDescent="0.2">
      <c r="A154" s="55">
        <v>2015</v>
      </c>
      <c r="B154" s="55" t="s">
        <v>7</v>
      </c>
      <c r="C154" s="82">
        <v>0</v>
      </c>
      <c r="D154" s="82">
        <v>18587.844580000004</v>
      </c>
      <c r="E154" s="78">
        <v>5257.1806300000007</v>
      </c>
      <c r="F154" s="78">
        <v>13330.663950000002</v>
      </c>
      <c r="G154" s="82">
        <v>0</v>
      </c>
      <c r="H154" s="82"/>
      <c r="I154" s="82">
        <v>0</v>
      </c>
      <c r="J154" s="82">
        <v>0</v>
      </c>
      <c r="K154" s="82">
        <v>0</v>
      </c>
      <c r="L154" s="82"/>
      <c r="M154" s="82"/>
      <c r="N154" s="82">
        <v>2787.32269</v>
      </c>
      <c r="O154" s="78">
        <v>2787.32269</v>
      </c>
      <c r="P154" s="78">
        <v>0</v>
      </c>
      <c r="Q154" s="73">
        <v>21375.167270000002</v>
      </c>
      <c r="R154" s="78">
        <v>8044.5033200000007</v>
      </c>
      <c r="S154" s="78">
        <v>13330.663950000002</v>
      </c>
    </row>
    <row r="155" spans="1:19" ht="12" customHeight="1" x14ac:dyDescent="0.2">
      <c r="A155" s="55">
        <v>2015</v>
      </c>
      <c r="B155" s="55" t="s">
        <v>8</v>
      </c>
      <c r="C155" s="82">
        <v>0</v>
      </c>
      <c r="D155" s="82">
        <v>15969.0854</v>
      </c>
      <c r="E155" s="78">
        <v>3427.9886799999995</v>
      </c>
      <c r="F155" s="78">
        <v>12541.096720000001</v>
      </c>
      <c r="G155" s="82">
        <v>0</v>
      </c>
      <c r="H155" s="82"/>
      <c r="I155" s="82">
        <v>0</v>
      </c>
      <c r="J155" s="82">
        <v>0</v>
      </c>
      <c r="K155" s="82">
        <v>0</v>
      </c>
      <c r="L155" s="82"/>
      <c r="M155" s="82"/>
      <c r="N155" s="82">
        <v>3669.0001499999998</v>
      </c>
      <c r="O155" s="78">
        <v>3669.0001499999998</v>
      </c>
      <c r="P155" s="78">
        <v>0</v>
      </c>
      <c r="Q155" s="73">
        <v>19638.08555</v>
      </c>
      <c r="R155" s="78">
        <v>7096.9888299999993</v>
      </c>
      <c r="S155" s="78">
        <v>12541.096720000001</v>
      </c>
    </row>
    <row r="156" spans="1:19" ht="12" customHeight="1" x14ac:dyDescent="0.2">
      <c r="A156" s="55">
        <v>2015</v>
      </c>
      <c r="B156" s="55" t="s">
        <v>9</v>
      </c>
      <c r="C156" s="82">
        <v>0</v>
      </c>
      <c r="D156" s="82">
        <v>19906.04192</v>
      </c>
      <c r="E156" s="78">
        <v>3631.9776000000002</v>
      </c>
      <c r="F156" s="78">
        <v>16274.064319999999</v>
      </c>
      <c r="G156" s="82">
        <v>0</v>
      </c>
      <c r="H156" s="82"/>
      <c r="I156" s="82">
        <v>0</v>
      </c>
      <c r="J156" s="82">
        <v>0</v>
      </c>
      <c r="K156" s="82">
        <v>0</v>
      </c>
      <c r="L156" s="82"/>
      <c r="M156" s="82"/>
      <c r="N156" s="82">
        <v>3558.0359899999999</v>
      </c>
      <c r="O156" s="78">
        <v>3558.0359899999999</v>
      </c>
      <c r="P156" s="78">
        <v>0</v>
      </c>
      <c r="Q156" s="73">
        <v>23464.07791</v>
      </c>
      <c r="R156" s="78">
        <v>7190.0135900000005</v>
      </c>
      <c r="S156" s="78">
        <v>16274.064319999999</v>
      </c>
    </row>
    <row r="157" spans="1:19" ht="12" customHeight="1" x14ac:dyDescent="0.2">
      <c r="A157" s="55">
        <v>2015</v>
      </c>
      <c r="B157" s="55" t="s">
        <v>10</v>
      </c>
      <c r="C157" s="82">
        <v>0</v>
      </c>
      <c r="D157" s="82">
        <v>19119.86393</v>
      </c>
      <c r="E157" s="78">
        <v>2671.53152</v>
      </c>
      <c r="F157" s="78">
        <v>16448.332409999999</v>
      </c>
      <c r="G157" s="82">
        <v>0</v>
      </c>
      <c r="H157" s="82"/>
      <c r="I157" s="82">
        <v>0</v>
      </c>
      <c r="J157" s="82">
        <v>0</v>
      </c>
      <c r="K157" s="82">
        <v>0</v>
      </c>
      <c r="L157" s="82"/>
      <c r="M157" s="82"/>
      <c r="N157" s="82">
        <v>5440.580640000001</v>
      </c>
      <c r="O157" s="78">
        <v>5440.580640000001</v>
      </c>
      <c r="P157" s="78">
        <v>0</v>
      </c>
      <c r="Q157" s="73">
        <v>24560.44457</v>
      </c>
      <c r="R157" s="78">
        <v>8112.1121600000006</v>
      </c>
      <c r="S157" s="78">
        <v>16448.332409999999</v>
      </c>
    </row>
    <row r="158" spans="1:19" ht="12" customHeight="1" x14ac:dyDescent="0.2">
      <c r="A158" s="55">
        <v>2015</v>
      </c>
      <c r="B158" s="55" t="s">
        <v>11</v>
      </c>
      <c r="C158" s="82">
        <v>0</v>
      </c>
      <c r="D158" s="82">
        <v>17564.104459999999</v>
      </c>
      <c r="E158" s="78">
        <v>2811.51458</v>
      </c>
      <c r="F158" s="78">
        <v>14752.58988</v>
      </c>
      <c r="G158" s="82">
        <v>0</v>
      </c>
      <c r="H158" s="82"/>
      <c r="I158" s="82">
        <v>0</v>
      </c>
      <c r="J158" s="82">
        <v>0</v>
      </c>
      <c r="K158" s="82">
        <v>0</v>
      </c>
      <c r="L158" s="82"/>
      <c r="M158" s="82"/>
      <c r="N158" s="82">
        <v>4654.7896700000001</v>
      </c>
      <c r="O158" s="78">
        <v>4654.7896700000001</v>
      </c>
      <c r="P158" s="78">
        <v>0</v>
      </c>
      <c r="Q158" s="73">
        <v>22218.894130000001</v>
      </c>
      <c r="R158" s="78">
        <v>7466.3042500000001</v>
      </c>
      <c r="S158" s="78">
        <v>14752.58988</v>
      </c>
    </row>
    <row r="159" spans="1:19" ht="12" customHeight="1" x14ac:dyDescent="0.2">
      <c r="A159" s="55">
        <v>2015</v>
      </c>
      <c r="B159" s="55" t="s">
        <v>12</v>
      </c>
      <c r="C159" s="82">
        <v>0</v>
      </c>
      <c r="D159" s="82">
        <v>18406.538649999999</v>
      </c>
      <c r="E159" s="78">
        <v>1836.34565</v>
      </c>
      <c r="F159" s="78">
        <v>16570.192999999999</v>
      </c>
      <c r="G159" s="82">
        <v>0</v>
      </c>
      <c r="H159" s="82"/>
      <c r="I159" s="82">
        <v>0</v>
      </c>
      <c r="J159" s="82">
        <v>0</v>
      </c>
      <c r="K159" s="82">
        <v>0</v>
      </c>
      <c r="L159" s="82"/>
      <c r="M159" s="82"/>
      <c r="N159" s="82">
        <v>5666.113510000001</v>
      </c>
      <c r="O159" s="78">
        <v>5666.113510000001</v>
      </c>
      <c r="P159" s="78">
        <v>0</v>
      </c>
      <c r="Q159" s="73">
        <v>24072.652160000001</v>
      </c>
      <c r="R159" s="78">
        <v>7502.4591600000012</v>
      </c>
      <c r="S159" s="78">
        <v>16570.192999999999</v>
      </c>
    </row>
    <row r="160" spans="1:19" ht="12" customHeight="1" x14ac:dyDescent="0.2">
      <c r="A160" s="55">
        <v>2015</v>
      </c>
      <c r="B160" s="55" t="s">
        <v>13</v>
      </c>
      <c r="C160" s="82">
        <v>0</v>
      </c>
      <c r="D160" s="82">
        <v>21078.014410000003</v>
      </c>
      <c r="E160" s="78">
        <v>4912.3989700000002</v>
      </c>
      <c r="F160" s="78">
        <v>16165.615440000001</v>
      </c>
      <c r="G160" s="82">
        <v>0</v>
      </c>
      <c r="H160" s="82"/>
      <c r="I160" s="82">
        <v>0</v>
      </c>
      <c r="J160" s="82">
        <v>0</v>
      </c>
      <c r="K160" s="82">
        <v>0</v>
      </c>
      <c r="L160" s="82"/>
      <c r="M160" s="82"/>
      <c r="N160" s="82">
        <v>3829.6082800000004</v>
      </c>
      <c r="O160" s="78">
        <v>3829.6082800000004</v>
      </c>
      <c r="P160" s="78">
        <v>0</v>
      </c>
      <c r="Q160" s="73">
        <v>24907.622690000004</v>
      </c>
      <c r="R160" s="78">
        <v>8742.0072500000006</v>
      </c>
      <c r="S160" s="78">
        <v>16165.615440000001</v>
      </c>
    </row>
    <row r="161" spans="1:19" ht="12" customHeight="1" x14ac:dyDescent="0.2">
      <c r="A161" s="55">
        <v>2015</v>
      </c>
      <c r="B161" s="55" t="s">
        <v>14</v>
      </c>
      <c r="C161" s="82">
        <v>0</v>
      </c>
      <c r="D161" s="82">
        <v>22009.504559999998</v>
      </c>
      <c r="E161" s="78">
        <v>5160.1714299999994</v>
      </c>
      <c r="F161" s="78">
        <v>16849.333129999999</v>
      </c>
      <c r="G161" s="82">
        <v>0</v>
      </c>
      <c r="H161" s="82"/>
      <c r="I161" s="82">
        <v>0</v>
      </c>
      <c r="J161" s="82">
        <v>0</v>
      </c>
      <c r="K161" s="82">
        <v>0</v>
      </c>
      <c r="L161" s="82"/>
      <c r="M161" s="82"/>
      <c r="N161" s="82">
        <v>2916.6110099999996</v>
      </c>
      <c r="O161" s="78">
        <v>2916.6110099999996</v>
      </c>
      <c r="P161" s="78">
        <v>0</v>
      </c>
      <c r="Q161" s="73">
        <v>24926.115569999998</v>
      </c>
      <c r="R161" s="78">
        <v>8076.782439999999</v>
      </c>
      <c r="S161" s="78">
        <v>16849.333129999999</v>
      </c>
    </row>
    <row r="162" spans="1:19" ht="12" customHeight="1" x14ac:dyDescent="0.2">
      <c r="A162" s="55">
        <v>2015</v>
      </c>
      <c r="B162" s="55" t="s">
        <v>15</v>
      </c>
      <c r="C162" s="82">
        <v>0</v>
      </c>
      <c r="D162" s="82">
        <v>217426.82246</v>
      </c>
      <c r="E162" s="78">
        <v>42080.820890000003</v>
      </c>
      <c r="F162" s="78">
        <v>175346.00157000002</v>
      </c>
      <c r="G162" s="82">
        <v>0</v>
      </c>
      <c r="H162" s="82"/>
      <c r="I162" s="82">
        <v>0</v>
      </c>
      <c r="J162" s="82">
        <v>0</v>
      </c>
      <c r="K162" s="82">
        <v>0</v>
      </c>
      <c r="L162" s="82"/>
      <c r="M162" s="82"/>
      <c r="N162" s="82">
        <v>43323.926370000001</v>
      </c>
      <c r="O162" s="78">
        <v>43323.926370000001</v>
      </c>
      <c r="P162" s="78">
        <v>0</v>
      </c>
      <c r="Q162" s="73">
        <v>260750.74882999997</v>
      </c>
      <c r="R162" s="78">
        <v>85404.747259999989</v>
      </c>
      <c r="S162" s="78">
        <v>175346.00157000002</v>
      </c>
    </row>
    <row r="163" spans="1:19" ht="12" customHeight="1" x14ac:dyDescent="0.2">
      <c r="A163" s="55">
        <v>2016</v>
      </c>
      <c r="B163" s="55" t="s">
        <v>3</v>
      </c>
      <c r="C163" s="82">
        <v>0</v>
      </c>
      <c r="D163" s="82">
        <v>20431.605769999998</v>
      </c>
      <c r="E163" s="78">
        <v>4680.9452999999994</v>
      </c>
      <c r="F163" s="78">
        <v>15750.660469999999</v>
      </c>
      <c r="G163" s="82">
        <v>0</v>
      </c>
      <c r="H163" s="82"/>
      <c r="I163" s="82">
        <v>0</v>
      </c>
      <c r="J163" s="82">
        <v>0</v>
      </c>
      <c r="K163" s="82">
        <v>0</v>
      </c>
      <c r="L163" s="82"/>
      <c r="M163" s="82"/>
      <c r="N163" s="82">
        <v>3809.8811099999998</v>
      </c>
      <c r="O163" s="78">
        <v>3809.8811099999998</v>
      </c>
      <c r="P163" s="78">
        <v>0</v>
      </c>
      <c r="Q163" s="73">
        <v>24241.486879999997</v>
      </c>
      <c r="R163" s="78">
        <v>8490.8264099999997</v>
      </c>
      <c r="S163" s="78">
        <v>15750.660469999999</v>
      </c>
    </row>
    <row r="164" spans="1:19" ht="12" customHeight="1" x14ac:dyDescent="0.2">
      <c r="A164" s="55">
        <v>2016</v>
      </c>
      <c r="B164" s="55" t="s">
        <v>4</v>
      </c>
      <c r="C164" s="82">
        <v>0</v>
      </c>
      <c r="D164" s="82">
        <v>12995.517130000002</v>
      </c>
      <c r="E164" s="78">
        <v>1336.08754</v>
      </c>
      <c r="F164" s="78">
        <v>11659.429590000002</v>
      </c>
      <c r="G164" s="82">
        <v>0</v>
      </c>
      <c r="H164" s="82"/>
      <c r="I164" s="82">
        <v>0</v>
      </c>
      <c r="J164" s="82">
        <v>0</v>
      </c>
      <c r="K164" s="82">
        <v>0</v>
      </c>
      <c r="L164" s="82"/>
      <c r="M164" s="82"/>
      <c r="N164" s="82">
        <v>3223.1731600000003</v>
      </c>
      <c r="O164" s="78">
        <v>3223.1731600000003</v>
      </c>
      <c r="P164" s="78">
        <v>0</v>
      </c>
      <c r="Q164" s="73">
        <v>16218.690290000002</v>
      </c>
      <c r="R164" s="78">
        <v>4559.2607000000007</v>
      </c>
      <c r="S164" s="78">
        <v>11659.429590000002</v>
      </c>
    </row>
    <row r="165" spans="1:19" ht="12" customHeight="1" x14ac:dyDescent="0.2">
      <c r="A165" s="55">
        <v>2016</v>
      </c>
      <c r="B165" s="55" t="s">
        <v>5</v>
      </c>
      <c r="C165" s="82">
        <v>0</v>
      </c>
      <c r="D165" s="82">
        <v>15629.27132</v>
      </c>
      <c r="E165" s="78">
        <v>5653.2062999999998</v>
      </c>
      <c r="F165" s="78">
        <v>9976.06502</v>
      </c>
      <c r="G165" s="82">
        <v>0</v>
      </c>
      <c r="H165" s="82"/>
      <c r="I165" s="82">
        <v>0</v>
      </c>
      <c r="J165" s="82">
        <v>0</v>
      </c>
      <c r="K165" s="82">
        <v>0</v>
      </c>
      <c r="L165" s="82"/>
      <c r="M165" s="82"/>
      <c r="N165" s="82">
        <v>4668.9748599999994</v>
      </c>
      <c r="O165" s="78">
        <v>4668.9748599999994</v>
      </c>
      <c r="P165" s="78">
        <v>0</v>
      </c>
      <c r="Q165" s="73">
        <v>20298.246180000002</v>
      </c>
      <c r="R165" s="78">
        <v>10322.18116</v>
      </c>
      <c r="S165" s="78">
        <v>9976.06502</v>
      </c>
    </row>
    <row r="166" spans="1:19" ht="12" customHeight="1" x14ac:dyDescent="0.2">
      <c r="A166" s="55">
        <v>2016</v>
      </c>
      <c r="B166" s="55" t="s">
        <v>6</v>
      </c>
      <c r="C166" s="82">
        <v>0</v>
      </c>
      <c r="D166" s="82">
        <v>16946.722659999999</v>
      </c>
      <c r="E166" s="78">
        <v>2812.3041900000003</v>
      </c>
      <c r="F166" s="78">
        <v>14134.418470000001</v>
      </c>
      <c r="G166" s="82">
        <v>0</v>
      </c>
      <c r="H166" s="82"/>
      <c r="I166" s="82">
        <v>0</v>
      </c>
      <c r="J166" s="82">
        <v>0</v>
      </c>
      <c r="K166" s="82">
        <v>0</v>
      </c>
      <c r="L166" s="82"/>
      <c r="M166" s="82"/>
      <c r="N166" s="82">
        <v>3710.5279399999999</v>
      </c>
      <c r="O166" s="78">
        <v>3710.5279399999999</v>
      </c>
      <c r="P166" s="78">
        <v>0</v>
      </c>
      <c r="Q166" s="73">
        <v>20657.250599999999</v>
      </c>
      <c r="R166" s="78">
        <v>6522.8321300000007</v>
      </c>
      <c r="S166" s="78">
        <v>14134.418470000001</v>
      </c>
    </row>
    <row r="167" spans="1:19" ht="12" customHeight="1" x14ac:dyDescent="0.2">
      <c r="A167" s="55">
        <v>2016</v>
      </c>
      <c r="B167" s="55" t="s">
        <v>7</v>
      </c>
      <c r="C167" s="82">
        <v>0</v>
      </c>
      <c r="D167" s="82">
        <v>16892.752699999997</v>
      </c>
      <c r="E167" s="78">
        <v>2480.0751600000003</v>
      </c>
      <c r="F167" s="78">
        <v>14412.677539999999</v>
      </c>
      <c r="G167" s="82">
        <v>0</v>
      </c>
      <c r="H167" s="82"/>
      <c r="I167" s="82">
        <v>0</v>
      </c>
      <c r="J167" s="82">
        <v>0</v>
      </c>
      <c r="K167" s="82">
        <v>0</v>
      </c>
      <c r="L167" s="82"/>
      <c r="M167" s="82"/>
      <c r="N167" s="82">
        <v>5134.1938599999994</v>
      </c>
      <c r="O167" s="78">
        <v>5134.1938599999994</v>
      </c>
      <c r="P167" s="78">
        <v>0</v>
      </c>
      <c r="Q167" s="73">
        <v>22026.946559999997</v>
      </c>
      <c r="R167" s="78">
        <v>7614.2690199999997</v>
      </c>
      <c r="S167" s="78">
        <v>14412.677539999999</v>
      </c>
    </row>
    <row r="168" spans="1:19" ht="12" customHeight="1" x14ac:dyDescent="0.2">
      <c r="A168" s="55">
        <v>2016</v>
      </c>
      <c r="B168" s="55" t="s">
        <v>8</v>
      </c>
      <c r="C168" s="82">
        <v>0</v>
      </c>
      <c r="D168" s="82">
        <v>18431.046759999997</v>
      </c>
      <c r="E168" s="78">
        <v>2976.7460599999995</v>
      </c>
      <c r="F168" s="78">
        <v>15454.3007</v>
      </c>
      <c r="G168" s="82">
        <v>0</v>
      </c>
      <c r="H168" s="82"/>
      <c r="I168" s="82">
        <v>0</v>
      </c>
      <c r="J168" s="82">
        <v>0</v>
      </c>
      <c r="K168" s="82">
        <v>0</v>
      </c>
      <c r="L168" s="82"/>
      <c r="M168" s="82"/>
      <c r="N168" s="82">
        <v>4838.3561000000009</v>
      </c>
      <c r="O168" s="78">
        <v>4838.3561000000009</v>
      </c>
      <c r="P168" s="78">
        <v>0</v>
      </c>
      <c r="Q168" s="73">
        <v>23269.402860000002</v>
      </c>
      <c r="R168" s="78">
        <v>7815.1021600000004</v>
      </c>
      <c r="S168" s="78">
        <v>15454.3007</v>
      </c>
    </row>
    <row r="169" spans="1:19" ht="12" customHeight="1" x14ac:dyDescent="0.2">
      <c r="A169" s="55">
        <v>2016</v>
      </c>
      <c r="B169" s="55" t="s">
        <v>9</v>
      </c>
      <c r="C169" s="82">
        <v>0</v>
      </c>
      <c r="D169" s="82">
        <v>16779.489150000001</v>
      </c>
      <c r="E169" s="78">
        <v>913.20163000000002</v>
      </c>
      <c r="F169" s="78">
        <v>15866.28752</v>
      </c>
      <c r="G169" s="82">
        <v>0</v>
      </c>
      <c r="H169" s="82"/>
      <c r="I169" s="82">
        <v>0</v>
      </c>
      <c r="J169" s="82">
        <v>0</v>
      </c>
      <c r="K169" s="82">
        <v>0</v>
      </c>
      <c r="L169" s="82"/>
      <c r="M169" s="82"/>
      <c r="N169" s="82">
        <v>4756.8711800000001</v>
      </c>
      <c r="O169" s="78">
        <v>4756.8711800000001</v>
      </c>
      <c r="P169" s="78">
        <v>0</v>
      </c>
      <c r="Q169" s="73">
        <v>21536.36033</v>
      </c>
      <c r="R169" s="78">
        <v>5670.0728099999997</v>
      </c>
      <c r="S169" s="78">
        <v>15866.28752</v>
      </c>
    </row>
    <row r="170" spans="1:19" ht="12" customHeight="1" x14ac:dyDescent="0.2">
      <c r="A170" s="55">
        <v>2016</v>
      </c>
      <c r="B170" s="55" t="s">
        <v>10</v>
      </c>
      <c r="C170" s="82">
        <v>0</v>
      </c>
      <c r="D170" s="82">
        <v>17648.714319999999</v>
      </c>
      <c r="E170" s="78">
        <v>1408.8241699999999</v>
      </c>
      <c r="F170" s="78">
        <v>16239.890150000001</v>
      </c>
      <c r="G170" s="82">
        <v>0</v>
      </c>
      <c r="H170" s="82"/>
      <c r="I170" s="82">
        <v>0</v>
      </c>
      <c r="J170" s="82">
        <v>0</v>
      </c>
      <c r="K170" s="82">
        <v>0</v>
      </c>
      <c r="L170" s="82"/>
      <c r="M170" s="82"/>
      <c r="N170" s="82">
        <v>3784.4638300000001</v>
      </c>
      <c r="O170" s="78">
        <v>3784.4638300000001</v>
      </c>
      <c r="P170" s="78">
        <v>0</v>
      </c>
      <c r="Q170" s="73">
        <v>21433.17815</v>
      </c>
      <c r="R170" s="78">
        <v>5193.2880000000005</v>
      </c>
      <c r="S170" s="78">
        <v>16239.890150000001</v>
      </c>
    </row>
    <row r="171" spans="1:19" ht="12" customHeight="1" x14ac:dyDescent="0.2">
      <c r="A171" s="55">
        <v>2016</v>
      </c>
      <c r="B171" s="55" t="s">
        <v>11</v>
      </c>
      <c r="C171" s="82">
        <v>0</v>
      </c>
      <c r="D171" s="82">
        <v>17282.99769</v>
      </c>
      <c r="E171" s="78">
        <v>3243.3264299999996</v>
      </c>
      <c r="F171" s="78">
        <v>14039.671260000001</v>
      </c>
      <c r="G171" s="82">
        <v>0</v>
      </c>
      <c r="H171" s="82"/>
      <c r="I171" s="82">
        <v>0</v>
      </c>
      <c r="J171" s="82">
        <v>0</v>
      </c>
      <c r="K171" s="82">
        <v>0</v>
      </c>
      <c r="L171" s="82"/>
      <c r="M171" s="82"/>
      <c r="N171" s="82">
        <v>3998.7399399999999</v>
      </c>
      <c r="O171" s="78">
        <v>3998.7399399999999</v>
      </c>
      <c r="P171" s="78">
        <v>0</v>
      </c>
      <c r="Q171" s="73">
        <v>21281.73763</v>
      </c>
      <c r="R171" s="78">
        <v>7242.0663699999996</v>
      </c>
      <c r="S171" s="78">
        <v>14039.671260000001</v>
      </c>
    </row>
    <row r="172" spans="1:19" ht="12" customHeight="1" x14ac:dyDescent="0.2">
      <c r="A172" s="55">
        <v>2016</v>
      </c>
      <c r="B172" s="55" t="s">
        <v>12</v>
      </c>
      <c r="C172" s="82">
        <v>0</v>
      </c>
      <c r="D172" s="82">
        <v>14989.59519</v>
      </c>
      <c r="E172" s="78">
        <v>995.95387000000005</v>
      </c>
      <c r="F172" s="78">
        <v>13993.641320000001</v>
      </c>
      <c r="G172" s="82">
        <v>0</v>
      </c>
      <c r="H172" s="82"/>
      <c r="I172" s="82">
        <v>0</v>
      </c>
      <c r="J172" s="82">
        <v>0</v>
      </c>
      <c r="K172" s="82">
        <v>0</v>
      </c>
      <c r="L172" s="82"/>
      <c r="M172" s="82"/>
      <c r="N172" s="82">
        <v>5128.7267899999988</v>
      </c>
      <c r="O172" s="78">
        <v>5128.7267899999988</v>
      </c>
      <c r="P172" s="78">
        <v>0</v>
      </c>
      <c r="Q172" s="73">
        <v>20118.321980000001</v>
      </c>
      <c r="R172" s="78">
        <v>6124.6806599999991</v>
      </c>
      <c r="S172" s="78">
        <v>13993.641320000001</v>
      </c>
    </row>
    <row r="173" spans="1:19" ht="12" customHeight="1" x14ac:dyDescent="0.2">
      <c r="A173" s="55">
        <v>2016</v>
      </c>
      <c r="B173" s="55" t="s">
        <v>13</v>
      </c>
      <c r="C173" s="82">
        <v>0</v>
      </c>
      <c r="D173" s="82">
        <v>19786.00606</v>
      </c>
      <c r="E173" s="78">
        <v>3502.20759</v>
      </c>
      <c r="F173" s="78">
        <v>16283.798469999998</v>
      </c>
      <c r="G173" s="82">
        <v>0</v>
      </c>
      <c r="H173" s="82"/>
      <c r="I173" s="82">
        <v>0</v>
      </c>
      <c r="J173" s="82">
        <v>0</v>
      </c>
      <c r="K173" s="82">
        <v>0</v>
      </c>
      <c r="L173" s="82"/>
      <c r="M173" s="82"/>
      <c r="N173" s="82">
        <v>3781.0365300000003</v>
      </c>
      <c r="O173" s="78">
        <v>3781.0365300000003</v>
      </c>
      <c r="P173" s="78">
        <v>0</v>
      </c>
      <c r="Q173" s="73">
        <v>23567.042589999997</v>
      </c>
      <c r="R173" s="78">
        <v>7283.2441200000003</v>
      </c>
      <c r="S173" s="78">
        <v>16283.798469999998</v>
      </c>
    </row>
    <row r="174" spans="1:19" ht="12" customHeight="1" x14ac:dyDescent="0.2">
      <c r="A174" s="55">
        <v>2016</v>
      </c>
      <c r="B174" s="55" t="s">
        <v>14</v>
      </c>
      <c r="C174" s="82">
        <v>1039.58565</v>
      </c>
      <c r="D174" s="82">
        <v>19223.784079999998</v>
      </c>
      <c r="E174" s="78">
        <v>3495.9436299999998</v>
      </c>
      <c r="F174" s="78">
        <v>15727.84045</v>
      </c>
      <c r="G174" s="82">
        <v>0</v>
      </c>
      <c r="H174" s="82"/>
      <c r="I174" s="82">
        <v>0</v>
      </c>
      <c r="J174" s="82">
        <v>0</v>
      </c>
      <c r="K174" s="82">
        <v>0</v>
      </c>
      <c r="L174" s="82"/>
      <c r="M174" s="82"/>
      <c r="N174" s="82">
        <v>5926.7805099999996</v>
      </c>
      <c r="O174" s="78">
        <v>5926.7805099999996</v>
      </c>
      <c r="P174" s="78">
        <v>0</v>
      </c>
      <c r="Q174" s="73">
        <v>26190.150239999999</v>
      </c>
      <c r="R174" s="78">
        <v>10462.309789999999</v>
      </c>
      <c r="S174" s="78">
        <v>15727.84045</v>
      </c>
    </row>
    <row r="175" spans="1:19" ht="12" customHeight="1" x14ac:dyDescent="0.2">
      <c r="A175" s="55">
        <v>2016</v>
      </c>
      <c r="B175" s="55" t="s">
        <v>15</v>
      </c>
      <c r="C175" s="82">
        <v>1039.58565</v>
      </c>
      <c r="D175" s="82">
        <v>207037.50283000001</v>
      </c>
      <c r="E175" s="78">
        <v>33498.82187</v>
      </c>
      <c r="F175" s="78">
        <v>173538.68096</v>
      </c>
      <c r="G175" s="82">
        <v>0</v>
      </c>
      <c r="H175" s="82"/>
      <c r="I175" s="82">
        <v>0</v>
      </c>
      <c r="J175" s="82">
        <v>0</v>
      </c>
      <c r="K175" s="82">
        <v>0</v>
      </c>
      <c r="L175" s="82"/>
      <c r="M175" s="82"/>
      <c r="N175" s="82">
        <v>52761.725809999996</v>
      </c>
      <c r="O175" s="78">
        <v>52761.725809999996</v>
      </c>
      <c r="P175" s="78">
        <v>0</v>
      </c>
      <c r="Q175" s="73">
        <v>260838.81428999998</v>
      </c>
      <c r="R175" s="78">
        <v>87300.133330000011</v>
      </c>
      <c r="S175" s="78">
        <v>173538.68096</v>
      </c>
    </row>
    <row r="176" spans="1:19" ht="12" customHeight="1" x14ac:dyDescent="0.2">
      <c r="A176" s="55">
        <v>2017</v>
      </c>
      <c r="B176" s="55" t="s">
        <v>3</v>
      </c>
      <c r="C176" s="82">
        <v>0</v>
      </c>
      <c r="D176" s="82">
        <v>17313.521059999999</v>
      </c>
      <c r="E176" s="78">
        <v>505.17596999999995</v>
      </c>
      <c r="F176" s="78">
        <v>16808.345089999999</v>
      </c>
      <c r="G176" s="82">
        <v>0</v>
      </c>
      <c r="H176" s="82"/>
      <c r="I176" s="82">
        <v>0</v>
      </c>
      <c r="J176" s="82">
        <v>0</v>
      </c>
      <c r="K176" s="82">
        <v>0</v>
      </c>
      <c r="L176" s="82"/>
      <c r="M176" s="82"/>
      <c r="N176" s="82">
        <v>4789.4174499999999</v>
      </c>
      <c r="O176" s="78">
        <v>4789.4174499999999</v>
      </c>
      <c r="P176" s="78">
        <v>0</v>
      </c>
      <c r="Q176" s="73">
        <v>22102.93851</v>
      </c>
      <c r="R176" s="78">
        <v>5294.5934200000002</v>
      </c>
      <c r="S176" s="78">
        <v>16808.345089999999</v>
      </c>
    </row>
    <row r="177" spans="1:19" ht="12" customHeight="1" x14ac:dyDescent="0.2">
      <c r="A177" s="55">
        <v>2017</v>
      </c>
      <c r="B177" s="55" t="s">
        <v>4</v>
      </c>
      <c r="C177" s="82">
        <v>1046.2517499999999</v>
      </c>
      <c r="D177" s="82">
        <v>20124.410389999997</v>
      </c>
      <c r="E177" s="78">
        <v>4411.5555000000004</v>
      </c>
      <c r="F177" s="78">
        <v>15712.854889999999</v>
      </c>
      <c r="G177" s="82">
        <v>0</v>
      </c>
      <c r="H177" s="82"/>
      <c r="I177" s="82">
        <v>0</v>
      </c>
      <c r="J177" s="82">
        <v>0</v>
      </c>
      <c r="K177" s="82">
        <v>0</v>
      </c>
      <c r="L177" s="82"/>
      <c r="M177" s="82"/>
      <c r="N177" s="82">
        <v>3979.5128500000001</v>
      </c>
      <c r="O177" s="78">
        <v>3979.5128500000001</v>
      </c>
      <c r="P177" s="78">
        <v>0</v>
      </c>
      <c r="Q177" s="73">
        <v>25150.17499</v>
      </c>
      <c r="R177" s="78">
        <v>9437.3201000000008</v>
      </c>
      <c r="S177" s="78">
        <v>15712.854889999999</v>
      </c>
    </row>
    <row r="178" spans="1:19" ht="12" customHeight="1" x14ac:dyDescent="0.2">
      <c r="A178" s="55">
        <v>2017</v>
      </c>
      <c r="B178" s="55" t="s">
        <v>5</v>
      </c>
      <c r="C178" s="82">
        <v>0</v>
      </c>
      <c r="D178" s="82">
        <v>17944.975780000001</v>
      </c>
      <c r="E178" s="78">
        <v>2459.4859900000001</v>
      </c>
      <c r="F178" s="78">
        <v>15485.48979</v>
      </c>
      <c r="G178" s="82">
        <v>0</v>
      </c>
      <c r="H178" s="82"/>
      <c r="I178" s="82">
        <v>0</v>
      </c>
      <c r="J178" s="82">
        <v>0</v>
      </c>
      <c r="K178" s="82">
        <v>0</v>
      </c>
      <c r="L178" s="82"/>
      <c r="M178" s="82"/>
      <c r="N178" s="82">
        <v>5095.0595700000003</v>
      </c>
      <c r="O178" s="78">
        <v>5095.0595700000003</v>
      </c>
      <c r="P178" s="78">
        <v>0</v>
      </c>
      <c r="Q178" s="73">
        <v>23040.035349999998</v>
      </c>
      <c r="R178" s="78">
        <v>7554.5455600000005</v>
      </c>
      <c r="S178" s="78">
        <v>15485.48979</v>
      </c>
    </row>
    <row r="179" spans="1:19" ht="12" customHeight="1" x14ac:dyDescent="0.2">
      <c r="A179" s="55">
        <v>2017</v>
      </c>
      <c r="B179" s="55" t="s">
        <v>6</v>
      </c>
      <c r="C179" s="82">
        <v>0</v>
      </c>
      <c r="D179" s="82">
        <v>13259.322439999998</v>
      </c>
      <c r="E179" s="78">
        <v>992.06336999999996</v>
      </c>
      <c r="F179" s="78">
        <v>12267.259069999998</v>
      </c>
      <c r="G179" s="82">
        <v>0</v>
      </c>
      <c r="H179" s="82"/>
      <c r="I179" s="82">
        <v>0</v>
      </c>
      <c r="J179" s="82">
        <v>0</v>
      </c>
      <c r="K179" s="82">
        <v>0</v>
      </c>
      <c r="L179" s="82"/>
      <c r="M179" s="82"/>
      <c r="N179" s="82">
        <v>5782.1450799999993</v>
      </c>
      <c r="O179" s="78">
        <v>5782.1450799999993</v>
      </c>
      <c r="P179" s="78">
        <v>0</v>
      </c>
      <c r="Q179" s="73">
        <v>19041.467519999998</v>
      </c>
      <c r="R179" s="78">
        <v>6774.2084499999992</v>
      </c>
      <c r="S179" s="78">
        <v>12267.259069999998</v>
      </c>
    </row>
    <row r="180" spans="1:19" ht="12" customHeight="1" x14ac:dyDescent="0.2">
      <c r="A180" s="55">
        <v>2017</v>
      </c>
      <c r="B180" s="55" t="s">
        <v>7</v>
      </c>
      <c r="C180" s="82">
        <v>0</v>
      </c>
      <c r="D180" s="82">
        <v>15414.46623</v>
      </c>
      <c r="E180" s="78">
        <v>3023.5256300000001</v>
      </c>
      <c r="F180" s="78">
        <v>12390.9406</v>
      </c>
      <c r="G180" s="82">
        <v>0</v>
      </c>
      <c r="H180" s="82"/>
      <c r="I180" s="82">
        <v>0</v>
      </c>
      <c r="J180" s="82">
        <v>0</v>
      </c>
      <c r="K180" s="82">
        <v>0</v>
      </c>
      <c r="L180" s="82"/>
      <c r="M180" s="82"/>
      <c r="N180" s="82">
        <v>3236.1388899999997</v>
      </c>
      <c r="O180" s="78">
        <v>3236.1388899999997</v>
      </c>
      <c r="P180" s="78">
        <v>0</v>
      </c>
      <c r="Q180" s="73">
        <v>18650.60512</v>
      </c>
      <c r="R180" s="78">
        <v>6259.6645200000003</v>
      </c>
      <c r="S180" s="78">
        <v>12390.9406</v>
      </c>
    </row>
    <row r="181" spans="1:19" ht="12" customHeight="1" x14ac:dyDescent="0.2">
      <c r="A181" s="55">
        <v>2017</v>
      </c>
      <c r="B181" s="55" t="s">
        <v>8</v>
      </c>
      <c r="C181" s="82">
        <v>1014.27273</v>
      </c>
      <c r="D181" s="82">
        <v>12176.747579999999</v>
      </c>
      <c r="E181" s="78">
        <v>1987.7371900000001</v>
      </c>
      <c r="F181" s="78">
        <v>10189.010389999999</v>
      </c>
      <c r="G181" s="82">
        <v>0</v>
      </c>
      <c r="H181" s="82"/>
      <c r="I181" s="82">
        <v>0</v>
      </c>
      <c r="J181" s="82">
        <v>0</v>
      </c>
      <c r="K181" s="82">
        <v>0</v>
      </c>
      <c r="L181" s="82"/>
      <c r="M181" s="82"/>
      <c r="N181" s="82">
        <v>7550.8432400000002</v>
      </c>
      <c r="O181" s="78">
        <v>7550.8432400000002</v>
      </c>
      <c r="P181" s="78">
        <v>0</v>
      </c>
      <c r="Q181" s="73">
        <v>20741.863550000002</v>
      </c>
      <c r="R181" s="78">
        <v>10552.853160000001</v>
      </c>
      <c r="S181" s="78">
        <v>10189.010389999999</v>
      </c>
    </row>
    <row r="182" spans="1:19" ht="12" customHeight="1" x14ac:dyDescent="0.2">
      <c r="A182" s="55">
        <v>2017</v>
      </c>
      <c r="B182" s="55" t="s">
        <v>9</v>
      </c>
      <c r="C182" s="82">
        <v>0</v>
      </c>
      <c r="D182" s="82">
        <v>10100.853230000001</v>
      </c>
      <c r="E182" s="78">
        <v>497.64550000000003</v>
      </c>
      <c r="F182" s="78">
        <v>9603.2077300000001</v>
      </c>
      <c r="G182" s="82">
        <v>0</v>
      </c>
      <c r="H182" s="82"/>
      <c r="I182" s="82">
        <v>1127.37976</v>
      </c>
      <c r="J182" s="82">
        <v>0</v>
      </c>
      <c r="K182" s="82">
        <v>0</v>
      </c>
      <c r="L182" s="82"/>
      <c r="M182" s="82"/>
      <c r="N182" s="82">
        <v>3815.3426799999997</v>
      </c>
      <c r="O182" s="78">
        <v>3815.3426799999997</v>
      </c>
      <c r="P182" s="78">
        <v>0</v>
      </c>
      <c r="Q182" s="73">
        <v>15043.57567</v>
      </c>
      <c r="R182" s="78">
        <v>5440.3679400000001</v>
      </c>
      <c r="S182" s="78">
        <v>9603.2077300000001</v>
      </c>
    </row>
    <row r="183" spans="1:19" s="68" customFormat="1" ht="12" customHeight="1" x14ac:dyDescent="0.2">
      <c r="A183" s="55">
        <v>2017</v>
      </c>
      <c r="B183" s="55" t="s">
        <v>10</v>
      </c>
      <c r="C183" s="82">
        <v>0</v>
      </c>
      <c r="D183" s="82">
        <v>8493.2750500000002</v>
      </c>
      <c r="E183" s="78">
        <v>495.20221999999995</v>
      </c>
      <c r="F183" s="78">
        <v>7998.0728300000001</v>
      </c>
      <c r="G183" s="82">
        <v>0</v>
      </c>
      <c r="H183" s="82"/>
      <c r="I183" s="82">
        <v>0</v>
      </c>
      <c r="J183" s="82">
        <v>0</v>
      </c>
      <c r="K183" s="82">
        <v>0</v>
      </c>
      <c r="L183" s="82"/>
      <c r="M183" s="82"/>
      <c r="N183" s="82">
        <v>3832.1712499999999</v>
      </c>
      <c r="O183" s="78">
        <v>3832.1712499999999</v>
      </c>
      <c r="P183" s="78">
        <v>0</v>
      </c>
      <c r="Q183" s="73">
        <v>12325.4463</v>
      </c>
      <c r="R183" s="78">
        <v>4327.3734699999995</v>
      </c>
      <c r="S183" s="78">
        <v>7998.0728300000001</v>
      </c>
    </row>
    <row r="184" spans="1:19" s="68" customFormat="1" ht="12" customHeight="1" x14ac:dyDescent="0.2">
      <c r="A184" s="55">
        <v>2017</v>
      </c>
      <c r="B184" s="55" t="s">
        <v>11</v>
      </c>
      <c r="C184" s="82">
        <v>0</v>
      </c>
      <c r="D184" s="82">
        <v>14006.608239999998</v>
      </c>
      <c r="E184" s="78">
        <v>2586.0448799999999</v>
      </c>
      <c r="F184" s="78">
        <v>11420.563359999998</v>
      </c>
      <c r="G184" s="82">
        <v>0</v>
      </c>
      <c r="H184" s="82"/>
      <c r="I184" s="82">
        <v>0</v>
      </c>
      <c r="J184" s="82">
        <v>0</v>
      </c>
      <c r="K184" s="82">
        <v>0</v>
      </c>
      <c r="L184" s="82"/>
      <c r="M184" s="82"/>
      <c r="N184" s="82">
        <v>2969.1419900000001</v>
      </c>
      <c r="O184" s="78">
        <v>2969.1419900000001</v>
      </c>
      <c r="P184" s="78">
        <v>0</v>
      </c>
      <c r="Q184" s="73">
        <v>16975.750229999998</v>
      </c>
      <c r="R184" s="78">
        <v>5555.1868699999995</v>
      </c>
      <c r="S184" s="78">
        <v>11420.563359999998</v>
      </c>
    </row>
    <row r="185" spans="1:19" s="68" customFormat="1" ht="12" customHeight="1" x14ac:dyDescent="0.2">
      <c r="A185" s="55">
        <v>2017</v>
      </c>
      <c r="B185" s="55" t="s">
        <v>12</v>
      </c>
      <c r="C185" s="82">
        <v>878.23623999999995</v>
      </c>
      <c r="D185" s="82">
        <v>20003.130780000003</v>
      </c>
      <c r="E185" s="78">
        <v>3522.5322300000003</v>
      </c>
      <c r="F185" s="78">
        <v>16480.598550000002</v>
      </c>
      <c r="G185" s="82">
        <v>0</v>
      </c>
      <c r="H185" s="82"/>
      <c r="I185" s="82">
        <v>0</v>
      </c>
      <c r="J185" s="82">
        <v>0</v>
      </c>
      <c r="K185" s="82">
        <v>0</v>
      </c>
      <c r="L185" s="82"/>
      <c r="M185" s="82"/>
      <c r="N185" s="82">
        <v>3697.3175000000006</v>
      </c>
      <c r="O185" s="78">
        <v>3697.3175000000006</v>
      </c>
      <c r="P185" s="78">
        <v>0</v>
      </c>
      <c r="Q185" s="73">
        <v>24578.684520000003</v>
      </c>
      <c r="R185" s="78">
        <v>8098.085970000001</v>
      </c>
      <c r="S185" s="78">
        <v>16480.598550000002</v>
      </c>
    </row>
    <row r="186" spans="1:19" s="68" customFormat="1" ht="12" customHeight="1" x14ac:dyDescent="0.2">
      <c r="A186" s="55">
        <v>2017</v>
      </c>
      <c r="B186" s="55" t="s">
        <v>13</v>
      </c>
      <c r="C186" s="82">
        <v>172.30432000000002</v>
      </c>
      <c r="D186" s="82">
        <v>19139.936609999997</v>
      </c>
      <c r="E186" s="78">
        <v>2978.9488799999999</v>
      </c>
      <c r="F186" s="78">
        <v>16160.987729999999</v>
      </c>
      <c r="G186" s="82">
        <v>0</v>
      </c>
      <c r="H186" s="82"/>
      <c r="I186" s="82">
        <v>0</v>
      </c>
      <c r="J186" s="82">
        <v>0</v>
      </c>
      <c r="K186" s="82">
        <v>0</v>
      </c>
      <c r="L186" s="82"/>
      <c r="M186" s="82"/>
      <c r="N186" s="82">
        <v>2947.6516699999997</v>
      </c>
      <c r="O186" s="78">
        <v>2947.6516699999997</v>
      </c>
      <c r="P186" s="78">
        <v>0</v>
      </c>
      <c r="Q186" s="73">
        <v>22259.892599999999</v>
      </c>
      <c r="R186" s="78">
        <v>6098.9048699999994</v>
      </c>
      <c r="S186" s="78">
        <v>16160.987729999999</v>
      </c>
    </row>
    <row r="187" spans="1:19" ht="12" customHeight="1" x14ac:dyDescent="0.2">
      <c r="A187" s="55">
        <v>2017</v>
      </c>
      <c r="B187" s="55" t="s">
        <v>14</v>
      </c>
      <c r="C187" s="82">
        <v>0</v>
      </c>
      <c r="D187" s="82">
        <v>20032.301219999994</v>
      </c>
      <c r="E187" s="78">
        <v>3306.7742499999999</v>
      </c>
      <c r="F187" s="78">
        <v>16725.526969999995</v>
      </c>
      <c r="G187" s="82">
        <v>0</v>
      </c>
      <c r="H187" s="82"/>
      <c r="I187" s="82">
        <v>0</v>
      </c>
      <c r="J187" s="82">
        <v>0</v>
      </c>
      <c r="K187" s="82">
        <v>0</v>
      </c>
      <c r="L187" s="82"/>
      <c r="M187" s="82"/>
      <c r="N187" s="82">
        <v>1855.0936499999998</v>
      </c>
      <c r="O187" s="78">
        <v>1855.0936499999998</v>
      </c>
      <c r="P187" s="78">
        <v>0</v>
      </c>
      <c r="Q187" s="73">
        <v>21887.394869999996</v>
      </c>
      <c r="R187" s="78">
        <v>5161.8678999999993</v>
      </c>
      <c r="S187" s="78">
        <v>16725.526969999995</v>
      </c>
    </row>
    <row r="188" spans="1:19" ht="12" customHeight="1" x14ac:dyDescent="0.2">
      <c r="A188" s="55">
        <v>2017</v>
      </c>
      <c r="B188" s="55" t="s">
        <v>15</v>
      </c>
      <c r="C188" s="82">
        <v>3111.0650400000004</v>
      </c>
      <c r="D188" s="82">
        <v>188009.54861</v>
      </c>
      <c r="E188" s="78">
        <v>26766.691610000002</v>
      </c>
      <c r="F188" s="78">
        <v>161242.85699999999</v>
      </c>
      <c r="G188" s="82">
        <v>0</v>
      </c>
      <c r="H188" s="82"/>
      <c r="I188" s="82">
        <v>1127.37976</v>
      </c>
      <c r="J188" s="82">
        <v>0</v>
      </c>
      <c r="K188" s="82">
        <v>0</v>
      </c>
      <c r="L188" s="82"/>
      <c r="M188" s="82"/>
      <c r="N188" s="82">
        <v>49549.83582</v>
      </c>
      <c r="O188" s="78">
        <v>49549.83582</v>
      </c>
      <c r="P188" s="78">
        <v>0</v>
      </c>
      <c r="Q188" s="73">
        <v>241797.82923</v>
      </c>
      <c r="R188" s="78">
        <v>80554.972229999985</v>
      </c>
      <c r="S188" s="78">
        <v>161242.85699999999</v>
      </c>
    </row>
    <row r="189" spans="1:19" ht="12" customHeight="1" x14ac:dyDescent="0.2">
      <c r="A189" s="55">
        <v>2018</v>
      </c>
      <c r="B189" s="55" t="s">
        <v>3</v>
      </c>
      <c r="C189" s="82">
        <v>0</v>
      </c>
      <c r="D189" s="82">
        <v>21847.198149999997</v>
      </c>
      <c r="E189" s="78">
        <v>3641.8944999999999</v>
      </c>
      <c r="F189" s="78">
        <v>18205.303649999998</v>
      </c>
      <c r="G189" s="82">
        <v>0</v>
      </c>
      <c r="H189" s="82"/>
      <c r="I189" s="82">
        <v>0</v>
      </c>
      <c r="J189" s="82">
        <v>0</v>
      </c>
      <c r="K189" s="82">
        <v>0</v>
      </c>
      <c r="L189" s="82"/>
      <c r="M189" s="82">
        <v>0</v>
      </c>
      <c r="N189" s="82">
        <v>6792.8551400000006</v>
      </c>
      <c r="O189" s="78">
        <v>6792.8551400000006</v>
      </c>
      <c r="P189" s="78">
        <v>0</v>
      </c>
      <c r="Q189" s="73">
        <v>28640.053289999996</v>
      </c>
      <c r="R189" s="78">
        <v>10434.74964</v>
      </c>
      <c r="S189" s="78">
        <v>18205.303649999998</v>
      </c>
    </row>
    <row r="190" spans="1:19" ht="12" customHeight="1" x14ac:dyDescent="0.2">
      <c r="A190" s="55">
        <v>2018</v>
      </c>
      <c r="B190" s="55" t="s">
        <v>4</v>
      </c>
      <c r="C190" s="82">
        <v>0</v>
      </c>
      <c r="D190" s="82">
        <v>19581.547229999996</v>
      </c>
      <c r="E190" s="78">
        <v>2811.93498</v>
      </c>
      <c r="F190" s="78">
        <v>16769.612249999998</v>
      </c>
      <c r="G190" s="82">
        <v>0</v>
      </c>
      <c r="H190" s="82"/>
      <c r="I190" s="82">
        <v>0</v>
      </c>
      <c r="J190" s="82">
        <v>0</v>
      </c>
      <c r="K190" s="82">
        <v>0</v>
      </c>
      <c r="L190" s="82"/>
      <c r="M190" s="82">
        <v>0</v>
      </c>
      <c r="N190" s="82">
        <v>2541.5414299999998</v>
      </c>
      <c r="O190" s="78">
        <v>2541.5414299999998</v>
      </c>
      <c r="P190" s="78">
        <v>0</v>
      </c>
      <c r="Q190" s="73">
        <v>22123.088659999998</v>
      </c>
      <c r="R190" s="78">
        <v>5353.4764099999993</v>
      </c>
      <c r="S190" s="78">
        <v>16769.612249999998</v>
      </c>
    </row>
    <row r="191" spans="1:19" ht="12" customHeight="1" x14ac:dyDescent="0.2">
      <c r="A191" s="55">
        <v>2018</v>
      </c>
      <c r="B191" s="55" t="s">
        <v>5</v>
      </c>
      <c r="C191" s="82">
        <v>0</v>
      </c>
      <c r="D191" s="82">
        <v>19583.140599999999</v>
      </c>
      <c r="E191" s="78">
        <v>1479.1601799999999</v>
      </c>
      <c r="F191" s="78">
        <v>18103.98042</v>
      </c>
      <c r="G191" s="82">
        <v>0</v>
      </c>
      <c r="H191" s="82"/>
      <c r="I191" s="82">
        <v>0</v>
      </c>
      <c r="J191" s="82">
        <v>0</v>
      </c>
      <c r="K191" s="82">
        <v>0</v>
      </c>
      <c r="L191" s="82"/>
      <c r="M191" s="82">
        <v>0</v>
      </c>
      <c r="N191" s="82">
        <v>3419.4663299999997</v>
      </c>
      <c r="O191" s="78">
        <v>3419.4663299999997</v>
      </c>
      <c r="P191" s="78">
        <v>0</v>
      </c>
      <c r="Q191" s="73">
        <v>23002.606930000002</v>
      </c>
      <c r="R191" s="78">
        <v>4898.6265100000001</v>
      </c>
      <c r="S191" s="78">
        <v>18103.98042</v>
      </c>
    </row>
    <row r="192" spans="1:19" ht="12" customHeight="1" x14ac:dyDescent="0.2">
      <c r="A192" s="55">
        <v>2018</v>
      </c>
      <c r="B192" s="55" t="s">
        <v>6</v>
      </c>
      <c r="C192" s="82">
        <v>1016.2677199999999</v>
      </c>
      <c r="D192" s="82">
        <v>17116.018879999996</v>
      </c>
      <c r="E192" s="78">
        <v>491.64997</v>
      </c>
      <c r="F192" s="78">
        <v>16624.368909999997</v>
      </c>
      <c r="G192" s="82">
        <v>0</v>
      </c>
      <c r="H192" s="82"/>
      <c r="I192" s="82">
        <v>0</v>
      </c>
      <c r="J192" s="82">
        <v>0</v>
      </c>
      <c r="K192" s="82">
        <v>0</v>
      </c>
      <c r="L192" s="82"/>
      <c r="M192" s="82">
        <v>0</v>
      </c>
      <c r="N192" s="82">
        <v>3014.3635800000002</v>
      </c>
      <c r="O192" s="78">
        <v>3014.3635800000002</v>
      </c>
      <c r="P192" s="78">
        <v>0</v>
      </c>
      <c r="Q192" s="73">
        <v>21146.650179999997</v>
      </c>
      <c r="R192" s="78">
        <v>4522.2812700000004</v>
      </c>
      <c r="S192" s="78">
        <v>16624.368909999997</v>
      </c>
    </row>
    <row r="193" spans="1:19" ht="12" customHeight="1" x14ac:dyDescent="0.2">
      <c r="A193" s="55">
        <v>2018</v>
      </c>
      <c r="B193" s="55" t="s">
        <v>7</v>
      </c>
      <c r="C193" s="82">
        <v>16.890310000000003</v>
      </c>
      <c r="D193" s="82">
        <v>16417.369589999998</v>
      </c>
      <c r="E193" s="78">
        <v>499.90699999999998</v>
      </c>
      <c r="F193" s="78">
        <v>15917.462589999999</v>
      </c>
      <c r="G193" s="82">
        <v>0</v>
      </c>
      <c r="H193" s="82"/>
      <c r="I193" s="82">
        <v>0</v>
      </c>
      <c r="J193" s="82">
        <v>0</v>
      </c>
      <c r="K193" s="82">
        <v>0</v>
      </c>
      <c r="L193" s="82"/>
      <c r="M193" s="82">
        <v>0</v>
      </c>
      <c r="N193" s="82">
        <v>3698.0644300000008</v>
      </c>
      <c r="O193" s="78">
        <v>3698.0644300000008</v>
      </c>
      <c r="P193" s="78">
        <v>0</v>
      </c>
      <c r="Q193" s="73">
        <v>20132.324329999999</v>
      </c>
      <c r="R193" s="78">
        <v>4214.8617400000003</v>
      </c>
      <c r="S193" s="78">
        <v>15917.462589999999</v>
      </c>
    </row>
    <row r="194" spans="1:19" ht="12" customHeight="1" x14ac:dyDescent="0.2">
      <c r="A194" s="55">
        <v>2018</v>
      </c>
      <c r="B194" s="55" t="s">
        <v>8</v>
      </c>
      <c r="C194" s="82">
        <v>0</v>
      </c>
      <c r="D194" s="82">
        <v>17979.078239999999</v>
      </c>
      <c r="E194" s="78">
        <v>1982.5943400000001</v>
      </c>
      <c r="F194" s="78">
        <v>15996.483899999999</v>
      </c>
      <c r="G194" s="82">
        <v>0</v>
      </c>
      <c r="H194" s="82"/>
      <c r="I194" s="82">
        <v>0</v>
      </c>
      <c r="J194" s="82">
        <v>0</v>
      </c>
      <c r="K194" s="82">
        <v>0</v>
      </c>
      <c r="L194" s="82"/>
      <c r="M194" s="82">
        <v>0</v>
      </c>
      <c r="N194" s="82">
        <v>3736.9047500000001</v>
      </c>
      <c r="O194" s="78">
        <v>3736.9047500000001</v>
      </c>
      <c r="P194" s="78">
        <v>0</v>
      </c>
      <c r="Q194" s="73">
        <v>21715.98299</v>
      </c>
      <c r="R194" s="78">
        <v>5719.4990900000003</v>
      </c>
      <c r="S194" s="78">
        <v>15996.483899999999</v>
      </c>
    </row>
    <row r="195" spans="1:19" ht="12" customHeight="1" x14ac:dyDescent="0.2">
      <c r="A195" s="55">
        <v>2018</v>
      </c>
      <c r="B195" s="55" t="s">
        <v>9</v>
      </c>
      <c r="C195" s="82">
        <v>0</v>
      </c>
      <c r="D195" s="82">
        <v>14480.34909</v>
      </c>
      <c r="E195" s="78">
        <v>979.38164000000006</v>
      </c>
      <c r="F195" s="78">
        <v>13500.96745</v>
      </c>
      <c r="G195" s="82">
        <v>0</v>
      </c>
      <c r="H195" s="82"/>
      <c r="I195" s="82">
        <v>0</v>
      </c>
      <c r="J195" s="82">
        <v>0</v>
      </c>
      <c r="K195" s="82">
        <v>0</v>
      </c>
      <c r="L195" s="82"/>
      <c r="M195" s="82">
        <v>0</v>
      </c>
      <c r="N195" s="82">
        <v>2907.00704</v>
      </c>
      <c r="O195" s="78">
        <v>2907.00704</v>
      </c>
      <c r="P195" s="78">
        <v>0</v>
      </c>
      <c r="Q195" s="73">
        <v>17387.35613</v>
      </c>
      <c r="R195" s="78">
        <v>3886.38868</v>
      </c>
      <c r="S195" s="78">
        <v>13500.96745</v>
      </c>
    </row>
    <row r="196" spans="1:19" ht="12" customHeight="1" x14ac:dyDescent="0.2">
      <c r="A196" s="55">
        <v>2018</v>
      </c>
      <c r="B196" s="55" t="s">
        <v>10</v>
      </c>
      <c r="C196" s="82">
        <v>0</v>
      </c>
      <c r="D196" s="82">
        <v>14788.335510000003</v>
      </c>
      <c r="E196" s="78">
        <v>990.529</v>
      </c>
      <c r="F196" s="78">
        <v>13797.806510000002</v>
      </c>
      <c r="G196" s="82">
        <v>0</v>
      </c>
      <c r="H196" s="82"/>
      <c r="I196" s="82">
        <v>0</v>
      </c>
      <c r="J196" s="82">
        <v>0</v>
      </c>
      <c r="K196" s="82">
        <v>0</v>
      </c>
      <c r="L196" s="82"/>
      <c r="M196" s="82">
        <v>0</v>
      </c>
      <c r="N196" s="82">
        <v>1828.36915</v>
      </c>
      <c r="O196" s="78">
        <v>1828.36915</v>
      </c>
      <c r="P196" s="78">
        <v>0</v>
      </c>
      <c r="Q196" s="73">
        <v>16616.704660000003</v>
      </c>
      <c r="R196" s="78">
        <v>2818.89815</v>
      </c>
      <c r="S196" s="78">
        <v>13797.806510000002</v>
      </c>
    </row>
    <row r="197" spans="1:19" ht="12" customHeight="1" x14ac:dyDescent="0.2">
      <c r="A197" s="55">
        <v>2018</v>
      </c>
      <c r="B197" s="55" t="s">
        <v>11</v>
      </c>
      <c r="C197" s="82">
        <v>0</v>
      </c>
      <c r="D197" s="82">
        <v>13763.282399999998</v>
      </c>
      <c r="E197" s="78">
        <v>0</v>
      </c>
      <c r="F197" s="78">
        <v>13763.282399999998</v>
      </c>
      <c r="G197" s="82">
        <v>0</v>
      </c>
      <c r="H197" s="82"/>
      <c r="I197" s="82">
        <v>0</v>
      </c>
      <c r="J197" s="82">
        <v>0</v>
      </c>
      <c r="K197" s="82">
        <v>0</v>
      </c>
      <c r="L197" s="82"/>
      <c r="M197" s="82">
        <v>0</v>
      </c>
      <c r="N197" s="82">
        <v>3725.0866099999998</v>
      </c>
      <c r="O197" s="78">
        <v>3725.0866099999998</v>
      </c>
      <c r="P197" s="78">
        <v>0</v>
      </c>
      <c r="Q197" s="73">
        <v>17488.369009999999</v>
      </c>
      <c r="R197" s="78">
        <v>3725.0866099999998</v>
      </c>
      <c r="S197" s="78">
        <v>13763.282399999998</v>
      </c>
    </row>
    <row r="198" spans="1:19" ht="12" customHeight="1" x14ac:dyDescent="0.2">
      <c r="A198" s="55">
        <v>2018</v>
      </c>
      <c r="B198" s="55" t="s">
        <v>12</v>
      </c>
      <c r="C198" s="82">
        <v>0</v>
      </c>
      <c r="D198" s="82">
        <v>13397.26692</v>
      </c>
      <c r="E198" s="78">
        <v>993.79993999999999</v>
      </c>
      <c r="F198" s="78">
        <v>12403.466979999999</v>
      </c>
      <c r="G198" s="82">
        <v>0</v>
      </c>
      <c r="H198" s="82"/>
      <c r="I198" s="82">
        <v>0</v>
      </c>
      <c r="J198" s="82">
        <v>0</v>
      </c>
      <c r="K198" s="82">
        <v>0</v>
      </c>
      <c r="L198" s="82"/>
      <c r="M198" s="82">
        <v>0</v>
      </c>
      <c r="N198" s="82">
        <v>3909.9229399999995</v>
      </c>
      <c r="O198" s="78">
        <v>3909.9229399999995</v>
      </c>
      <c r="P198" s="78">
        <v>0</v>
      </c>
      <c r="Q198" s="73">
        <v>17307.189859999999</v>
      </c>
      <c r="R198" s="78">
        <v>4903.7228799999993</v>
      </c>
      <c r="S198" s="78">
        <v>12403.466979999999</v>
      </c>
    </row>
    <row r="199" spans="1:19" ht="12" customHeight="1" x14ac:dyDescent="0.2">
      <c r="A199" s="55">
        <v>2018</v>
      </c>
      <c r="B199" s="55" t="s">
        <v>13</v>
      </c>
      <c r="C199" s="82">
        <v>0</v>
      </c>
      <c r="D199" s="82">
        <v>15323.67016</v>
      </c>
      <c r="E199" s="78">
        <v>991.73692000000005</v>
      </c>
      <c r="F199" s="78">
        <v>14331.93324</v>
      </c>
      <c r="G199" s="82">
        <v>0</v>
      </c>
      <c r="H199" s="82"/>
      <c r="I199" s="82">
        <v>0</v>
      </c>
      <c r="J199" s="82">
        <v>0</v>
      </c>
      <c r="K199" s="82">
        <v>0</v>
      </c>
      <c r="L199" s="82"/>
      <c r="M199" s="82">
        <v>0</v>
      </c>
      <c r="N199" s="82">
        <v>5307.5603800000008</v>
      </c>
      <c r="O199" s="78">
        <v>5307.5603800000008</v>
      </c>
      <c r="P199" s="78">
        <v>0</v>
      </c>
      <c r="Q199" s="73">
        <v>20631.23054</v>
      </c>
      <c r="R199" s="78">
        <v>6299.2973000000011</v>
      </c>
      <c r="S199" s="78">
        <v>14331.93324</v>
      </c>
    </row>
    <row r="200" spans="1:19" ht="12" customHeight="1" x14ac:dyDescent="0.2">
      <c r="A200" s="55">
        <v>2018</v>
      </c>
      <c r="B200" s="55" t="s">
        <v>14</v>
      </c>
      <c r="C200" s="82">
        <v>0</v>
      </c>
      <c r="D200" s="82">
        <v>16671.691169999998</v>
      </c>
      <c r="E200" s="78">
        <v>1987.42082</v>
      </c>
      <c r="F200" s="78">
        <v>14684.270349999999</v>
      </c>
      <c r="G200" s="82">
        <v>863.24386000000004</v>
      </c>
      <c r="H200" s="82"/>
      <c r="I200" s="82">
        <v>0</v>
      </c>
      <c r="J200" s="82">
        <v>0</v>
      </c>
      <c r="K200" s="82">
        <v>0</v>
      </c>
      <c r="L200" s="82"/>
      <c r="M200" s="82">
        <v>0</v>
      </c>
      <c r="N200" s="82">
        <v>5086.46432</v>
      </c>
      <c r="O200" s="78">
        <v>5086.46432</v>
      </c>
      <c r="P200" s="78">
        <v>0</v>
      </c>
      <c r="Q200" s="73">
        <v>22621.39935</v>
      </c>
      <c r="R200" s="78">
        <v>7937.1290000000008</v>
      </c>
      <c r="S200" s="78">
        <v>14684.270349999999</v>
      </c>
    </row>
    <row r="201" spans="1:19" ht="12" customHeight="1" x14ac:dyDescent="0.2">
      <c r="A201" s="55">
        <v>2018</v>
      </c>
      <c r="B201" s="55" t="s">
        <v>15</v>
      </c>
      <c r="C201" s="82">
        <v>1033.1580300000001</v>
      </c>
      <c r="D201" s="82">
        <v>200948.94793999998</v>
      </c>
      <c r="E201" s="78">
        <v>16850.009289999998</v>
      </c>
      <c r="F201" s="78">
        <v>184098.93865</v>
      </c>
      <c r="G201" s="82">
        <v>863.24386000000004</v>
      </c>
      <c r="H201" s="82"/>
      <c r="I201" s="82">
        <v>0</v>
      </c>
      <c r="J201" s="82">
        <v>0</v>
      </c>
      <c r="K201" s="82">
        <v>0</v>
      </c>
      <c r="L201" s="82"/>
      <c r="M201" s="82">
        <v>0</v>
      </c>
      <c r="N201" s="82">
        <v>45967.606100000005</v>
      </c>
      <c r="O201" s="78">
        <v>45967.606100000005</v>
      </c>
      <c r="P201" s="78">
        <v>0</v>
      </c>
      <c r="Q201" s="73">
        <v>248812.95593</v>
      </c>
      <c r="R201" s="78">
        <v>64714.017280000007</v>
      </c>
      <c r="S201" s="78">
        <v>184098.93865</v>
      </c>
    </row>
    <row r="202" spans="1:19" ht="12" customHeight="1" x14ac:dyDescent="0.2">
      <c r="A202" s="55">
        <v>2019</v>
      </c>
      <c r="B202" s="55" t="s">
        <v>3</v>
      </c>
      <c r="C202" s="82">
        <v>0</v>
      </c>
      <c r="D202" s="82">
        <v>17738.255530000002</v>
      </c>
      <c r="E202" s="78">
        <v>1491.32727</v>
      </c>
      <c r="F202" s="78">
        <v>16246.928260000002</v>
      </c>
      <c r="G202" s="82">
        <v>0</v>
      </c>
      <c r="H202" s="82"/>
      <c r="I202" s="82">
        <v>0</v>
      </c>
      <c r="J202" s="82">
        <v>0</v>
      </c>
      <c r="K202" s="82">
        <v>0</v>
      </c>
      <c r="L202" s="82"/>
      <c r="M202" s="82">
        <v>0</v>
      </c>
      <c r="N202" s="82">
        <v>4703.1017400000001</v>
      </c>
      <c r="O202" s="78">
        <v>4703.1017400000001</v>
      </c>
      <c r="P202" s="78">
        <v>0</v>
      </c>
      <c r="Q202" s="73">
        <v>22441.35727</v>
      </c>
      <c r="R202" s="78">
        <v>6194.4290099999998</v>
      </c>
      <c r="S202" s="78">
        <v>16246.928260000002</v>
      </c>
    </row>
    <row r="203" spans="1:19" ht="12" customHeight="1" x14ac:dyDescent="0.2">
      <c r="A203" s="55">
        <v>2019</v>
      </c>
      <c r="B203" s="55" t="s">
        <v>4</v>
      </c>
      <c r="C203" s="82">
        <v>1025.42229</v>
      </c>
      <c r="D203" s="82">
        <v>10769.54969</v>
      </c>
      <c r="E203" s="78">
        <v>0</v>
      </c>
      <c r="F203" s="78">
        <v>10769.54969</v>
      </c>
      <c r="G203" s="82">
        <v>0</v>
      </c>
      <c r="H203" s="82"/>
      <c r="I203" s="82">
        <v>0</v>
      </c>
      <c r="J203" s="82">
        <v>0</v>
      </c>
      <c r="K203" s="82">
        <v>0</v>
      </c>
      <c r="L203" s="82"/>
      <c r="M203" s="82">
        <v>0</v>
      </c>
      <c r="N203" s="82">
        <v>4665.7533500000009</v>
      </c>
      <c r="O203" s="78">
        <v>4665.7533500000009</v>
      </c>
      <c r="P203" s="78">
        <v>0</v>
      </c>
      <c r="Q203" s="73">
        <v>16460.725330000001</v>
      </c>
      <c r="R203" s="78">
        <v>5691.1756400000013</v>
      </c>
      <c r="S203" s="78">
        <v>10769.54969</v>
      </c>
    </row>
    <row r="204" spans="1:19" ht="12" customHeight="1" x14ac:dyDescent="0.2">
      <c r="A204" s="55">
        <v>2019</v>
      </c>
      <c r="B204" s="55" t="s">
        <v>5</v>
      </c>
      <c r="C204" s="82">
        <v>0</v>
      </c>
      <c r="D204" s="82">
        <v>6952.7243100000005</v>
      </c>
      <c r="E204" s="78">
        <v>0</v>
      </c>
      <c r="F204" s="78">
        <v>6952.7243100000005</v>
      </c>
      <c r="G204" s="82">
        <v>966.06295999999998</v>
      </c>
      <c r="H204" s="82"/>
      <c r="I204" s="82">
        <v>0</v>
      </c>
      <c r="J204" s="82">
        <v>0</v>
      </c>
      <c r="K204" s="82">
        <v>0</v>
      </c>
      <c r="L204" s="82"/>
      <c r="M204" s="82">
        <v>0</v>
      </c>
      <c r="N204" s="82">
        <v>3951.6480300000003</v>
      </c>
      <c r="O204" s="78">
        <v>3951.6480300000003</v>
      </c>
      <c r="P204" s="78">
        <v>0</v>
      </c>
      <c r="Q204" s="73">
        <v>11870.435300000001</v>
      </c>
      <c r="R204" s="78">
        <v>4917.7109900000005</v>
      </c>
      <c r="S204" s="78">
        <v>6952.7243100000005</v>
      </c>
    </row>
    <row r="205" spans="1:19" ht="12" customHeight="1" x14ac:dyDescent="0.2">
      <c r="A205" s="55">
        <v>2019</v>
      </c>
      <c r="B205" s="55" t="s">
        <v>6</v>
      </c>
      <c r="C205" s="82">
        <v>0</v>
      </c>
      <c r="D205" s="82">
        <v>12020.84116</v>
      </c>
      <c r="E205" s="78">
        <v>3227.8061400000001</v>
      </c>
      <c r="F205" s="78">
        <v>8793.0350199999993</v>
      </c>
      <c r="G205" s="82">
        <v>0</v>
      </c>
      <c r="H205" s="82"/>
      <c r="I205" s="82">
        <v>0</v>
      </c>
      <c r="J205" s="82">
        <v>0</v>
      </c>
      <c r="K205" s="82">
        <v>0</v>
      </c>
      <c r="L205" s="82"/>
      <c r="M205" s="82">
        <v>0</v>
      </c>
      <c r="N205" s="82">
        <v>4757.2656200000001</v>
      </c>
      <c r="O205" s="78">
        <v>4757.2656200000001</v>
      </c>
      <c r="P205" s="78">
        <v>0</v>
      </c>
      <c r="Q205" s="73">
        <v>16778.106780000002</v>
      </c>
      <c r="R205" s="78">
        <v>7985.0717600000007</v>
      </c>
      <c r="S205" s="78">
        <v>8793.0350199999993</v>
      </c>
    </row>
    <row r="206" spans="1:19" ht="12" customHeight="1" x14ac:dyDescent="0.2">
      <c r="A206" s="55">
        <v>2019</v>
      </c>
      <c r="B206" s="55" t="s">
        <v>7</v>
      </c>
      <c r="C206" s="82">
        <v>1007.78889</v>
      </c>
      <c r="D206" s="82">
        <v>12082.320150000003</v>
      </c>
      <c r="E206" s="78">
        <v>2741.8542800000005</v>
      </c>
      <c r="F206" s="78">
        <v>9340.4658700000018</v>
      </c>
      <c r="G206" s="82">
        <v>0</v>
      </c>
      <c r="H206" s="82"/>
      <c r="I206" s="82">
        <v>0</v>
      </c>
      <c r="J206" s="82">
        <v>0</v>
      </c>
      <c r="K206" s="82">
        <v>0</v>
      </c>
      <c r="L206" s="82"/>
      <c r="M206" s="82">
        <v>0</v>
      </c>
      <c r="N206" s="82">
        <v>3921.4013</v>
      </c>
      <c r="O206" s="78">
        <v>3921.4013</v>
      </c>
      <c r="P206" s="78">
        <v>0</v>
      </c>
      <c r="Q206" s="73">
        <v>17011.510340000001</v>
      </c>
      <c r="R206" s="78">
        <v>7671.0444700000007</v>
      </c>
      <c r="S206" s="78">
        <v>9340.4658700000018</v>
      </c>
    </row>
    <row r="207" spans="1:19" ht="12" customHeight="1" x14ac:dyDescent="0.2">
      <c r="A207" s="55">
        <v>2019</v>
      </c>
      <c r="B207" s="55" t="s">
        <v>8</v>
      </c>
      <c r="C207" s="82">
        <v>0</v>
      </c>
      <c r="D207" s="82">
        <v>8042.1704700000009</v>
      </c>
      <c r="E207" s="78">
        <v>0</v>
      </c>
      <c r="F207" s="78">
        <v>8042.1704700000009</v>
      </c>
      <c r="G207" s="82">
        <v>0</v>
      </c>
      <c r="H207" s="82"/>
      <c r="I207" s="82">
        <v>0</v>
      </c>
      <c r="J207" s="82">
        <v>0</v>
      </c>
      <c r="K207" s="82">
        <v>0</v>
      </c>
      <c r="L207" s="82"/>
      <c r="M207" s="82">
        <v>0</v>
      </c>
      <c r="N207" s="82">
        <v>2949.2957600000004</v>
      </c>
      <c r="O207" s="78">
        <v>2949.2957600000004</v>
      </c>
      <c r="P207" s="78">
        <v>0</v>
      </c>
      <c r="Q207" s="73">
        <v>10991.466230000002</v>
      </c>
      <c r="R207" s="78">
        <v>2949.2957600000004</v>
      </c>
      <c r="S207" s="78">
        <v>8042.1704700000009</v>
      </c>
    </row>
    <row r="208" spans="1:19" ht="12" customHeight="1" x14ac:dyDescent="0.2">
      <c r="A208" s="55">
        <v>2019</v>
      </c>
      <c r="B208" s="55" t="s">
        <v>9</v>
      </c>
      <c r="C208" s="82">
        <v>0</v>
      </c>
      <c r="D208" s="82">
        <v>8450.1837599999999</v>
      </c>
      <c r="E208" s="78">
        <v>0</v>
      </c>
      <c r="F208" s="78">
        <v>8450.1837599999999</v>
      </c>
      <c r="G208" s="82">
        <v>0</v>
      </c>
      <c r="H208" s="82"/>
      <c r="I208" s="82">
        <v>0</v>
      </c>
      <c r="J208" s="82">
        <v>0</v>
      </c>
      <c r="K208" s="82">
        <v>0</v>
      </c>
      <c r="L208" s="82"/>
      <c r="M208" s="82">
        <v>0</v>
      </c>
      <c r="N208" s="82">
        <v>4202.3330700000006</v>
      </c>
      <c r="O208" s="78">
        <v>4202.3330700000006</v>
      </c>
      <c r="P208" s="78">
        <v>0</v>
      </c>
      <c r="Q208" s="73">
        <v>12652.51683</v>
      </c>
      <c r="R208" s="78">
        <v>4202.3330700000006</v>
      </c>
      <c r="S208" s="78">
        <v>8450.1837599999999</v>
      </c>
    </row>
    <row r="209" spans="1:19" ht="12" customHeight="1" x14ac:dyDescent="0.2">
      <c r="A209" s="55">
        <v>2019</v>
      </c>
      <c r="B209" s="55" t="s">
        <v>10</v>
      </c>
      <c r="C209" s="82">
        <v>1017.5939000000001</v>
      </c>
      <c r="D209" s="82">
        <v>8390.482030000001</v>
      </c>
      <c r="E209" s="78">
        <v>994.72478000000001</v>
      </c>
      <c r="F209" s="78">
        <v>7395.7572500000006</v>
      </c>
      <c r="G209" s="82">
        <v>0</v>
      </c>
      <c r="H209" s="82"/>
      <c r="I209" s="82">
        <v>0</v>
      </c>
      <c r="J209" s="82">
        <v>0</v>
      </c>
      <c r="K209" s="82">
        <v>0</v>
      </c>
      <c r="L209" s="82"/>
      <c r="M209" s="82">
        <v>0</v>
      </c>
      <c r="N209" s="82">
        <v>4911.5757100000001</v>
      </c>
      <c r="O209" s="78">
        <v>4911.5757100000001</v>
      </c>
      <c r="P209" s="78">
        <v>0</v>
      </c>
      <c r="Q209" s="73">
        <v>14319.65164</v>
      </c>
      <c r="R209" s="78">
        <v>6923.8943899999995</v>
      </c>
      <c r="S209" s="78">
        <v>7395.7572500000006</v>
      </c>
    </row>
    <row r="210" spans="1:19" ht="12" customHeight="1" x14ac:dyDescent="0.2">
      <c r="A210" s="55">
        <v>2019</v>
      </c>
      <c r="B210" s="55" t="s">
        <v>11</v>
      </c>
      <c r="C210" s="82">
        <v>0</v>
      </c>
      <c r="D210" s="82">
        <v>8786.3657199999998</v>
      </c>
      <c r="E210" s="78">
        <v>2010.92462</v>
      </c>
      <c r="F210" s="78">
        <v>6775.4411</v>
      </c>
      <c r="G210" s="82">
        <v>0</v>
      </c>
      <c r="H210" s="82"/>
      <c r="I210" s="82">
        <v>0</v>
      </c>
      <c r="J210" s="82">
        <v>0</v>
      </c>
      <c r="K210" s="82">
        <v>0</v>
      </c>
      <c r="L210" s="82"/>
      <c r="M210" s="82">
        <v>0</v>
      </c>
      <c r="N210" s="82">
        <v>3511.7937299999999</v>
      </c>
      <c r="O210" s="78">
        <v>3511.7937299999999</v>
      </c>
      <c r="P210" s="78">
        <v>0</v>
      </c>
      <c r="Q210" s="73">
        <v>12298.159449999999</v>
      </c>
      <c r="R210" s="78">
        <v>5522.7183500000001</v>
      </c>
      <c r="S210" s="78">
        <v>6775.4411</v>
      </c>
    </row>
    <row r="211" spans="1:19" ht="12" customHeight="1" x14ac:dyDescent="0.2">
      <c r="A211" s="55">
        <v>2019</v>
      </c>
      <c r="B211" s="55" t="s">
        <v>12</v>
      </c>
      <c r="C211" s="82">
        <v>0</v>
      </c>
      <c r="D211" s="82">
        <v>14635.78721</v>
      </c>
      <c r="E211" s="78">
        <v>1611.70082</v>
      </c>
      <c r="F211" s="78">
        <v>13024.08639</v>
      </c>
      <c r="G211" s="82">
        <v>0</v>
      </c>
      <c r="H211" s="82"/>
      <c r="I211" s="82">
        <v>0</v>
      </c>
      <c r="J211" s="82">
        <v>0</v>
      </c>
      <c r="K211" s="82">
        <v>0</v>
      </c>
      <c r="L211" s="82"/>
      <c r="M211" s="82">
        <v>0</v>
      </c>
      <c r="N211" s="82">
        <v>2962.0547499999998</v>
      </c>
      <c r="O211" s="78">
        <v>2962.0547499999998</v>
      </c>
      <c r="P211" s="78">
        <v>0</v>
      </c>
      <c r="Q211" s="73">
        <v>17597.841959999998</v>
      </c>
      <c r="R211" s="78">
        <v>4573.7555699999994</v>
      </c>
      <c r="S211" s="78">
        <v>13024.08639</v>
      </c>
    </row>
    <row r="212" spans="1:19" ht="12" customHeight="1" x14ac:dyDescent="0.2">
      <c r="A212" s="55">
        <v>2019</v>
      </c>
      <c r="B212" s="55" t="s">
        <v>13</v>
      </c>
      <c r="C212" s="82">
        <v>0</v>
      </c>
      <c r="D212" s="82">
        <v>14721.873539999999</v>
      </c>
      <c r="E212" s="78">
        <v>0</v>
      </c>
      <c r="F212" s="78">
        <v>14721.873539999999</v>
      </c>
      <c r="G212" s="82">
        <v>0</v>
      </c>
      <c r="H212" s="82"/>
      <c r="I212" s="82">
        <v>0</v>
      </c>
      <c r="J212" s="82">
        <v>0</v>
      </c>
      <c r="K212" s="82">
        <v>0</v>
      </c>
      <c r="L212" s="82"/>
      <c r="M212" s="82">
        <v>0</v>
      </c>
      <c r="N212" s="82">
        <v>2823.5957600000002</v>
      </c>
      <c r="O212" s="78">
        <v>2823.5957600000002</v>
      </c>
      <c r="P212" s="78">
        <v>0</v>
      </c>
      <c r="Q212" s="73">
        <v>17545.469299999997</v>
      </c>
      <c r="R212" s="78">
        <v>2823.5957600000002</v>
      </c>
      <c r="S212" s="78">
        <v>14721.873539999999</v>
      </c>
    </row>
    <row r="213" spans="1:19" ht="12" customHeight="1" x14ac:dyDescent="0.2">
      <c r="A213" s="55">
        <v>2019</v>
      </c>
      <c r="B213" s="55" t="s">
        <v>14</v>
      </c>
      <c r="C213" s="82">
        <v>0</v>
      </c>
      <c r="D213" s="82">
        <v>15804.174530000002</v>
      </c>
      <c r="E213" s="78">
        <v>0</v>
      </c>
      <c r="F213" s="78">
        <v>15804.174530000002</v>
      </c>
      <c r="G213" s="82">
        <v>0</v>
      </c>
      <c r="H213" s="82"/>
      <c r="I213" s="82">
        <v>0</v>
      </c>
      <c r="J213" s="82">
        <v>974.96421999999995</v>
      </c>
      <c r="K213" s="82">
        <v>0</v>
      </c>
      <c r="L213" s="82"/>
      <c r="M213" s="82">
        <v>0</v>
      </c>
      <c r="N213" s="82">
        <v>4583.5592699999997</v>
      </c>
      <c r="O213" s="78">
        <v>4583.5592699999997</v>
      </c>
      <c r="P213" s="78">
        <v>0</v>
      </c>
      <c r="Q213" s="73">
        <v>21362.698020000003</v>
      </c>
      <c r="R213" s="78">
        <v>5558.5234899999996</v>
      </c>
      <c r="S213" s="78">
        <v>15804.174530000002</v>
      </c>
    </row>
    <row r="214" spans="1:19" ht="12" customHeight="1" x14ac:dyDescent="0.2">
      <c r="A214" s="55">
        <v>2019</v>
      </c>
      <c r="B214" s="55" t="s">
        <v>15</v>
      </c>
      <c r="C214" s="82">
        <v>3050.8050800000001</v>
      </c>
      <c r="D214" s="82">
        <v>138394.72809999998</v>
      </c>
      <c r="E214" s="78">
        <v>12078.33791</v>
      </c>
      <c r="F214" s="78">
        <v>126316.39018999999</v>
      </c>
      <c r="G214" s="82">
        <v>966.06295999999998</v>
      </c>
      <c r="H214" s="82"/>
      <c r="I214" s="82">
        <v>0</v>
      </c>
      <c r="J214" s="82">
        <v>974.96421999999995</v>
      </c>
      <c r="K214" s="82">
        <v>0</v>
      </c>
      <c r="L214" s="82"/>
      <c r="M214" s="82">
        <v>0</v>
      </c>
      <c r="N214" s="82">
        <v>47943.378089999998</v>
      </c>
      <c r="O214" s="78">
        <v>47943.378089999998</v>
      </c>
      <c r="P214" s="78">
        <v>0</v>
      </c>
      <c r="Q214" s="73">
        <v>191329.93845000002</v>
      </c>
      <c r="R214" s="78">
        <v>65013.548259999996</v>
      </c>
      <c r="S214" s="78">
        <v>126316.39018999999</v>
      </c>
    </row>
    <row r="215" spans="1:19" ht="12" customHeight="1" x14ac:dyDescent="0.2">
      <c r="A215" s="55">
        <v>2020</v>
      </c>
      <c r="B215" s="55" t="s">
        <v>3</v>
      </c>
      <c r="C215" s="82">
        <v>1021.19773</v>
      </c>
      <c r="D215" s="82">
        <v>8103.7431099999994</v>
      </c>
      <c r="E215" s="78">
        <v>489.83519000000001</v>
      </c>
      <c r="F215" s="78">
        <v>7613.9079199999996</v>
      </c>
      <c r="G215" s="82">
        <v>0</v>
      </c>
      <c r="H215" s="82"/>
      <c r="I215" s="82">
        <v>0</v>
      </c>
      <c r="J215" s="82">
        <v>961.09037000000001</v>
      </c>
      <c r="K215" s="82">
        <v>0</v>
      </c>
      <c r="L215" s="82"/>
      <c r="M215" s="82">
        <v>0</v>
      </c>
      <c r="N215" s="82">
        <v>2008.4239599999999</v>
      </c>
      <c r="O215" s="78">
        <v>2008.4239599999999</v>
      </c>
      <c r="P215" s="78">
        <v>0</v>
      </c>
      <c r="Q215" s="73">
        <v>12094.455169999999</v>
      </c>
      <c r="R215" s="78">
        <v>4480.5472499999996</v>
      </c>
      <c r="S215" s="78">
        <v>7613.9079199999996</v>
      </c>
    </row>
    <row r="216" spans="1:19" ht="12" customHeight="1" x14ac:dyDescent="0.2">
      <c r="A216" s="55">
        <v>2020</v>
      </c>
      <c r="B216" s="55" t="s">
        <v>4</v>
      </c>
      <c r="C216" s="82">
        <v>0</v>
      </c>
      <c r="D216" s="82">
        <v>6631.0957099999996</v>
      </c>
      <c r="E216" s="78">
        <v>0</v>
      </c>
      <c r="F216" s="78">
        <v>6631.0957099999996</v>
      </c>
      <c r="G216" s="82">
        <v>0</v>
      </c>
      <c r="H216" s="82"/>
      <c r="I216" s="82">
        <v>0</v>
      </c>
      <c r="J216" s="82">
        <v>2019.96415</v>
      </c>
      <c r="K216" s="82">
        <v>0</v>
      </c>
      <c r="L216" s="82"/>
      <c r="M216" s="82">
        <v>0</v>
      </c>
      <c r="N216" s="82">
        <v>1827.06006</v>
      </c>
      <c r="O216" s="78">
        <v>1827.06006</v>
      </c>
      <c r="P216" s="78">
        <v>0</v>
      </c>
      <c r="Q216" s="73">
        <v>10478.119919999999</v>
      </c>
      <c r="R216" s="78">
        <v>3847.02421</v>
      </c>
      <c r="S216" s="78">
        <v>6631.0957099999996</v>
      </c>
    </row>
    <row r="217" spans="1:19" ht="12" customHeight="1" x14ac:dyDescent="0.2">
      <c r="A217" s="55">
        <v>2020</v>
      </c>
      <c r="B217" s="55" t="s">
        <v>5</v>
      </c>
      <c r="C217" s="82">
        <v>0</v>
      </c>
      <c r="D217" s="82">
        <v>5013.3663499999993</v>
      </c>
      <c r="E217" s="78">
        <v>0</v>
      </c>
      <c r="F217" s="78">
        <v>5013.3663499999993</v>
      </c>
      <c r="G217" s="82">
        <v>0</v>
      </c>
      <c r="H217" s="82"/>
      <c r="I217" s="82">
        <v>967.62381000000005</v>
      </c>
      <c r="J217" s="82">
        <v>1874.7537500000001</v>
      </c>
      <c r="K217" s="82">
        <v>0</v>
      </c>
      <c r="L217" s="82"/>
      <c r="M217" s="82">
        <v>0</v>
      </c>
      <c r="N217" s="82">
        <v>3799.64642</v>
      </c>
      <c r="O217" s="78">
        <v>3799.64642</v>
      </c>
      <c r="P217" s="78">
        <v>0</v>
      </c>
      <c r="Q217" s="73">
        <v>11655.390329999998</v>
      </c>
      <c r="R217" s="78">
        <v>6642.0239799999999</v>
      </c>
      <c r="S217" s="78">
        <v>5013.3663499999993</v>
      </c>
    </row>
    <row r="218" spans="1:19" ht="12" customHeight="1" x14ac:dyDescent="0.2">
      <c r="A218" s="55">
        <v>2020</v>
      </c>
      <c r="B218" s="55" t="s">
        <v>6</v>
      </c>
      <c r="C218" s="82">
        <v>1021.136</v>
      </c>
      <c r="D218" s="82">
        <v>5297.1483099999996</v>
      </c>
      <c r="E218" s="78">
        <v>496.53703000000002</v>
      </c>
      <c r="F218" s="78">
        <v>4800.6112799999992</v>
      </c>
      <c r="G218" s="82">
        <v>0</v>
      </c>
      <c r="H218" s="82"/>
      <c r="I218" s="82">
        <v>0</v>
      </c>
      <c r="J218" s="82">
        <v>0</v>
      </c>
      <c r="K218" s="82">
        <v>0</v>
      </c>
      <c r="L218" s="82"/>
      <c r="M218" s="82">
        <v>0</v>
      </c>
      <c r="N218" s="82">
        <v>4546.42058</v>
      </c>
      <c r="O218" s="78">
        <v>4546.42058</v>
      </c>
      <c r="P218" s="78">
        <v>0</v>
      </c>
      <c r="Q218" s="73">
        <v>10864.704889999999</v>
      </c>
      <c r="R218" s="78">
        <v>6064.0936099999999</v>
      </c>
      <c r="S218" s="78">
        <v>4800.6112799999992</v>
      </c>
    </row>
    <row r="219" spans="1:19" ht="12" customHeight="1" x14ac:dyDescent="0.2">
      <c r="A219" s="55">
        <v>2020</v>
      </c>
      <c r="B219" s="55" t="s">
        <v>7</v>
      </c>
      <c r="C219" s="82">
        <v>0</v>
      </c>
      <c r="D219" s="82">
        <v>5025.4109699999999</v>
      </c>
      <c r="E219" s="78">
        <v>0</v>
      </c>
      <c r="F219" s="78">
        <v>5025.4109699999999</v>
      </c>
      <c r="G219" s="82">
        <v>0</v>
      </c>
      <c r="H219" s="82"/>
      <c r="I219" s="82">
        <v>0</v>
      </c>
      <c r="J219" s="82">
        <v>0</v>
      </c>
      <c r="K219" s="82">
        <v>0</v>
      </c>
      <c r="L219" s="82"/>
      <c r="M219" s="82">
        <v>0</v>
      </c>
      <c r="N219" s="82">
        <v>4628.9893600000005</v>
      </c>
      <c r="O219" s="78">
        <v>4628.9893600000005</v>
      </c>
      <c r="P219" s="78">
        <v>0</v>
      </c>
      <c r="Q219" s="73">
        <v>9654.4003300000004</v>
      </c>
      <c r="R219" s="78">
        <v>4628.9893600000005</v>
      </c>
      <c r="S219" s="78">
        <v>5025.4109699999999</v>
      </c>
    </row>
    <row r="220" spans="1:19" ht="12" customHeight="1" x14ac:dyDescent="0.2">
      <c r="A220" s="55">
        <v>2020</v>
      </c>
      <c r="B220" s="55" t="s">
        <v>8</v>
      </c>
      <c r="C220" s="82">
        <v>0</v>
      </c>
      <c r="D220" s="82">
        <v>5825.8915799999986</v>
      </c>
      <c r="E220" s="78">
        <v>988.82737999999995</v>
      </c>
      <c r="F220" s="78">
        <v>4837.0641999999989</v>
      </c>
      <c r="G220" s="82">
        <v>0</v>
      </c>
      <c r="H220" s="82"/>
      <c r="I220" s="82">
        <v>0</v>
      </c>
      <c r="J220" s="82">
        <v>0</v>
      </c>
      <c r="K220" s="82">
        <v>0</v>
      </c>
      <c r="L220" s="82"/>
      <c r="M220" s="82">
        <v>0</v>
      </c>
      <c r="N220" s="82">
        <v>1873.4051400000001</v>
      </c>
      <c r="O220" s="78">
        <v>1873.4051400000001</v>
      </c>
      <c r="P220" s="78">
        <v>0</v>
      </c>
      <c r="Q220" s="73">
        <v>7699.2967199999985</v>
      </c>
      <c r="R220" s="78">
        <v>2862.23252</v>
      </c>
      <c r="S220" s="78">
        <v>4837.0641999999989</v>
      </c>
    </row>
    <row r="221" spans="1:19" ht="12" customHeight="1" x14ac:dyDescent="0.2">
      <c r="A221" s="55">
        <v>2020</v>
      </c>
      <c r="B221" s="55" t="s">
        <v>9</v>
      </c>
      <c r="C221" s="82">
        <v>991.46914000000004</v>
      </c>
      <c r="D221" s="82">
        <v>7517.5870800000002</v>
      </c>
      <c r="E221" s="78">
        <v>0</v>
      </c>
      <c r="F221" s="78">
        <v>7517.5870800000002</v>
      </c>
      <c r="G221" s="82">
        <v>0</v>
      </c>
      <c r="H221" s="82"/>
      <c r="I221" s="82">
        <v>0</v>
      </c>
      <c r="J221" s="82">
        <v>856.48129000000006</v>
      </c>
      <c r="K221" s="82">
        <v>0</v>
      </c>
      <c r="L221" s="82"/>
      <c r="M221" s="82">
        <v>0</v>
      </c>
      <c r="N221" s="82">
        <v>2573.9130499999997</v>
      </c>
      <c r="O221" s="78">
        <v>2573.9130499999997</v>
      </c>
      <c r="P221" s="78">
        <v>0</v>
      </c>
      <c r="Q221" s="73">
        <v>11939.450560000001</v>
      </c>
      <c r="R221" s="78">
        <v>4421.86348</v>
      </c>
      <c r="S221" s="78">
        <v>7517.5870800000002</v>
      </c>
    </row>
    <row r="222" spans="1:19" ht="12" customHeight="1" x14ac:dyDescent="0.2">
      <c r="A222" s="55">
        <v>2020</v>
      </c>
      <c r="B222" s="55" t="s">
        <v>10</v>
      </c>
      <c r="C222" s="82">
        <v>1022.4938100000001</v>
      </c>
      <c r="D222" s="82">
        <v>8802.8391600000014</v>
      </c>
      <c r="E222" s="78">
        <v>1609.8621400000002</v>
      </c>
      <c r="F222" s="78">
        <v>7192.9770200000012</v>
      </c>
      <c r="G222" s="82">
        <v>0</v>
      </c>
      <c r="H222" s="82"/>
      <c r="I222" s="82">
        <v>0</v>
      </c>
      <c r="J222" s="82">
        <v>988.15316000000007</v>
      </c>
      <c r="K222" s="82">
        <v>0</v>
      </c>
      <c r="L222" s="82"/>
      <c r="M222" s="82">
        <v>0</v>
      </c>
      <c r="N222" s="82">
        <v>3707.4129600000001</v>
      </c>
      <c r="O222" s="78">
        <v>3707.4129600000001</v>
      </c>
      <c r="P222" s="78">
        <v>0</v>
      </c>
      <c r="Q222" s="73">
        <v>14520.899090000003</v>
      </c>
      <c r="R222" s="78">
        <v>7327.9220700000005</v>
      </c>
      <c r="S222" s="78">
        <v>7192.9770200000012</v>
      </c>
    </row>
    <row r="223" spans="1:19" ht="12" customHeight="1" x14ac:dyDescent="0.2">
      <c r="A223" s="55">
        <v>2020</v>
      </c>
      <c r="B223" s="55" t="s">
        <v>11</v>
      </c>
      <c r="C223" s="82">
        <v>0</v>
      </c>
      <c r="D223" s="82">
        <v>10036.198680000001</v>
      </c>
      <c r="E223" s="78">
        <v>0</v>
      </c>
      <c r="F223" s="78">
        <v>10036.198680000001</v>
      </c>
      <c r="G223" s="82">
        <v>956.36807999999996</v>
      </c>
      <c r="H223" s="82"/>
      <c r="I223" s="82">
        <v>0</v>
      </c>
      <c r="J223" s="82">
        <v>1031.7058199999999</v>
      </c>
      <c r="K223" s="82">
        <v>0</v>
      </c>
      <c r="L223" s="82"/>
      <c r="M223" s="82">
        <v>0</v>
      </c>
      <c r="N223" s="82">
        <v>5641.2836600000001</v>
      </c>
      <c r="O223" s="78">
        <v>5641.2836600000001</v>
      </c>
      <c r="P223" s="78">
        <v>0</v>
      </c>
      <c r="Q223" s="73">
        <v>17665.556240000002</v>
      </c>
      <c r="R223" s="78">
        <v>7629.3575600000004</v>
      </c>
      <c r="S223" s="78">
        <v>10036.198680000001</v>
      </c>
    </row>
    <row r="224" spans="1:19" ht="12" customHeight="1" x14ac:dyDescent="0.2">
      <c r="A224" s="55">
        <v>2020</v>
      </c>
      <c r="B224" s="55" t="s">
        <v>12</v>
      </c>
      <c r="C224" s="82">
        <v>0</v>
      </c>
      <c r="D224" s="82">
        <v>15251.43643</v>
      </c>
      <c r="E224" s="78">
        <v>496.16288000000003</v>
      </c>
      <c r="F224" s="78">
        <v>14755.27355</v>
      </c>
      <c r="G224" s="82">
        <v>0</v>
      </c>
      <c r="H224" s="82"/>
      <c r="I224" s="82">
        <v>0</v>
      </c>
      <c r="J224" s="82">
        <v>866.47669999999994</v>
      </c>
      <c r="K224" s="82">
        <v>0</v>
      </c>
      <c r="L224" s="82"/>
      <c r="M224" s="82">
        <v>0</v>
      </c>
      <c r="N224" s="82">
        <v>2679.9524400000005</v>
      </c>
      <c r="O224" s="78">
        <v>2679.9524400000005</v>
      </c>
      <c r="P224" s="78">
        <v>0</v>
      </c>
      <c r="Q224" s="73">
        <v>18797.865570000002</v>
      </c>
      <c r="R224" s="78">
        <v>4042.5920200000005</v>
      </c>
      <c r="S224" s="78">
        <v>14755.27355</v>
      </c>
    </row>
    <row r="225" spans="1:19" ht="12" customHeight="1" x14ac:dyDescent="0.2">
      <c r="A225" s="55">
        <v>2020</v>
      </c>
      <c r="B225" s="55" t="s">
        <v>13</v>
      </c>
      <c r="C225" s="82">
        <v>0</v>
      </c>
      <c r="D225" s="82">
        <v>15275.268669999999</v>
      </c>
      <c r="E225" s="78">
        <v>997.70074999999997</v>
      </c>
      <c r="F225" s="78">
        <v>14277.56792</v>
      </c>
      <c r="G225" s="82">
        <v>0</v>
      </c>
      <c r="H225" s="82"/>
      <c r="I225" s="82">
        <v>0</v>
      </c>
      <c r="J225" s="82">
        <v>962.54320999999993</v>
      </c>
      <c r="K225" s="82">
        <v>0</v>
      </c>
      <c r="L225" s="82"/>
      <c r="M225" s="82">
        <v>0</v>
      </c>
      <c r="N225" s="82">
        <v>2911.5128899999995</v>
      </c>
      <c r="O225" s="78">
        <v>2911.5128899999995</v>
      </c>
      <c r="P225" s="78">
        <v>0</v>
      </c>
      <c r="Q225" s="73">
        <v>19149.324769999999</v>
      </c>
      <c r="R225" s="78">
        <v>4871.7568499999998</v>
      </c>
      <c r="S225" s="78">
        <v>14277.56792</v>
      </c>
    </row>
    <row r="226" spans="1:19" ht="12" customHeight="1" x14ac:dyDescent="0.2">
      <c r="A226" s="55">
        <v>2020</v>
      </c>
      <c r="B226" s="55" t="s">
        <v>14</v>
      </c>
      <c r="C226" s="82">
        <v>0</v>
      </c>
      <c r="D226" s="82">
        <v>13425.505669999999</v>
      </c>
      <c r="E226" s="78">
        <v>495.07340000000005</v>
      </c>
      <c r="F226" s="78">
        <v>12930.432269999999</v>
      </c>
      <c r="G226" s="82">
        <v>0</v>
      </c>
      <c r="H226" s="82"/>
      <c r="I226" s="82">
        <v>0</v>
      </c>
      <c r="J226" s="82">
        <v>1007.7839799999999</v>
      </c>
      <c r="K226" s="82">
        <v>0</v>
      </c>
      <c r="L226" s="82"/>
      <c r="M226" s="82">
        <v>0</v>
      </c>
      <c r="N226" s="82">
        <v>7997.4611899999991</v>
      </c>
      <c r="O226" s="78">
        <v>7997.4611899999991</v>
      </c>
      <c r="P226" s="78">
        <v>0</v>
      </c>
      <c r="Q226" s="73">
        <v>22430.750840000001</v>
      </c>
      <c r="R226" s="78">
        <v>9500.3185699999995</v>
      </c>
      <c r="S226" s="78">
        <v>12930.432269999999</v>
      </c>
    </row>
    <row r="227" spans="1:19" ht="12" customHeight="1" x14ac:dyDescent="0.2">
      <c r="A227" s="55">
        <v>2020</v>
      </c>
      <c r="B227" s="55" t="s">
        <v>15</v>
      </c>
      <c r="C227" s="82">
        <v>4056.2966799999999</v>
      </c>
      <c r="D227" s="82">
        <v>106205.49172000001</v>
      </c>
      <c r="E227" s="78">
        <v>5573.9987700000001</v>
      </c>
      <c r="F227" s="78">
        <v>100631.49295</v>
      </c>
      <c r="G227" s="82">
        <v>956.36807999999996</v>
      </c>
      <c r="H227" s="82"/>
      <c r="I227" s="82">
        <v>967.62381000000005</v>
      </c>
      <c r="J227" s="82">
        <v>10568.952429999999</v>
      </c>
      <c r="K227" s="82">
        <v>0</v>
      </c>
      <c r="L227" s="82"/>
      <c r="M227" s="82">
        <v>0</v>
      </c>
      <c r="N227" s="82">
        <v>44195.48171</v>
      </c>
      <c r="O227" s="78">
        <v>44195.48171</v>
      </c>
      <c r="P227" s="78">
        <v>0</v>
      </c>
      <c r="Q227" s="73">
        <v>166950.21442999999</v>
      </c>
      <c r="R227" s="78">
        <v>66318.721479999993</v>
      </c>
      <c r="S227" s="78">
        <v>100631.49295</v>
      </c>
    </row>
    <row r="228" spans="1:19" ht="12" customHeight="1" x14ac:dyDescent="0.2">
      <c r="A228" s="55">
        <v>2021</v>
      </c>
      <c r="B228" s="55" t="s">
        <v>3</v>
      </c>
      <c r="C228" s="82">
        <v>0</v>
      </c>
      <c r="D228" s="82">
        <v>15351.29458</v>
      </c>
      <c r="E228" s="78">
        <v>2885.4743100000001</v>
      </c>
      <c r="F228" s="78">
        <v>12465.82027</v>
      </c>
      <c r="G228" s="82">
        <v>0</v>
      </c>
      <c r="H228" s="82">
        <v>0</v>
      </c>
      <c r="I228" s="82">
        <v>913.14695999999992</v>
      </c>
      <c r="J228" s="82">
        <v>997.22550000000001</v>
      </c>
      <c r="K228" s="82">
        <v>0</v>
      </c>
      <c r="L228" s="82"/>
      <c r="M228" s="82">
        <v>0</v>
      </c>
      <c r="N228" s="82">
        <v>2758.3588799999998</v>
      </c>
      <c r="O228" s="78">
        <v>2758.3588799999998</v>
      </c>
      <c r="P228" s="78">
        <v>0</v>
      </c>
      <c r="Q228" s="73">
        <v>20020.02592</v>
      </c>
      <c r="R228" s="78">
        <v>7554.2056499999999</v>
      </c>
      <c r="S228" s="78">
        <v>12465.82027</v>
      </c>
    </row>
    <row r="229" spans="1:19" ht="12" customHeight="1" x14ac:dyDescent="0.2">
      <c r="A229" s="55">
        <v>2021</v>
      </c>
      <c r="B229" s="55" t="s">
        <v>4</v>
      </c>
      <c r="C229" s="82">
        <v>0</v>
      </c>
      <c r="D229" s="82">
        <v>14413.239569999998</v>
      </c>
      <c r="E229" s="78">
        <v>494.58694000000003</v>
      </c>
      <c r="F229" s="78">
        <v>13918.652629999999</v>
      </c>
      <c r="G229" s="82">
        <v>0</v>
      </c>
      <c r="H229" s="82">
        <v>0</v>
      </c>
      <c r="I229" s="82">
        <v>0</v>
      </c>
      <c r="J229" s="82">
        <v>0</v>
      </c>
      <c r="K229" s="82">
        <v>0</v>
      </c>
      <c r="L229" s="82"/>
      <c r="M229" s="82">
        <v>0</v>
      </c>
      <c r="N229" s="82">
        <v>2837.2177499999998</v>
      </c>
      <c r="O229" s="78">
        <v>2837.2177499999998</v>
      </c>
      <c r="P229" s="78">
        <v>0</v>
      </c>
      <c r="Q229" s="73">
        <v>17250.457319999998</v>
      </c>
      <c r="R229" s="78">
        <v>3331.8046899999999</v>
      </c>
      <c r="S229" s="78">
        <v>13918.652629999999</v>
      </c>
    </row>
    <row r="230" spans="1:19" ht="12" customHeight="1" x14ac:dyDescent="0.2">
      <c r="A230" s="55">
        <v>2021</v>
      </c>
      <c r="B230" s="55" t="s">
        <v>5</v>
      </c>
      <c r="C230" s="82">
        <v>0</v>
      </c>
      <c r="D230" s="82">
        <v>15965.866459999999</v>
      </c>
      <c r="E230" s="78">
        <v>494.1696</v>
      </c>
      <c r="F230" s="78">
        <v>15471.69686</v>
      </c>
      <c r="G230" s="82">
        <v>0</v>
      </c>
      <c r="H230" s="82">
        <v>0</v>
      </c>
      <c r="I230" s="82">
        <v>0</v>
      </c>
      <c r="J230" s="82">
        <v>979.64846</v>
      </c>
      <c r="K230" s="82">
        <v>0</v>
      </c>
      <c r="L230" s="82"/>
      <c r="M230" s="82">
        <v>0</v>
      </c>
      <c r="N230" s="82">
        <v>4633.5956699999997</v>
      </c>
      <c r="O230" s="78">
        <v>4633.5956699999997</v>
      </c>
      <c r="P230" s="78">
        <v>0</v>
      </c>
      <c r="Q230" s="73">
        <v>21579.11059</v>
      </c>
      <c r="R230" s="78">
        <v>6107.4137300000002</v>
      </c>
      <c r="S230" s="78">
        <v>15471.69686</v>
      </c>
    </row>
    <row r="231" spans="1:19" ht="12" customHeight="1" x14ac:dyDescent="0.2">
      <c r="A231" s="55">
        <v>2021</v>
      </c>
      <c r="B231" s="55" t="s">
        <v>6</v>
      </c>
      <c r="C231" s="82">
        <v>0</v>
      </c>
      <c r="D231" s="82">
        <v>14685.09172</v>
      </c>
      <c r="E231" s="78">
        <v>1369.9</v>
      </c>
      <c r="F231" s="78">
        <v>13315.191720000001</v>
      </c>
      <c r="G231" s="82">
        <v>0</v>
      </c>
      <c r="H231" s="82">
        <v>0</v>
      </c>
      <c r="I231" s="82">
        <v>902.24981000000002</v>
      </c>
      <c r="J231" s="82">
        <v>0</v>
      </c>
      <c r="K231" s="82">
        <v>0</v>
      </c>
      <c r="L231" s="82"/>
      <c r="M231" s="82">
        <v>0</v>
      </c>
      <c r="N231" s="82">
        <v>4862.430159999999</v>
      </c>
      <c r="O231" s="78">
        <v>4862.430159999999</v>
      </c>
      <c r="P231" s="78">
        <v>0</v>
      </c>
      <c r="Q231" s="73">
        <v>20449.771690000001</v>
      </c>
      <c r="R231" s="78">
        <v>7134.5799699999989</v>
      </c>
      <c r="S231" s="78">
        <v>13315.191720000001</v>
      </c>
    </row>
    <row r="232" spans="1:19" ht="12" customHeight="1" x14ac:dyDescent="0.2">
      <c r="A232" s="55">
        <v>2021</v>
      </c>
      <c r="B232" s="55" t="s">
        <v>7</v>
      </c>
      <c r="C232" s="82">
        <v>0</v>
      </c>
      <c r="D232" s="82">
        <v>18122.626470000003</v>
      </c>
      <c r="E232" s="78">
        <v>2487.9362000000001</v>
      </c>
      <c r="F232" s="78">
        <v>15634.690270000001</v>
      </c>
      <c r="G232" s="82">
        <v>0</v>
      </c>
      <c r="H232" s="82">
        <v>0</v>
      </c>
      <c r="I232" s="82">
        <v>0</v>
      </c>
      <c r="J232" s="82">
        <v>1929.9175700000001</v>
      </c>
      <c r="K232" s="82">
        <v>0</v>
      </c>
      <c r="L232" s="82"/>
      <c r="M232" s="82">
        <v>0</v>
      </c>
      <c r="N232" s="82">
        <v>2018.97487</v>
      </c>
      <c r="O232" s="78">
        <v>2018.97487</v>
      </c>
      <c r="P232" s="78">
        <v>0</v>
      </c>
      <c r="Q232" s="73">
        <v>22071.518909999999</v>
      </c>
      <c r="R232" s="78">
        <v>6436.8286399999997</v>
      </c>
      <c r="S232" s="78">
        <v>15634.690270000001</v>
      </c>
    </row>
    <row r="233" spans="1:19" ht="12" customHeight="1" x14ac:dyDescent="0.2">
      <c r="A233" s="55">
        <v>2021</v>
      </c>
      <c r="B233" s="55" t="s">
        <v>8</v>
      </c>
      <c r="C233" s="82">
        <v>0</v>
      </c>
      <c r="D233" s="82">
        <v>16496.408670000001</v>
      </c>
      <c r="E233" s="78">
        <v>1481.1586000000002</v>
      </c>
      <c r="F233" s="78">
        <v>15015.25007</v>
      </c>
      <c r="G233" s="82">
        <v>0</v>
      </c>
      <c r="H233" s="82">
        <v>0</v>
      </c>
      <c r="I233" s="82">
        <v>0</v>
      </c>
      <c r="J233" s="82">
        <v>961.03514000000007</v>
      </c>
      <c r="K233" s="82">
        <v>0</v>
      </c>
      <c r="L233" s="82"/>
      <c r="M233" s="82">
        <v>0</v>
      </c>
      <c r="N233" s="82">
        <v>3879.1630399999999</v>
      </c>
      <c r="O233" s="78">
        <v>3879.1630399999999</v>
      </c>
      <c r="P233" s="78">
        <v>0</v>
      </c>
      <c r="Q233" s="73">
        <v>21336.60685</v>
      </c>
      <c r="R233" s="78">
        <v>6321.3567800000001</v>
      </c>
      <c r="S233" s="78">
        <v>15015.25007</v>
      </c>
    </row>
    <row r="234" spans="1:19" ht="12" customHeight="1" x14ac:dyDescent="0.2">
      <c r="A234" s="55">
        <v>2021</v>
      </c>
      <c r="B234" s="55" t="s">
        <v>9</v>
      </c>
      <c r="C234" s="82">
        <v>0</v>
      </c>
      <c r="D234" s="82">
        <v>16191.342760000001</v>
      </c>
      <c r="E234" s="78">
        <v>2686.5579500000003</v>
      </c>
      <c r="F234" s="78">
        <v>13504.784810000001</v>
      </c>
      <c r="G234" s="82">
        <v>0</v>
      </c>
      <c r="H234" s="82">
        <v>0</v>
      </c>
      <c r="I234" s="82">
        <v>0</v>
      </c>
      <c r="J234" s="82">
        <v>1096.7136599999999</v>
      </c>
      <c r="K234" s="82">
        <v>0</v>
      </c>
      <c r="L234" s="82"/>
      <c r="M234" s="82">
        <v>0</v>
      </c>
      <c r="N234" s="82">
        <v>1142.1294499999999</v>
      </c>
      <c r="O234" s="78">
        <v>1142.1294499999999</v>
      </c>
      <c r="P234" s="78">
        <v>0</v>
      </c>
      <c r="Q234" s="73">
        <v>18430.185870000001</v>
      </c>
      <c r="R234" s="78">
        <v>4925.4010600000001</v>
      </c>
      <c r="S234" s="78">
        <v>13504.784810000001</v>
      </c>
    </row>
    <row r="235" spans="1:19" ht="12" customHeight="1" x14ac:dyDescent="0.2">
      <c r="A235" s="55">
        <v>2021</v>
      </c>
      <c r="B235" s="55" t="s">
        <v>10</v>
      </c>
      <c r="C235" s="82">
        <v>0</v>
      </c>
      <c r="D235" s="82">
        <v>13996.70974</v>
      </c>
      <c r="E235" s="78">
        <v>1564.9703300000001</v>
      </c>
      <c r="F235" s="78">
        <v>12431.73941</v>
      </c>
      <c r="G235" s="82">
        <v>0</v>
      </c>
      <c r="H235" s="82">
        <v>0</v>
      </c>
      <c r="I235" s="82">
        <v>0</v>
      </c>
      <c r="J235" s="82">
        <v>2035.42154</v>
      </c>
      <c r="K235" s="82">
        <v>0</v>
      </c>
      <c r="L235" s="82"/>
      <c r="M235" s="82">
        <v>0</v>
      </c>
      <c r="N235" s="82">
        <v>6066.7570500000002</v>
      </c>
      <c r="O235" s="78">
        <v>6066.7570500000002</v>
      </c>
      <c r="P235" s="78">
        <v>0</v>
      </c>
      <c r="Q235" s="73">
        <v>22098.888330000002</v>
      </c>
      <c r="R235" s="78">
        <v>9667.1489199999996</v>
      </c>
      <c r="S235" s="78">
        <v>12431.73941</v>
      </c>
    </row>
    <row r="236" spans="1:19" ht="12" customHeight="1" x14ac:dyDescent="0.2">
      <c r="A236" s="55">
        <v>2021</v>
      </c>
      <c r="B236" s="55" t="s">
        <v>11</v>
      </c>
      <c r="C236" s="82">
        <v>0</v>
      </c>
      <c r="D236" s="82">
        <v>16687.215179999999</v>
      </c>
      <c r="E236" s="78">
        <v>1822.5155</v>
      </c>
      <c r="F236" s="78">
        <v>14864.69968</v>
      </c>
      <c r="G236" s="82">
        <v>0</v>
      </c>
      <c r="H236" s="82">
        <v>0</v>
      </c>
      <c r="I236" s="82">
        <v>1006.5650899999999</v>
      </c>
      <c r="J236" s="82">
        <v>0</v>
      </c>
      <c r="K236" s="82">
        <v>0</v>
      </c>
      <c r="L236" s="82"/>
      <c r="M236" s="82">
        <v>0</v>
      </c>
      <c r="N236" s="82">
        <v>2799.51505</v>
      </c>
      <c r="O236" s="78">
        <v>2799.51505</v>
      </c>
      <c r="P236" s="78">
        <v>0</v>
      </c>
      <c r="Q236" s="73">
        <v>20493.295319999997</v>
      </c>
      <c r="R236" s="78">
        <v>5628.5956399999995</v>
      </c>
      <c r="S236" s="78">
        <v>14864.69968</v>
      </c>
    </row>
    <row r="237" spans="1:19" ht="12" customHeight="1" x14ac:dyDescent="0.2">
      <c r="A237" s="55">
        <v>2021</v>
      </c>
      <c r="B237" s="55" t="s">
        <v>12</v>
      </c>
      <c r="C237" s="82">
        <v>0</v>
      </c>
      <c r="D237" s="82">
        <v>13968.271720000002</v>
      </c>
      <c r="E237" s="78">
        <v>2417.0853700000002</v>
      </c>
      <c r="F237" s="78">
        <v>11551.186350000002</v>
      </c>
      <c r="G237" s="82">
        <v>0</v>
      </c>
      <c r="H237" s="82">
        <v>0</v>
      </c>
      <c r="I237" s="82">
        <v>1083.71651</v>
      </c>
      <c r="J237" s="82">
        <v>0</v>
      </c>
      <c r="K237" s="82">
        <v>0</v>
      </c>
      <c r="L237" s="82"/>
      <c r="M237" s="82">
        <v>0</v>
      </c>
      <c r="N237" s="82">
        <v>6107.70327</v>
      </c>
      <c r="O237" s="78">
        <v>6107.70327</v>
      </c>
      <c r="P237" s="78">
        <v>0</v>
      </c>
      <c r="Q237" s="73">
        <v>21159.691500000001</v>
      </c>
      <c r="R237" s="78">
        <v>9608.5051500000009</v>
      </c>
      <c r="S237" s="78">
        <v>11551.186350000002</v>
      </c>
    </row>
    <row r="238" spans="1:19" ht="12" customHeight="1" x14ac:dyDescent="0.2">
      <c r="A238" s="55">
        <v>2021</v>
      </c>
      <c r="B238" s="55" t="s">
        <v>13</v>
      </c>
      <c r="C238" s="82">
        <v>2131.0298499999999</v>
      </c>
      <c r="D238" s="82">
        <v>11753.951599999999</v>
      </c>
      <c r="E238" s="78">
        <v>3622.3346799999995</v>
      </c>
      <c r="F238" s="78">
        <v>8131.6169199999995</v>
      </c>
      <c r="G238" s="82">
        <v>0</v>
      </c>
      <c r="H238" s="82">
        <v>0</v>
      </c>
      <c r="I238" s="82">
        <v>0</v>
      </c>
      <c r="J238" s="82">
        <v>0</v>
      </c>
      <c r="K238" s="82">
        <v>0</v>
      </c>
      <c r="L238" s="82"/>
      <c r="M238" s="82">
        <v>0</v>
      </c>
      <c r="N238" s="82">
        <v>3885.3996400000001</v>
      </c>
      <c r="O238" s="78">
        <v>3885.3996400000001</v>
      </c>
      <c r="P238" s="78">
        <v>0</v>
      </c>
      <c r="Q238" s="73">
        <v>17770.381089999999</v>
      </c>
      <c r="R238" s="78">
        <v>9638.7641699999986</v>
      </c>
      <c r="S238" s="78">
        <v>8131.6169199999995</v>
      </c>
    </row>
    <row r="239" spans="1:19" ht="12" customHeight="1" x14ac:dyDescent="0.2">
      <c r="A239" s="55">
        <v>2021</v>
      </c>
      <c r="B239" s="55" t="s">
        <v>14</v>
      </c>
      <c r="C239" s="82">
        <v>1996.6401099999998</v>
      </c>
      <c r="D239" s="82">
        <v>10358.218220000001</v>
      </c>
      <c r="E239" s="78">
        <v>2098.2673300000001</v>
      </c>
      <c r="F239" s="78">
        <v>8259.9508900000001</v>
      </c>
      <c r="G239" s="82">
        <v>0</v>
      </c>
      <c r="H239" s="82">
        <v>0</v>
      </c>
      <c r="I239" s="82">
        <v>0</v>
      </c>
      <c r="J239" s="82">
        <v>890.30200000000002</v>
      </c>
      <c r="K239" s="82">
        <v>0</v>
      </c>
      <c r="L239" s="82"/>
      <c r="M239" s="82">
        <v>0</v>
      </c>
      <c r="N239" s="82">
        <v>6698.9832900000001</v>
      </c>
      <c r="O239" s="78">
        <v>6698.9832900000001</v>
      </c>
      <c r="P239" s="78">
        <v>0</v>
      </c>
      <c r="Q239" s="73">
        <v>19944.143620000003</v>
      </c>
      <c r="R239" s="78">
        <v>11684.192730000001</v>
      </c>
      <c r="S239" s="78">
        <v>8259.9508900000001</v>
      </c>
    </row>
    <row r="240" spans="1:19" ht="12" customHeight="1" x14ac:dyDescent="0.2">
      <c r="A240" s="55">
        <v>2021</v>
      </c>
      <c r="B240" s="55" t="s">
        <v>15</v>
      </c>
      <c r="C240" s="82">
        <v>4127.6699599999993</v>
      </c>
      <c r="D240" s="82">
        <v>177990.23669000002</v>
      </c>
      <c r="E240" s="78">
        <v>23424.95681</v>
      </c>
      <c r="F240" s="78">
        <v>154565.27988000002</v>
      </c>
      <c r="G240" s="82">
        <v>0</v>
      </c>
      <c r="H240" s="82">
        <v>0</v>
      </c>
      <c r="I240" s="82">
        <v>3905.6783699999996</v>
      </c>
      <c r="J240" s="82">
        <v>8890.2638700000007</v>
      </c>
      <c r="K240" s="82">
        <v>0</v>
      </c>
      <c r="L240" s="82"/>
      <c r="M240" s="82">
        <v>0</v>
      </c>
      <c r="N240" s="82">
        <v>47690.22812</v>
      </c>
      <c r="O240" s="78">
        <v>47690.22812</v>
      </c>
      <c r="P240" s="78">
        <v>0</v>
      </c>
      <c r="Q240" s="73">
        <v>242604.07701000001</v>
      </c>
      <c r="R240" s="78">
        <v>88038.797129999992</v>
      </c>
      <c r="S240" s="78">
        <v>154565.27988000002</v>
      </c>
    </row>
    <row r="241" spans="1:19" ht="12" customHeight="1" x14ac:dyDescent="0.2">
      <c r="A241" s="55">
        <v>2022</v>
      </c>
      <c r="B241" s="55" t="s">
        <v>3</v>
      </c>
      <c r="C241" s="82">
        <v>0</v>
      </c>
      <c r="D241" s="82">
        <v>9620.0411200000017</v>
      </c>
      <c r="E241" s="78">
        <v>0</v>
      </c>
      <c r="F241" s="78">
        <v>9620.0411200000017</v>
      </c>
      <c r="G241" s="82">
        <v>0</v>
      </c>
      <c r="H241" s="82">
        <v>0</v>
      </c>
      <c r="I241" s="82">
        <v>1011.4354000000001</v>
      </c>
      <c r="J241" s="82">
        <v>996.79849999999999</v>
      </c>
      <c r="K241" s="82">
        <v>0</v>
      </c>
      <c r="L241" s="82"/>
      <c r="M241" s="82">
        <v>0</v>
      </c>
      <c r="N241" s="82">
        <v>5044.7498100000003</v>
      </c>
      <c r="O241" s="78">
        <v>5044.7498100000003</v>
      </c>
      <c r="P241" s="78">
        <v>0</v>
      </c>
      <c r="Q241" s="73">
        <v>16673.024830000002</v>
      </c>
      <c r="R241" s="78">
        <v>7052.9837100000004</v>
      </c>
      <c r="S241" s="78">
        <v>9620.0411200000017</v>
      </c>
    </row>
    <row r="242" spans="1:19" ht="12" customHeight="1" x14ac:dyDescent="0.2">
      <c r="A242" s="55">
        <v>2022</v>
      </c>
      <c r="B242" s="55" t="s">
        <v>4</v>
      </c>
      <c r="C242" s="82">
        <v>0</v>
      </c>
      <c r="D242" s="82">
        <v>8801.4779399999989</v>
      </c>
      <c r="E242" s="78">
        <v>0</v>
      </c>
      <c r="F242" s="78">
        <v>8801.4779399999989</v>
      </c>
      <c r="G242" s="82">
        <v>0</v>
      </c>
      <c r="H242" s="82">
        <v>0</v>
      </c>
      <c r="I242" s="82">
        <v>0</v>
      </c>
      <c r="J242" s="82">
        <v>934.94124999999997</v>
      </c>
      <c r="K242" s="82">
        <v>0</v>
      </c>
      <c r="L242" s="82"/>
      <c r="M242" s="82">
        <v>0</v>
      </c>
      <c r="N242" s="82">
        <v>7840.7689500000006</v>
      </c>
      <c r="O242" s="78">
        <v>7840.7689500000006</v>
      </c>
      <c r="P242" s="78">
        <v>0</v>
      </c>
      <c r="Q242" s="73">
        <v>17577.188139999998</v>
      </c>
      <c r="R242" s="78">
        <v>8775.7102000000014</v>
      </c>
      <c r="S242" s="78">
        <v>8801.4779399999989</v>
      </c>
    </row>
    <row r="243" spans="1:19" ht="12" customHeight="1" x14ac:dyDescent="0.2">
      <c r="A243" s="55">
        <v>2022</v>
      </c>
      <c r="B243" s="55" t="s">
        <v>5</v>
      </c>
      <c r="C243" s="82">
        <v>0</v>
      </c>
      <c r="D243" s="82">
        <v>11138.384750000001</v>
      </c>
      <c r="E243" s="78">
        <v>1472.56131</v>
      </c>
      <c r="F243" s="78">
        <v>9665.8234400000001</v>
      </c>
      <c r="G243" s="82">
        <v>0</v>
      </c>
      <c r="H243" s="82">
        <v>0</v>
      </c>
      <c r="I243" s="82">
        <v>1737.79954</v>
      </c>
      <c r="J243" s="82">
        <v>0</v>
      </c>
      <c r="K243" s="82">
        <v>0</v>
      </c>
      <c r="L243" s="82"/>
      <c r="M243" s="82">
        <v>0</v>
      </c>
      <c r="N243" s="82">
        <v>2909.3478300000002</v>
      </c>
      <c r="O243" s="78">
        <v>2909.3478300000002</v>
      </c>
      <c r="P243" s="78">
        <v>0</v>
      </c>
      <c r="Q243" s="73">
        <v>15785.53212</v>
      </c>
      <c r="R243" s="78">
        <v>6119.7086799999997</v>
      </c>
      <c r="S243" s="78">
        <v>9665.8234400000001</v>
      </c>
    </row>
    <row r="244" spans="1:19" ht="12" customHeight="1" x14ac:dyDescent="0.2">
      <c r="A244" s="55">
        <v>2022</v>
      </c>
      <c r="B244" s="55" t="s">
        <v>6</v>
      </c>
      <c r="C244" s="82">
        <v>0</v>
      </c>
      <c r="D244" s="82">
        <v>9545.5901199999989</v>
      </c>
      <c r="E244" s="78">
        <v>496.42103000000003</v>
      </c>
      <c r="F244" s="78">
        <v>9049.1690899999994</v>
      </c>
      <c r="G244" s="82">
        <v>1127.21408</v>
      </c>
      <c r="H244" s="82">
        <v>0</v>
      </c>
      <c r="I244" s="82">
        <v>2450.7766499999998</v>
      </c>
      <c r="J244" s="82">
        <v>923.51354000000003</v>
      </c>
      <c r="K244" s="82">
        <v>0</v>
      </c>
      <c r="L244" s="82"/>
      <c r="M244" s="82">
        <v>0</v>
      </c>
      <c r="N244" s="82">
        <v>6891.4452700000002</v>
      </c>
      <c r="O244" s="78">
        <v>6891.4452700000002</v>
      </c>
      <c r="P244" s="78">
        <v>0</v>
      </c>
      <c r="Q244" s="73">
        <v>20938.539659999999</v>
      </c>
      <c r="R244" s="78">
        <v>11889.370569999999</v>
      </c>
      <c r="S244" s="78">
        <v>9049.1690899999994</v>
      </c>
    </row>
    <row r="245" spans="1:19" ht="12" customHeight="1" x14ac:dyDescent="0.2">
      <c r="A245" s="55">
        <v>2022</v>
      </c>
      <c r="B245" s="55" t="s">
        <v>7</v>
      </c>
      <c r="C245" s="82">
        <v>0</v>
      </c>
      <c r="D245" s="82">
        <v>8125.2747099999997</v>
      </c>
      <c r="E245" s="78">
        <v>1122.47722</v>
      </c>
      <c r="F245" s="78">
        <v>7002.7974899999999</v>
      </c>
      <c r="G245" s="82">
        <v>0</v>
      </c>
      <c r="H245" s="82">
        <v>0</v>
      </c>
      <c r="I245" s="82">
        <v>1989.1817900000001</v>
      </c>
      <c r="J245" s="82">
        <v>0</v>
      </c>
      <c r="K245" s="82">
        <v>0</v>
      </c>
      <c r="L245" s="82"/>
      <c r="M245" s="82">
        <v>0</v>
      </c>
      <c r="N245" s="82">
        <v>6010.7742300000009</v>
      </c>
      <c r="O245" s="78">
        <v>6010.7742300000009</v>
      </c>
      <c r="P245" s="78">
        <v>0</v>
      </c>
      <c r="Q245" s="73">
        <v>16125.230730000003</v>
      </c>
      <c r="R245" s="78">
        <v>9122.4332400000021</v>
      </c>
      <c r="S245" s="78">
        <v>7002.7974899999999</v>
      </c>
    </row>
    <row r="246" spans="1:19" ht="12" customHeight="1" x14ac:dyDescent="0.2">
      <c r="A246" s="55">
        <v>2022</v>
      </c>
      <c r="B246" s="55" t="s">
        <v>8</v>
      </c>
      <c r="C246" s="82">
        <v>0</v>
      </c>
      <c r="D246" s="82">
        <v>7762.3436499999998</v>
      </c>
      <c r="E246" s="78">
        <v>417.69205999999997</v>
      </c>
      <c r="F246" s="78">
        <v>7344.6515899999995</v>
      </c>
      <c r="G246" s="82">
        <v>0</v>
      </c>
      <c r="H246" s="82">
        <v>0</v>
      </c>
      <c r="I246" s="82">
        <v>999.07164999999998</v>
      </c>
      <c r="J246" s="82">
        <v>0</v>
      </c>
      <c r="K246" s="82">
        <v>0</v>
      </c>
      <c r="L246" s="82"/>
      <c r="M246" s="82">
        <v>0</v>
      </c>
      <c r="N246" s="82">
        <v>4852.3496300000006</v>
      </c>
      <c r="O246" s="78">
        <v>4852.3496300000006</v>
      </c>
      <c r="P246" s="78">
        <v>0</v>
      </c>
      <c r="Q246" s="73">
        <v>13613.764930000001</v>
      </c>
      <c r="R246" s="78">
        <v>6269.1133400000008</v>
      </c>
      <c r="S246" s="78">
        <v>7344.6515899999995</v>
      </c>
    </row>
    <row r="247" spans="1:19" ht="12" customHeight="1" x14ac:dyDescent="0.2">
      <c r="A247" s="55">
        <v>2022</v>
      </c>
      <c r="B247" s="55" t="s">
        <v>9</v>
      </c>
      <c r="C247" s="82">
        <v>1040.4282499999999</v>
      </c>
      <c r="D247" s="82">
        <v>8572.4521100000002</v>
      </c>
      <c r="E247" s="78">
        <v>0</v>
      </c>
      <c r="F247" s="78">
        <v>8572.4521100000002</v>
      </c>
      <c r="G247" s="82">
        <v>0</v>
      </c>
      <c r="H247" s="82">
        <v>0</v>
      </c>
      <c r="I247" s="82">
        <v>1052.3626499999998</v>
      </c>
      <c r="J247" s="82">
        <v>1066.6933999999999</v>
      </c>
      <c r="K247" s="82">
        <v>0</v>
      </c>
      <c r="L247" s="82"/>
      <c r="M247" s="82">
        <v>0</v>
      </c>
      <c r="N247" s="82">
        <v>5881.8532600000008</v>
      </c>
      <c r="O247" s="78">
        <v>5881.8532600000008</v>
      </c>
      <c r="P247" s="78">
        <v>0</v>
      </c>
      <c r="Q247" s="73">
        <v>17613.789669999998</v>
      </c>
      <c r="R247" s="78">
        <v>9041.3375599999999</v>
      </c>
      <c r="S247" s="78">
        <v>8572.4521100000002</v>
      </c>
    </row>
    <row r="248" spans="1:19" ht="12" customHeight="1" x14ac:dyDescent="0.2">
      <c r="A248" s="55">
        <v>2022</v>
      </c>
      <c r="B248" s="55" t="s">
        <v>10</v>
      </c>
      <c r="C248" s="82">
        <v>0</v>
      </c>
      <c r="D248" s="82">
        <v>9127.2620800000004</v>
      </c>
      <c r="E248" s="78">
        <v>0</v>
      </c>
      <c r="F248" s="78">
        <v>9127.2620800000004</v>
      </c>
      <c r="G248" s="82">
        <v>0</v>
      </c>
      <c r="H248" s="82">
        <v>0</v>
      </c>
      <c r="I248" s="82">
        <v>0</v>
      </c>
      <c r="J248" s="82">
        <v>0</v>
      </c>
      <c r="K248" s="82">
        <v>0</v>
      </c>
      <c r="L248" s="82"/>
      <c r="M248" s="82">
        <v>0</v>
      </c>
      <c r="N248" s="82">
        <v>5834.52297</v>
      </c>
      <c r="O248" s="78">
        <v>5834.52297</v>
      </c>
      <c r="P248" s="78">
        <v>0</v>
      </c>
      <c r="Q248" s="73">
        <v>14961.78505</v>
      </c>
      <c r="R248" s="78">
        <v>5834.52297</v>
      </c>
      <c r="S248" s="78">
        <v>9127.2620800000004</v>
      </c>
    </row>
    <row r="249" spans="1:19" ht="12" customHeight="1" x14ac:dyDescent="0.2">
      <c r="A249" s="55">
        <v>2022</v>
      </c>
      <c r="B249" s="55" t="s">
        <v>11</v>
      </c>
      <c r="C249" s="82">
        <v>2062.0962100000002</v>
      </c>
      <c r="D249" s="82">
        <v>8931.6687300000012</v>
      </c>
      <c r="E249" s="78">
        <v>969.24132999999995</v>
      </c>
      <c r="F249" s="78">
        <v>7962.4274000000005</v>
      </c>
      <c r="G249" s="82">
        <v>1015.51188</v>
      </c>
      <c r="H249" s="82">
        <v>0</v>
      </c>
      <c r="I249" s="82">
        <v>978.44869000000006</v>
      </c>
      <c r="J249" s="82">
        <v>0</v>
      </c>
      <c r="K249" s="82">
        <v>0</v>
      </c>
      <c r="L249" s="82"/>
      <c r="M249" s="82">
        <v>0</v>
      </c>
      <c r="N249" s="82">
        <v>5338.0961299999999</v>
      </c>
      <c r="O249" s="78">
        <v>5338.0961299999999</v>
      </c>
      <c r="P249" s="78">
        <v>0</v>
      </c>
      <c r="Q249" s="73">
        <v>18325.821640000002</v>
      </c>
      <c r="R249" s="78">
        <v>10363.39424</v>
      </c>
      <c r="S249" s="78">
        <v>7962.4274000000005</v>
      </c>
    </row>
    <row r="250" spans="1:19" ht="12" customHeight="1" x14ac:dyDescent="0.2">
      <c r="A250" s="55">
        <v>2022</v>
      </c>
      <c r="B250" s="55" t="s">
        <v>12</v>
      </c>
      <c r="C250" s="82">
        <v>0</v>
      </c>
      <c r="D250" s="82">
        <v>7806.3252499999999</v>
      </c>
      <c r="E250" s="78">
        <v>0</v>
      </c>
      <c r="F250" s="78">
        <v>7806.3252499999999</v>
      </c>
      <c r="G250" s="82">
        <v>0</v>
      </c>
      <c r="H250" s="82">
        <v>0</v>
      </c>
      <c r="I250" s="82">
        <v>976.4046800000001</v>
      </c>
      <c r="J250" s="82">
        <v>2020.92328</v>
      </c>
      <c r="K250" s="82">
        <v>0</v>
      </c>
      <c r="L250" s="82"/>
      <c r="M250" s="82">
        <v>0</v>
      </c>
      <c r="N250" s="82">
        <v>5684.4072200000001</v>
      </c>
      <c r="O250" s="78">
        <v>5684.4072200000001</v>
      </c>
      <c r="P250" s="78">
        <v>0</v>
      </c>
      <c r="Q250" s="73">
        <v>16488.060429999998</v>
      </c>
      <c r="R250" s="78">
        <v>8681.7351799999997</v>
      </c>
      <c r="S250" s="78">
        <v>7806.3252499999999</v>
      </c>
    </row>
    <row r="251" spans="1:19" ht="12" customHeight="1" x14ac:dyDescent="0.2">
      <c r="A251" s="55">
        <v>2022</v>
      </c>
      <c r="B251" s="55" t="s">
        <v>13</v>
      </c>
      <c r="C251" s="82">
        <v>0</v>
      </c>
      <c r="D251" s="82">
        <v>6392.9568200000003</v>
      </c>
      <c r="E251" s="78">
        <v>0</v>
      </c>
      <c r="F251" s="78">
        <v>6392.9568200000003</v>
      </c>
      <c r="G251" s="82">
        <v>0</v>
      </c>
      <c r="H251" s="82">
        <v>0</v>
      </c>
      <c r="I251" s="82">
        <v>1379.3536600000002</v>
      </c>
      <c r="J251" s="82">
        <v>0</v>
      </c>
      <c r="K251" s="82">
        <v>0</v>
      </c>
      <c r="L251" s="82"/>
      <c r="M251" s="82">
        <v>0</v>
      </c>
      <c r="N251" s="82">
        <v>4742.5786100000005</v>
      </c>
      <c r="O251" s="78">
        <v>4742.5786100000005</v>
      </c>
      <c r="P251" s="78">
        <v>0</v>
      </c>
      <c r="Q251" s="73">
        <v>12514.889090000001</v>
      </c>
      <c r="R251" s="78">
        <v>6121.9322700000012</v>
      </c>
      <c r="S251" s="78">
        <v>6392.9568200000003</v>
      </c>
    </row>
    <row r="252" spans="1:19" ht="12" customHeight="1" x14ac:dyDescent="0.2">
      <c r="A252" s="55">
        <v>2022</v>
      </c>
      <c r="B252" s="55" t="s">
        <v>14</v>
      </c>
      <c r="C252" s="82">
        <v>0</v>
      </c>
      <c r="D252" s="82">
        <v>9606.1323099999991</v>
      </c>
      <c r="E252" s="78">
        <v>0</v>
      </c>
      <c r="F252" s="78">
        <v>9606.1323099999991</v>
      </c>
      <c r="G252" s="82">
        <v>1036.31691</v>
      </c>
      <c r="H252" s="82">
        <v>0</v>
      </c>
      <c r="I252" s="82">
        <v>2473.7454199999997</v>
      </c>
      <c r="J252" s="82">
        <v>0</v>
      </c>
      <c r="K252" s="82">
        <v>0</v>
      </c>
      <c r="L252" s="82"/>
      <c r="M252" s="82">
        <v>541.85708</v>
      </c>
      <c r="N252" s="82">
        <v>2771.9069499999996</v>
      </c>
      <c r="O252" s="78">
        <v>2771.9069499999996</v>
      </c>
      <c r="P252" s="78">
        <v>0</v>
      </c>
      <c r="Q252" s="73">
        <v>16429.95867</v>
      </c>
      <c r="R252" s="78">
        <v>6823.8263599999991</v>
      </c>
      <c r="S252" s="78">
        <v>9606.1323099999991</v>
      </c>
    </row>
    <row r="253" spans="1:19" ht="12" customHeight="1" x14ac:dyDescent="0.2">
      <c r="A253" s="55">
        <v>2022</v>
      </c>
      <c r="B253" s="55" t="s">
        <v>15</v>
      </c>
      <c r="C253" s="82">
        <v>3102.5244600000001</v>
      </c>
      <c r="D253" s="82">
        <v>105429.90959</v>
      </c>
      <c r="E253" s="78">
        <v>4478.3929500000004</v>
      </c>
      <c r="F253" s="78">
        <v>100951.51664</v>
      </c>
      <c r="G253" s="82">
        <v>3179.0428699999998</v>
      </c>
      <c r="H253" s="82">
        <v>0</v>
      </c>
      <c r="I253" s="82">
        <v>15048.580129999998</v>
      </c>
      <c r="J253" s="82">
        <v>5942.8699699999997</v>
      </c>
      <c r="K253" s="82">
        <v>0</v>
      </c>
      <c r="L253" s="82"/>
      <c r="M253" s="82">
        <v>541.85708</v>
      </c>
      <c r="N253" s="82">
        <v>63802.80086000001</v>
      </c>
      <c r="O253" s="78">
        <v>63802.80086000001</v>
      </c>
      <c r="P253" s="78">
        <v>0</v>
      </c>
      <c r="Q253" s="73">
        <v>197047.58496000004</v>
      </c>
      <c r="R253" s="78">
        <v>96096.06832000002</v>
      </c>
      <c r="S253" s="78">
        <v>100951.51664</v>
      </c>
    </row>
    <row r="254" spans="1:19" ht="12" customHeight="1" x14ac:dyDescent="0.2">
      <c r="A254" s="55">
        <v>2023</v>
      </c>
      <c r="B254" s="55" t="s">
        <v>3</v>
      </c>
      <c r="C254" s="82">
        <v>0</v>
      </c>
      <c r="D254" s="82">
        <v>8544.9362899999996</v>
      </c>
      <c r="E254" s="78">
        <v>0</v>
      </c>
      <c r="F254" s="78">
        <v>8544.9362899999996</v>
      </c>
      <c r="G254" s="82">
        <v>0</v>
      </c>
      <c r="H254" s="82">
        <v>0</v>
      </c>
      <c r="I254" s="82">
        <v>596.04307999999992</v>
      </c>
      <c r="J254" s="82">
        <v>0</v>
      </c>
      <c r="K254" s="82">
        <v>0</v>
      </c>
      <c r="L254" s="82">
        <v>0</v>
      </c>
      <c r="M254" s="82">
        <v>0</v>
      </c>
      <c r="N254" s="82">
        <v>6931.6350899999998</v>
      </c>
      <c r="O254" s="78">
        <v>6931.6350899999998</v>
      </c>
      <c r="P254" s="78">
        <v>0</v>
      </c>
      <c r="Q254" s="73">
        <v>16072.614459999999</v>
      </c>
      <c r="R254" s="78">
        <v>7527.6781699999992</v>
      </c>
      <c r="S254" s="78">
        <v>8544.9362899999996</v>
      </c>
    </row>
    <row r="255" spans="1:19" ht="12" customHeight="1" x14ac:dyDescent="0.2">
      <c r="A255" s="55">
        <v>2023</v>
      </c>
      <c r="B255" s="55" t="s">
        <v>4</v>
      </c>
      <c r="C255" s="82">
        <v>0</v>
      </c>
      <c r="D255" s="82">
        <v>7481.3936399999984</v>
      </c>
      <c r="E255" s="78">
        <v>75.283100000000005</v>
      </c>
      <c r="F255" s="78">
        <v>7406.1105399999988</v>
      </c>
      <c r="G255" s="82">
        <v>1108.1599899999999</v>
      </c>
      <c r="H255" s="82">
        <v>0</v>
      </c>
      <c r="I255" s="82">
        <v>1045.2418700000001</v>
      </c>
      <c r="J255" s="82">
        <v>970.51423999999997</v>
      </c>
      <c r="K255" s="82">
        <v>0</v>
      </c>
      <c r="L255" s="82">
        <v>0</v>
      </c>
      <c r="M255" s="82">
        <v>0</v>
      </c>
      <c r="N255" s="82">
        <v>2792.0584900000003</v>
      </c>
      <c r="O255" s="78">
        <v>2792.0584900000003</v>
      </c>
      <c r="P255" s="78">
        <v>0</v>
      </c>
      <c r="Q255" s="73">
        <v>13397.36823</v>
      </c>
      <c r="R255" s="78">
        <v>5991.2576900000004</v>
      </c>
      <c r="S255" s="78">
        <v>7406.1105399999988</v>
      </c>
    </row>
    <row r="256" spans="1:19" ht="12" customHeight="1" x14ac:dyDescent="0.2">
      <c r="A256" s="55">
        <v>2023</v>
      </c>
      <c r="B256" s="55" t="s">
        <v>5</v>
      </c>
      <c r="C256" s="82">
        <v>0</v>
      </c>
      <c r="D256" s="82">
        <v>9274.0159000000003</v>
      </c>
      <c r="E256" s="78">
        <v>2871.4613000000004</v>
      </c>
      <c r="F256" s="78">
        <v>6402.5545999999995</v>
      </c>
      <c r="G256" s="82">
        <v>966.92200000000003</v>
      </c>
      <c r="H256" s="82">
        <v>0</v>
      </c>
      <c r="I256" s="82">
        <v>0</v>
      </c>
      <c r="J256" s="82">
        <v>920.54178999999999</v>
      </c>
      <c r="K256" s="82">
        <v>0</v>
      </c>
      <c r="L256" s="82">
        <v>0</v>
      </c>
      <c r="M256" s="82">
        <v>0</v>
      </c>
      <c r="N256" s="82">
        <v>5920.0206799999996</v>
      </c>
      <c r="O256" s="78">
        <v>5920.0206799999996</v>
      </c>
      <c r="P256" s="78">
        <v>0</v>
      </c>
      <c r="Q256" s="73">
        <v>17081.500370000002</v>
      </c>
      <c r="R256" s="78">
        <v>10678.94577</v>
      </c>
      <c r="S256" s="78">
        <v>6402.5545999999995</v>
      </c>
    </row>
    <row r="257" spans="1:19" ht="12" customHeight="1" x14ac:dyDescent="0.2">
      <c r="A257" s="55">
        <v>2023</v>
      </c>
      <c r="B257" s="55" t="s">
        <v>6</v>
      </c>
      <c r="C257" s="82">
        <v>1027.45261</v>
      </c>
      <c r="D257" s="82">
        <v>9397.4351500000012</v>
      </c>
      <c r="E257" s="78">
        <v>2439.14183</v>
      </c>
      <c r="F257" s="78">
        <v>6958.2933200000007</v>
      </c>
      <c r="G257" s="82">
        <v>1098.05953</v>
      </c>
      <c r="H257" s="82">
        <v>0</v>
      </c>
      <c r="I257" s="82">
        <v>1112.7167299999999</v>
      </c>
      <c r="J257" s="82">
        <v>0</v>
      </c>
      <c r="K257" s="82">
        <v>0</v>
      </c>
      <c r="L257" s="82">
        <v>0</v>
      </c>
      <c r="M257" s="82">
        <v>0</v>
      </c>
      <c r="N257" s="82">
        <v>4840.8125300000002</v>
      </c>
      <c r="O257" s="78">
        <v>4840.8125300000002</v>
      </c>
      <c r="P257" s="78">
        <v>0</v>
      </c>
      <c r="Q257" s="73">
        <v>17476.476549999999</v>
      </c>
      <c r="R257" s="78">
        <v>10518.183230000001</v>
      </c>
      <c r="S257" s="78">
        <v>6958.2933200000007</v>
      </c>
    </row>
    <row r="258" spans="1:19" ht="12" customHeight="1" x14ac:dyDescent="0.2">
      <c r="A258" s="55">
        <v>2023</v>
      </c>
      <c r="B258" s="55" t="s">
        <v>7</v>
      </c>
      <c r="C258" s="82">
        <v>1031.7608700000001</v>
      </c>
      <c r="D258" s="82">
        <v>9824.5643899999995</v>
      </c>
      <c r="E258" s="78">
        <v>1971.4921000000002</v>
      </c>
      <c r="F258" s="78">
        <v>7853.0722900000001</v>
      </c>
      <c r="G258" s="82">
        <v>0</v>
      </c>
      <c r="H258" s="82">
        <v>0</v>
      </c>
      <c r="I258" s="82">
        <v>0</v>
      </c>
      <c r="J258" s="82">
        <v>0</v>
      </c>
      <c r="K258" s="82">
        <v>0</v>
      </c>
      <c r="L258" s="82">
        <v>0</v>
      </c>
      <c r="M258" s="82">
        <v>0</v>
      </c>
      <c r="N258" s="82">
        <v>6812.9698900000003</v>
      </c>
      <c r="O258" s="78">
        <v>6812.9698900000003</v>
      </c>
      <c r="P258" s="78">
        <v>0</v>
      </c>
      <c r="Q258" s="73">
        <v>17669.295149999998</v>
      </c>
      <c r="R258" s="78">
        <v>9816.2228599999999</v>
      </c>
      <c r="S258" s="78">
        <v>7853.0722900000001</v>
      </c>
    </row>
    <row r="259" spans="1:19" ht="12" customHeight="1" x14ac:dyDescent="0.2">
      <c r="A259" s="55">
        <v>2023</v>
      </c>
      <c r="B259" s="55" t="s">
        <v>8</v>
      </c>
      <c r="C259" s="82">
        <v>0</v>
      </c>
      <c r="D259" s="82">
        <v>6028.5624800000005</v>
      </c>
      <c r="E259" s="78">
        <v>989.13621999999998</v>
      </c>
      <c r="F259" s="78">
        <v>5039.4262600000002</v>
      </c>
      <c r="G259" s="82">
        <v>0</v>
      </c>
      <c r="H259" s="82">
        <v>0</v>
      </c>
      <c r="I259" s="82">
        <v>900.06846999999993</v>
      </c>
      <c r="J259" s="82">
        <v>0</v>
      </c>
      <c r="K259" s="82">
        <v>0</v>
      </c>
      <c r="L259" s="82">
        <v>0</v>
      </c>
      <c r="M259" s="82">
        <v>0</v>
      </c>
      <c r="N259" s="82">
        <v>2878.5253499999994</v>
      </c>
      <c r="O259" s="78">
        <v>2878.5253499999994</v>
      </c>
      <c r="P259" s="78">
        <v>0</v>
      </c>
      <c r="Q259" s="73">
        <v>9807.1562999999987</v>
      </c>
      <c r="R259" s="78">
        <v>4767.7300399999995</v>
      </c>
      <c r="S259" s="78">
        <v>5039.4262600000002</v>
      </c>
    </row>
    <row r="260" spans="1:19" ht="12" customHeight="1" x14ac:dyDescent="0.2">
      <c r="A260" s="55">
        <v>2023</v>
      </c>
      <c r="B260" s="55" t="s">
        <v>9</v>
      </c>
      <c r="C260" s="82">
        <v>1052.2395100000001</v>
      </c>
      <c r="D260" s="82">
        <v>9105.2015300000003</v>
      </c>
      <c r="E260" s="78">
        <v>492.62700000000001</v>
      </c>
      <c r="F260" s="78">
        <v>8612.5745299999999</v>
      </c>
      <c r="G260" s="82">
        <v>0</v>
      </c>
      <c r="H260" s="82">
        <v>0</v>
      </c>
      <c r="I260" s="82">
        <v>0</v>
      </c>
      <c r="J260" s="82">
        <v>0</v>
      </c>
      <c r="K260" s="82">
        <v>0</v>
      </c>
      <c r="L260" s="82">
        <v>0</v>
      </c>
      <c r="M260" s="82">
        <v>0</v>
      </c>
      <c r="N260" s="82">
        <v>3638.90076</v>
      </c>
      <c r="O260" s="78">
        <v>3638.90076</v>
      </c>
      <c r="P260" s="78">
        <v>0</v>
      </c>
      <c r="Q260" s="73">
        <v>13796.3418</v>
      </c>
      <c r="R260" s="78">
        <v>5183.7672700000003</v>
      </c>
      <c r="S260" s="78">
        <v>8612.5745299999999</v>
      </c>
    </row>
    <row r="261" spans="1:19" ht="12" customHeight="1" x14ac:dyDescent="0.2">
      <c r="A261" s="55">
        <v>2023</v>
      </c>
      <c r="B261" s="55" t="s">
        <v>10</v>
      </c>
      <c r="C261" s="82">
        <v>0</v>
      </c>
      <c r="D261" s="82">
        <v>8289.4103500000001</v>
      </c>
      <c r="E261" s="78">
        <v>489.67599999999999</v>
      </c>
      <c r="F261" s="78">
        <v>7799.7343499999997</v>
      </c>
      <c r="G261" s="82">
        <v>0</v>
      </c>
      <c r="H261" s="82">
        <v>0</v>
      </c>
      <c r="I261" s="82">
        <v>0</v>
      </c>
      <c r="J261" s="82">
        <v>0</v>
      </c>
      <c r="K261" s="82">
        <v>0</v>
      </c>
      <c r="L261" s="82">
        <v>0</v>
      </c>
      <c r="M261" s="82">
        <v>0</v>
      </c>
      <c r="N261" s="82">
        <v>5754.2719999999999</v>
      </c>
      <c r="O261" s="78">
        <v>5754.2719999999999</v>
      </c>
      <c r="P261" s="78">
        <v>0</v>
      </c>
      <c r="Q261" s="73">
        <v>14043.682349999999</v>
      </c>
      <c r="R261" s="78">
        <v>6243.9480000000003</v>
      </c>
      <c r="S261" s="78">
        <v>7799.7343499999997</v>
      </c>
    </row>
    <row r="262" spans="1:19" ht="12" customHeight="1" x14ac:dyDescent="0.2">
      <c r="A262" s="55">
        <v>2023</v>
      </c>
      <c r="B262" s="55" t="s">
        <v>11</v>
      </c>
      <c r="C262" s="82">
        <v>0</v>
      </c>
      <c r="D262" s="82">
        <v>13063.3164</v>
      </c>
      <c r="E262" s="78">
        <v>5053.8361799999993</v>
      </c>
      <c r="F262" s="78">
        <v>8009.4802199999995</v>
      </c>
      <c r="G262" s="82">
        <v>0</v>
      </c>
      <c r="H262" s="82">
        <v>0</v>
      </c>
      <c r="I262" s="82">
        <v>0</v>
      </c>
      <c r="J262" s="82">
        <v>0</v>
      </c>
      <c r="K262" s="82">
        <v>0</v>
      </c>
      <c r="L262" s="82">
        <v>0</v>
      </c>
      <c r="M262" s="82">
        <v>0</v>
      </c>
      <c r="N262" s="82">
        <v>6195.0839700000006</v>
      </c>
      <c r="O262" s="78">
        <v>6195.0839700000006</v>
      </c>
      <c r="P262" s="78">
        <v>0</v>
      </c>
      <c r="Q262" s="73">
        <v>19258.400369999999</v>
      </c>
      <c r="R262" s="78">
        <v>11248.92015</v>
      </c>
      <c r="S262" s="78">
        <v>8009.4802199999995</v>
      </c>
    </row>
    <row r="263" spans="1:19" ht="12" customHeight="1" x14ac:dyDescent="0.2">
      <c r="A263" s="55">
        <v>2023</v>
      </c>
      <c r="B263" s="55" t="s">
        <v>12</v>
      </c>
      <c r="C263" s="82">
        <v>0</v>
      </c>
      <c r="D263" s="82">
        <v>15741.162660000002</v>
      </c>
      <c r="E263" s="78">
        <v>6039.8515799999996</v>
      </c>
      <c r="F263" s="78">
        <v>9701.3110800000013</v>
      </c>
      <c r="G263" s="82">
        <v>1102.8101499999998</v>
      </c>
      <c r="H263" s="82">
        <v>0</v>
      </c>
      <c r="I263" s="82">
        <v>0</v>
      </c>
      <c r="J263" s="82">
        <v>0</v>
      </c>
      <c r="K263" s="82">
        <v>0</v>
      </c>
      <c r="L263" s="82">
        <v>0</v>
      </c>
      <c r="M263" s="82">
        <v>0</v>
      </c>
      <c r="N263" s="82">
        <v>1756.1883500000001</v>
      </c>
      <c r="O263" s="78">
        <v>1756.1883500000001</v>
      </c>
      <c r="P263" s="78">
        <v>0</v>
      </c>
      <c r="Q263" s="73">
        <v>18600.161160000003</v>
      </c>
      <c r="R263" s="78">
        <v>8898.8500800000002</v>
      </c>
      <c r="S263" s="78">
        <v>9701.3110800000013</v>
      </c>
    </row>
    <row r="264" spans="1:19" ht="12" customHeight="1" x14ac:dyDescent="0.2">
      <c r="A264" s="55">
        <v>2023</v>
      </c>
      <c r="B264" s="55" t="s">
        <v>13</v>
      </c>
      <c r="C264" s="82">
        <v>0</v>
      </c>
      <c r="D264" s="82">
        <v>9495.097819999999</v>
      </c>
      <c r="E264" s="78">
        <v>172.65532999999999</v>
      </c>
      <c r="F264" s="78">
        <v>9322.4424899999995</v>
      </c>
      <c r="G264" s="82">
        <v>0</v>
      </c>
      <c r="H264" s="82">
        <v>0</v>
      </c>
      <c r="I264" s="82">
        <v>0</v>
      </c>
      <c r="J264" s="82">
        <v>0</v>
      </c>
      <c r="K264" s="82">
        <v>0</v>
      </c>
      <c r="L264" s="82">
        <v>0</v>
      </c>
      <c r="M264" s="82">
        <v>0</v>
      </c>
      <c r="N264" s="82">
        <v>3705.9150999999997</v>
      </c>
      <c r="O264" s="78">
        <v>3705.9150999999997</v>
      </c>
      <c r="P264" s="78">
        <v>0</v>
      </c>
      <c r="Q264" s="73">
        <v>13201.012919999999</v>
      </c>
      <c r="R264" s="78">
        <v>3878.5704299999998</v>
      </c>
      <c r="S264" s="78">
        <v>9322.4424899999995</v>
      </c>
    </row>
    <row r="265" spans="1:19" ht="12" customHeight="1" x14ac:dyDescent="0.2">
      <c r="A265" s="55">
        <v>2023</v>
      </c>
      <c r="B265" s="56" t="s">
        <v>14</v>
      </c>
      <c r="C265" s="45">
        <v>0</v>
      </c>
      <c r="D265" s="45">
        <v>10007.15006</v>
      </c>
      <c r="E265" s="52">
        <v>815.07292999999993</v>
      </c>
      <c r="F265" s="52">
        <v>9192.0771299999997</v>
      </c>
      <c r="G265" s="48">
        <v>0</v>
      </c>
      <c r="H265" s="82">
        <v>0</v>
      </c>
      <c r="I265" s="45">
        <v>820.53637000000003</v>
      </c>
      <c r="J265" s="45">
        <v>0</v>
      </c>
      <c r="K265" s="45">
        <v>0</v>
      </c>
      <c r="L265" s="45">
        <v>0</v>
      </c>
      <c r="M265" s="45">
        <v>0</v>
      </c>
      <c r="N265" s="82">
        <v>2627.4111000000003</v>
      </c>
      <c r="O265" s="78">
        <v>2627.4111000000003</v>
      </c>
      <c r="P265" s="78">
        <v>0</v>
      </c>
      <c r="Q265" s="73">
        <v>13455.097529999999</v>
      </c>
      <c r="R265" s="78">
        <v>4263.0204000000003</v>
      </c>
      <c r="S265" s="78">
        <v>9192.0771299999997</v>
      </c>
    </row>
    <row r="266" spans="1:19" ht="12" customHeight="1" x14ac:dyDescent="0.2">
      <c r="A266" s="55">
        <v>2023</v>
      </c>
      <c r="B266" s="56" t="s">
        <v>15</v>
      </c>
      <c r="C266" s="45">
        <v>3111.4529900000007</v>
      </c>
      <c r="D266" s="45">
        <v>116252.24666999999</v>
      </c>
      <c r="E266" s="52">
        <v>21410.233569999997</v>
      </c>
      <c r="F266" s="52">
        <v>94842.013100000011</v>
      </c>
      <c r="G266" s="48">
        <v>4275.9516699999995</v>
      </c>
      <c r="H266" s="82">
        <v>0</v>
      </c>
      <c r="I266" s="45">
        <v>4474.6065199999994</v>
      </c>
      <c r="J266" s="45">
        <v>1891.05603</v>
      </c>
      <c r="K266" s="45">
        <v>0</v>
      </c>
      <c r="L266" s="45">
        <v>0</v>
      </c>
      <c r="M266" s="45">
        <v>0</v>
      </c>
      <c r="N266" s="82">
        <v>53853.793309999986</v>
      </c>
      <c r="O266" s="78">
        <v>53853.793309999986</v>
      </c>
      <c r="P266" s="78">
        <v>0</v>
      </c>
      <c r="Q266" s="73">
        <v>183859.10718999998</v>
      </c>
      <c r="R266" s="78">
        <v>89017.094089999984</v>
      </c>
      <c r="S266" s="78">
        <v>94842.013100000011</v>
      </c>
    </row>
    <row r="267" spans="1:19" ht="12" customHeight="1" x14ac:dyDescent="0.2">
      <c r="A267" s="59">
        <v>2024</v>
      </c>
      <c r="B267" s="60" t="s">
        <v>3</v>
      </c>
      <c r="C267" s="45">
        <v>0</v>
      </c>
      <c r="D267" s="45">
        <v>9969.1086299999988</v>
      </c>
      <c r="E267" s="52">
        <v>987.04587000000004</v>
      </c>
      <c r="F267" s="52">
        <v>8982.0627599999989</v>
      </c>
      <c r="G267" s="48">
        <v>0</v>
      </c>
      <c r="H267" s="48">
        <v>0</v>
      </c>
      <c r="I267" s="45">
        <v>0</v>
      </c>
      <c r="J267" s="45">
        <v>0</v>
      </c>
      <c r="K267" s="45">
        <v>0</v>
      </c>
      <c r="L267" s="45">
        <v>0</v>
      </c>
      <c r="M267" s="45">
        <v>0</v>
      </c>
      <c r="N267" s="48">
        <v>1133.80819</v>
      </c>
      <c r="O267" s="52">
        <v>1133.80819</v>
      </c>
      <c r="P267" s="84">
        <v>0</v>
      </c>
      <c r="Q267" s="73">
        <v>11102.916819999999</v>
      </c>
      <c r="R267" s="78">
        <v>2120.8540600000001</v>
      </c>
      <c r="S267" s="78">
        <v>8982.0627599999989</v>
      </c>
    </row>
    <row r="268" spans="1:19" ht="12" customHeight="1" x14ac:dyDescent="0.2">
      <c r="A268" s="59">
        <v>2024</v>
      </c>
      <c r="B268" s="60" t="s">
        <v>4</v>
      </c>
      <c r="C268" s="45">
        <v>0</v>
      </c>
      <c r="D268" s="45">
        <v>8601.3798600000009</v>
      </c>
      <c r="E268" s="52">
        <v>493.24220000000003</v>
      </c>
      <c r="F268" s="52">
        <v>8108.1376600000003</v>
      </c>
      <c r="G268" s="48">
        <v>0</v>
      </c>
      <c r="H268" s="48">
        <v>0</v>
      </c>
      <c r="I268" s="45">
        <v>0</v>
      </c>
      <c r="J268" s="45">
        <v>0</v>
      </c>
      <c r="K268" s="45">
        <v>0</v>
      </c>
      <c r="L268" s="45">
        <v>0</v>
      </c>
      <c r="M268" s="45">
        <v>0</v>
      </c>
      <c r="N268" s="48">
        <v>5005.4172900000003</v>
      </c>
      <c r="O268" s="52">
        <v>5005.4172900000003</v>
      </c>
      <c r="P268" s="84">
        <v>0</v>
      </c>
      <c r="Q268" s="73">
        <v>13606.79715</v>
      </c>
      <c r="R268" s="78">
        <v>5498.65949</v>
      </c>
      <c r="S268" s="78">
        <v>8108.1376600000003</v>
      </c>
    </row>
    <row r="269" spans="1:19" ht="12" customHeight="1" x14ac:dyDescent="0.2">
      <c r="A269" s="59">
        <v>2024</v>
      </c>
      <c r="B269" s="60" t="s">
        <v>5</v>
      </c>
      <c r="C269" s="45">
        <v>0</v>
      </c>
      <c r="D269" s="45">
        <v>12230.110410000001</v>
      </c>
      <c r="E269" s="52">
        <v>3521.6715600000002</v>
      </c>
      <c r="F269" s="52">
        <v>8708.4388500000005</v>
      </c>
      <c r="G269" s="48">
        <v>0</v>
      </c>
      <c r="H269" s="48">
        <v>0</v>
      </c>
      <c r="I269" s="45">
        <v>0</v>
      </c>
      <c r="J269" s="45">
        <v>0</v>
      </c>
      <c r="K269" s="45">
        <v>0</v>
      </c>
      <c r="L269" s="45">
        <v>0</v>
      </c>
      <c r="M269" s="45">
        <v>0</v>
      </c>
      <c r="N269" s="48">
        <v>882.20888000000002</v>
      </c>
      <c r="O269" s="52">
        <v>882.20888000000002</v>
      </c>
      <c r="P269" s="84">
        <v>0</v>
      </c>
      <c r="Q269" s="73">
        <v>13112.319289999999</v>
      </c>
      <c r="R269" s="78">
        <v>4403.8804399999999</v>
      </c>
      <c r="S269" s="78">
        <v>8708.4388500000005</v>
      </c>
    </row>
    <row r="270" spans="1:19" ht="12" customHeight="1" x14ac:dyDescent="0.2">
      <c r="A270" s="59">
        <v>2024</v>
      </c>
      <c r="B270" s="60" t="s">
        <v>6</v>
      </c>
      <c r="C270" s="45">
        <v>0</v>
      </c>
      <c r="D270" s="45">
        <v>12351.013609999998</v>
      </c>
      <c r="E270" s="52">
        <v>3932.7930200000001</v>
      </c>
      <c r="F270" s="52">
        <v>8418.220589999999</v>
      </c>
      <c r="G270" s="48">
        <v>0</v>
      </c>
      <c r="H270" s="48">
        <v>0</v>
      </c>
      <c r="I270" s="45">
        <v>0</v>
      </c>
      <c r="J270" s="45">
        <v>0</v>
      </c>
      <c r="K270" s="45">
        <v>0</v>
      </c>
      <c r="L270" s="45">
        <v>0</v>
      </c>
      <c r="M270" s="45">
        <v>0</v>
      </c>
      <c r="N270" s="48">
        <v>2681.6341000000002</v>
      </c>
      <c r="O270" s="52">
        <v>2681.6341000000002</v>
      </c>
      <c r="P270" s="84">
        <v>0</v>
      </c>
      <c r="Q270" s="73">
        <v>15032.647709999999</v>
      </c>
      <c r="R270" s="78">
        <v>6614.4271200000003</v>
      </c>
      <c r="S270" s="78">
        <v>8418.220589999999</v>
      </c>
    </row>
    <row r="271" spans="1:19" ht="12" customHeight="1" x14ac:dyDescent="0.2">
      <c r="A271" s="59">
        <v>2024</v>
      </c>
      <c r="B271" s="60" t="s">
        <v>7</v>
      </c>
      <c r="C271" s="45">
        <v>0</v>
      </c>
      <c r="D271" s="45">
        <v>10267.720849999998</v>
      </c>
      <c r="E271" s="52">
        <v>1477.1916200000001</v>
      </c>
      <c r="F271" s="52">
        <v>8790.5292299999983</v>
      </c>
      <c r="G271" s="48">
        <v>0</v>
      </c>
      <c r="H271" s="48">
        <v>0</v>
      </c>
      <c r="I271" s="45">
        <v>0</v>
      </c>
      <c r="J271" s="45">
        <v>0</v>
      </c>
      <c r="K271" s="45">
        <v>0</v>
      </c>
      <c r="L271" s="45">
        <v>0</v>
      </c>
      <c r="M271" s="45">
        <v>0</v>
      </c>
      <c r="N271" s="48">
        <v>2931.54862</v>
      </c>
      <c r="O271" s="52">
        <v>2931.54862</v>
      </c>
      <c r="P271" s="84">
        <v>0</v>
      </c>
      <c r="Q271" s="73">
        <v>13199.269469999999</v>
      </c>
      <c r="R271" s="78">
        <v>4408.7402400000001</v>
      </c>
      <c r="S271" s="78">
        <v>8790.5292299999983</v>
      </c>
    </row>
    <row r="272" spans="1:19" ht="12" customHeight="1" x14ac:dyDescent="0.2">
      <c r="A272" s="59">
        <v>2024</v>
      </c>
      <c r="B272" s="60" t="s">
        <v>8</v>
      </c>
      <c r="C272" s="45">
        <v>0</v>
      </c>
      <c r="D272" s="45">
        <v>12936.086710000001</v>
      </c>
      <c r="E272" s="52">
        <v>4289.9479900000006</v>
      </c>
      <c r="F272" s="52">
        <v>8646.1387200000008</v>
      </c>
      <c r="G272" s="48">
        <v>0</v>
      </c>
      <c r="H272" s="48">
        <v>606.61608999999999</v>
      </c>
      <c r="I272" s="45">
        <v>0</v>
      </c>
      <c r="J272" s="45">
        <v>0</v>
      </c>
      <c r="K272" s="45">
        <v>0</v>
      </c>
      <c r="L272" s="45">
        <v>0</v>
      </c>
      <c r="M272" s="45">
        <v>0</v>
      </c>
      <c r="N272" s="48">
        <v>956.26487999999995</v>
      </c>
      <c r="O272" s="52">
        <v>956.26487999999995</v>
      </c>
      <c r="P272" s="84">
        <v>0</v>
      </c>
      <c r="Q272" s="73">
        <v>14498.967680000002</v>
      </c>
      <c r="R272" s="78">
        <v>5852.8289600000007</v>
      </c>
      <c r="S272" s="78">
        <v>8646.1387200000008</v>
      </c>
    </row>
    <row r="273" spans="1:19" ht="12" customHeight="1" x14ac:dyDescent="0.2">
      <c r="A273" s="59">
        <v>2024</v>
      </c>
      <c r="B273" s="60" t="s">
        <v>9</v>
      </c>
      <c r="C273" s="45">
        <v>0</v>
      </c>
      <c r="D273" s="45">
        <v>8561.3345000000008</v>
      </c>
      <c r="E273" s="52">
        <v>0</v>
      </c>
      <c r="F273" s="52">
        <v>8561.3345000000008</v>
      </c>
      <c r="G273" s="48">
        <v>0</v>
      </c>
      <c r="H273" s="48">
        <v>0</v>
      </c>
      <c r="I273" s="45">
        <v>0</v>
      </c>
      <c r="J273" s="45">
        <v>0</v>
      </c>
      <c r="K273" s="45">
        <v>0</v>
      </c>
      <c r="L273" s="45">
        <v>0</v>
      </c>
      <c r="M273" s="45">
        <v>0</v>
      </c>
      <c r="N273" s="48">
        <v>1718.06131</v>
      </c>
      <c r="O273" s="52">
        <v>1718.06131</v>
      </c>
      <c r="P273" s="84">
        <v>0</v>
      </c>
      <c r="Q273" s="73">
        <v>10279.395810000002</v>
      </c>
      <c r="R273" s="78">
        <v>1718.06131</v>
      </c>
      <c r="S273" s="78">
        <v>8561.3345000000008</v>
      </c>
    </row>
    <row r="274" spans="1:19" ht="12" customHeight="1" x14ac:dyDescent="0.2">
      <c r="A274" s="59">
        <v>2024</v>
      </c>
      <c r="B274" s="60" t="s">
        <v>10</v>
      </c>
      <c r="C274" s="45">
        <v>0</v>
      </c>
      <c r="D274" s="45">
        <v>9357.7271500000006</v>
      </c>
      <c r="E274" s="52">
        <v>492.50324999999998</v>
      </c>
      <c r="F274" s="52">
        <v>8865.2239000000009</v>
      </c>
      <c r="G274" s="48">
        <v>0</v>
      </c>
      <c r="H274" s="48">
        <v>511.52508</v>
      </c>
      <c r="I274" s="45">
        <v>0</v>
      </c>
      <c r="J274" s="45">
        <v>0</v>
      </c>
      <c r="K274" s="45">
        <v>0</v>
      </c>
      <c r="L274" s="45">
        <v>0</v>
      </c>
      <c r="M274" s="45">
        <v>0</v>
      </c>
      <c r="N274" s="48">
        <v>838.18197999999995</v>
      </c>
      <c r="O274" s="52">
        <v>838.18197999999995</v>
      </c>
      <c r="P274" s="84">
        <v>0</v>
      </c>
      <c r="Q274" s="73">
        <v>10707.434210000001</v>
      </c>
      <c r="R274" s="78">
        <v>1842.2103099999999</v>
      </c>
      <c r="S274" s="78">
        <v>8865.2239000000009</v>
      </c>
    </row>
    <row r="275" spans="1:19" ht="12" customHeight="1" x14ac:dyDescent="0.2">
      <c r="A275" s="59">
        <v>2024</v>
      </c>
      <c r="B275" s="60" t="s">
        <v>11</v>
      </c>
      <c r="C275" s="45">
        <v>0</v>
      </c>
      <c r="D275" s="45">
        <v>9715.7715200000002</v>
      </c>
      <c r="E275" s="52">
        <v>2936.3705700000005</v>
      </c>
      <c r="F275" s="52">
        <v>6779.4009499999993</v>
      </c>
      <c r="G275" s="48">
        <v>0</v>
      </c>
      <c r="H275" s="48">
        <v>907.75756999999999</v>
      </c>
      <c r="I275" s="45">
        <v>0</v>
      </c>
      <c r="J275" s="45">
        <v>0</v>
      </c>
      <c r="K275" s="45">
        <v>0</v>
      </c>
      <c r="L275" s="45">
        <v>0</v>
      </c>
      <c r="M275" s="45">
        <v>0</v>
      </c>
      <c r="N275" s="48">
        <v>1147.3048200000001</v>
      </c>
      <c r="O275" s="52">
        <v>1147.3048200000001</v>
      </c>
      <c r="P275" s="84">
        <v>0</v>
      </c>
      <c r="Q275" s="73">
        <v>11770.833909999999</v>
      </c>
      <c r="R275" s="78">
        <v>4991.4329600000001</v>
      </c>
      <c r="S275" s="78">
        <v>6779.4009499999993</v>
      </c>
    </row>
    <row r="276" spans="1:19" ht="12" customHeight="1" x14ac:dyDescent="0.2">
      <c r="A276" s="59">
        <v>2024</v>
      </c>
      <c r="B276" s="60" t="s">
        <v>12</v>
      </c>
      <c r="C276" s="45">
        <v>1032.87364</v>
      </c>
      <c r="D276" s="45">
        <v>13753.97119</v>
      </c>
      <c r="E276" s="52">
        <v>3457.6623999999997</v>
      </c>
      <c r="F276" s="52">
        <v>10296.308790000001</v>
      </c>
      <c r="G276" s="48">
        <v>0</v>
      </c>
      <c r="H276" s="48">
        <v>769.27896999999996</v>
      </c>
      <c r="I276" s="45">
        <v>0</v>
      </c>
      <c r="J276" s="45">
        <v>0</v>
      </c>
      <c r="K276" s="45">
        <v>0</v>
      </c>
      <c r="L276" s="45">
        <v>0</v>
      </c>
      <c r="M276" s="45">
        <v>0</v>
      </c>
      <c r="N276" s="48">
        <v>1867.7470000000001</v>
      </c>
      <c r="O276" s="52">
        <v>1867.7470000000001</v>
      </c>
      <c r="P276" s="84">
        <v>0</v>
      </c>
      <c r="Q276" s="73">
        <v>17423.870800000001</v>
      </c>
      <c r="R276" s="78">
        <v>7127.5620099999996</v>
      </c>
      <c r="S276" s="78">
        <v>10296.308790000001</v>
      </c>
    </row>
    <row r="277" spans="1:19" ht="12" customHeight="1" x14ac:dyDescent="0.2">
      <c r="A277" s="59">
        <v>2024</v>
      </c>
      <c r="B277" s="60" t="s">
        <v>13</v>
      </c>
      <c r="C277" s="45">
        <v>1020.601</v>
      </c>
      <c r="D277" s="45">
        <v>13693.72977</v>
      </c>
      <c r="E277" s="52">
        <v>3723.0098700000003</v>
      </c>
      <c r="F277" s="52">
        <v>9970.7199000000001</v>
      </c>
      <c r="G277" s="48">
        <v>0</v>
      </c>
      <c r="H277" s="48">
        <v>0</v>
      </c>
      <c r="I277" s="45">
        <v>0</v>
      </c>
      <c r="J277" s="45">
        <v>0</v>
      </c>
      <c r="K277" s="45">
        <v>0</v>
      </c>
      <c r="L277" s="45">
        <v>0</v>
      </c>
      <c r="M277" s="45">
        <v>0</v>
      </c>
      <c r="N277" s="48">
        <v>2086.5732400000002</v>
      </c>
      <c r="O277" s="52">
        <v>2086.5732400000002</v>
      </c>
      <c r="P277" s="84">
        <v>0</v>
      </c>
      <c r="Q277" s="73">
        <v>16800.904009999998</v>
      </c>
      <c r="R277" s="78">
        <v>6830.1841100000001</v>
      </c>
      <c r="S277" s="78">
        <v>9970.7199000000001</v>
      </c>
    </row>
    <row r="278" spans="1:19" ht="12" customHeight="1" x14ac:dyDescent="0.2">
      <c r="A278" s="59">
        <v>2024</v>
      </c>
      <c r="B278" s="60" t="s">
        <v>14</v>
      </c>
      <c r="C278" s="45">
        <v>0</v>
      </c>
      <c r="D278" s="45">
        <v>9764.3110399999987</v>
      </c>
      <c r="E278" s="52">
        <v>0</v>
      </c>
      <c r="F278" s="52">
        <v>9764.3110399999987</v>
      </c>
      <c r="G278" s="48">
        <v>0</v>
      </c>
      <c r="H278" s="48">
        <v>0</v>
      </c>
      <c r="I278" s="45">
        <v>0</v>
      </c>
      <c r="J278" s="45">
        <v>0</v>
      </c>
      <c r="K278" s="45">
        <v>0</v>
      </c>
      <c r="L278" s="45">
        <v>0</v>
      </c>
      <c r="M278" s="45">
        <v>0</v>
      </c>
      <c r="N278" s="48">
        <v>3099.8552300000001</v>
      </c>
      <c r="O278" s="52">
        <v>3099.8552300000001</v>
      </c>
      <c r="P278" s="84">
        <v>0</v>
      </c>
      <c r="Q278" s="73">
        <v>12864.166269999998</v>
      </c>
      <c r="R278" s="78">
        <v>3099.8552300000001</v>
      </c>
      <c r="S278" s="78">
        <v>9764.3110399999987</v>
      </c>
    </row>
    <row r="279" spans="1:19" ht="12" customHeight="1" x14ac:dyDescent="0.2">
      <c r="A279" s="59">
        <v>2024</v>
      </c>
      <c r="B279" s="60" t="s">
        <v>15</v>
      </c>
      <c r="C279" s="45">
        <v>2053.4746399999999</v>
      </c>
      <c r="D279" s="45">
        <v>131202.26523999998</v>
      </c>
      <c r="E279" s="52">
        <v>25311.438350000004</v>
      </c>
      <c r="F279" s="52">
        <v>105890.82688999998</v>
      </c>
      <c r="G279" s="48">
        <v>0</v>
      </c>
      <c r="H279" s="45">
        <v>2795.1777099999999</v>
      </c>
      <c r="I279" s="45">
        <v>0</v>
      </c>
      <c r="J279" s="45">
        <v>0</v>
      </c>
      <c r="K279" s="45">
        <v>0</v>
      </c>
      <c r="L279" s="45">
        <v>0</v>
      </c>
      <c r="M279" s="52">
        <v>0</v>
      </c>
      <c r="N279" s="98">
        <v>24348.60554</v>
      </c>
      <c r="O279" s="52">
        <v>24348.60554</v>
      </c>
      <c r="P279" s="52">
        <v>0</v>
      </c>
      <c r="Q279" s="73">
        <v>160399.52312999999</v>
      </c>
      <c r="R279" s="78">
        <v>54508.696240000005</v>
      </c>
      <c r="S279" s="78">
        <v>105890.82688999998</v>
      </c>
    </row>
    <row r="280" spans="1:19" ht="12" customHeight="1" x14ac:dyDescent="0.2">
      <c r="A280" s="55">
        <v>2025</v>
      </c>
      <c r="B280" s="56" t="s">
        <v>3</v>
      </c>
      <c r="C280" s="45">
        <v>1025.3706</v>
      </c>
      <c r="D280" s="45">
        <v>10119.332779999999</v>
      </c>
      <c r="E280" s="52">
        <v>0</v>
      </c>
      <c r="F280" s="52">
        <v>10119.332779999999</v>
      </c>
      <c r="G280" s="48">
        <v>979.07078999999999</v>
      </c>
      <c r="H280" s="45">
        <v>0</v>
      </c>
      <c r="I280" s="45">
        <v>0</v>
      </c>
      <c r="J280" s="45">
        <v>0</v>
      </c>
      <c r="K280" s="45">
        <v>0</v>
      </c>
      <c r="L280" s="45">
        <v>0</v>
      </c>
      <c r="M280" s="52">
        <v>0</v>
      </c>
      <c r="N280" s="48">
        <v>3178.6401700000001</v>
      </c>
      <c r="O280" s="52">
        <v>3178.6401700000001</v>
      </c>
      <c r="P280" s="52">
        <v>0</v>
      </c>
      <c r="Q280" s="73">
        <v>15302.414339999999</v>
      </c>
      <c r="R280" s="78">
        <v>5183.0815599999996</v>
      </c>
      <c r="S280" s="78">
        <v>10119.332779999999</v>
      </c>
    </row>
    <row r="281" spans="1:19" ht="12" customHeight="1" x14ac:dyDescent="0.2">
      <c r="A281" s="55">
        <v>2025</v>
      </c>
      <c r="B281" s="56" t="s">
        <v>4</v>
      </c>
      <c r="C281" s="45">
        <v>1022.2932099999999</v>
      </c>
      <c r="D281" s="45">
        <v>9188.0476900000012</v>
      </c>
      <c r="E281" s="52">
        <v>0</v>
      </c>
      <c r="F281" s="52">
        <v>9188.0476900000012</v>
      </c>
      <c r="G281" s="48">
        <v>0</v>
      </c>
      <c r="H281" s="45">
        <v>886.69507999999996</v>
      </c>
      <c r="I281" s="45">
        <v>0</v>
      </c>
      <c r="J281" s="45">
        <v>0</v>
      </c>
      <c r="K281" s="45">
        <v>0</v>
      </c>
      <c r="L281" s="45">
        <v>0</v>
      </c>
      <c r="M281" s="52">
        <v>0</v>
      </c>
      <c r="N281" s="48">
        <v>2106.5151800000003</v>
      </c>
      <c r="O281" s="52">
        <v>2106.5151800000003</v>
      </c>
      <c r="P281" s="52">
        <v>0</v>
      </c>
      <c r="Q281" s="73">
        <v>13203.551160000001</v>
      </c>
      <c r="R281" s="78">
        <v>4015.5034700000001</v>
      </c>
      <c r="S281" s="78">
        <v>9188.0476900000012</v>
      </c>
    </row>
    <row r="282" spans="1:19" ht="12" customHeight="1" x14ac:dyDescent="0.2">
      <c r="A282" s="55">
        <v>2025</v>
      </c>
      <c r="B282" s="56" t="s">
        <v>5</v>
      </c>
      <c r="C282" s="45">
        <v>3069.35223</v>
      </c>
      <c r="D282" s="45">
        <v>12211.31338</v>
      </c>
      <c r="E282" s="52">
        <v>2702.0170400000002</v>
      </c>
      <c r="F282" s="52">
        <v>9509.296339999999</v>
      </c>
      <c r="G282" s="48">
        <v>0</v>
      </c>
      <c r="H282" s="45">
        <v>0</v>
      </c>
      <c r="I282" s="45">
        <v>0</v>
      </c>
      <c r="J282" s="45">
        <v>0</v>
      </c>
      <c r="K282" s="45">
        <v>0</v>
      </c>
      <c r="L282" s="45">
        <v>0</v>
      </c>
      <c r="M282" s="52">
        <v>0</v>
      </c>
      <c r="N282" s="48">
        <v>2002.5617400000001</v>
      </c>
      <c r="O282" s="52">
        <v>2002.5617400000001</v>
      </c>
      <c r="P282" s="52">
        <v>0</v>
      </c>
      <c r="Q282" s="73">
        <v>17283.227350000001</v>
      </c>
      <c r="R282" s="78">
        <v>7773.9310100000002</v>
      </c>
      <c r="S282" s="78">
        <v>9509.296339999999</v>
      </c>
    </row>
    <row r="283" spans="1:19" ht="12" customHeight="1" x14ac:dyDescent="0.2">
      <c r="A283" s="55">
        <v>2025</v>
      </c>
      <c r="B283" s="56" t="s">
        <v>6</v>
      </c>
      <c r="C283" s="45">
        <v>0</v>
      </c>
      <c r="D283" s="45">
        <v>9867.8750099999997</v>
      </c>
      <c r="E283" s="52">
        <v>2050.5681600000003</v>
      </c>
      <c r="F283" s="52">
        <v>7817.3068499999999</v>
      </c>
      <c r="G283" s="48">
        <v>0</v>
      </c>
      <c r="H283" s="45">
        <v>917.64629000000002</v>
      </c>
      <c r="I283" s="45">
        <v>0</v>
      </c>
      <c r="J283" s="45">
        <v>0</v>
      </c>
      <c r="K283" s="45">
        <v>0</v>
      </c>
      <c r="L283" s="45">
        <v>0</v>
      </c>
      <c r="M283" s="52">
        <v>0</v>
      </c>
      <c r="N283" s="48">
        <v>0</v>
      </c>
      <c r="O283" s="52">
        <v>0</v>
      </c>
      <c r="P283" s="52">
        <v>0</v>
      </c>
      <c r="Q283" s="73">
        <v>10785.5213</v>
      </c>
      <c r="R283" s="78">
        <v>2968.2144500000004</v>
      </c>
      <c r="S283" s="78">
        <v>7817.3068499999999</v>
      </c>
    </row>
    <row r="284" spans="1:19" ht="12" customHeight="1" x14ac:dyDescent="0.2">
      <c r="A284" s="55">
        <v>2025</v>
      </c>
      <c r="B284" s="56" t="s">
        <v>7</v>
      </c>
      <c r="C284" s="45">
        <v>1009.232</v>
      </c>
      <c r="D284" s="45">
        <v>8140.6637000000001</v>
      </c>
      <c r="E284" s="52">
        <v>0</v>
      </c>
      <c r="F284" s="52">
        <v>8140.6637000000001</v>
      </c>
      <c r="G284" s="48">
        <v>0</v>
      </c>
      <c r="H284" s="45">
        <v>0</v>
      </c>
      <c r="I284" s="45">
        <v>0</v>
      </c>
      <c r="J284" s="45">
        <v>0</v>
      </c>
      <c r="K284" s="45">
        <v>0</v>
      </c>
      <c r="L284" s="45">
        <v>0</v>
      </c>
      <c r="M284" s="52">
        <v>0</v>
      </c>
      <c r="N284" s="48">
        <v>4948.6422300000004</v>
      </c>
      <c r="O284" s="52">
        <v>4948.6422300000004</v>
      </c>
      <c r="P284" s="52">
        <v>0</v>
      </c>
      <c r="Q284" s="73">
        <v>14098.53793</v>
      </c>
      <c r="R284" s="78">
        <v>5957.8742300000004</v>
      </c>
      <c r="S284" s="78">
        <v>8140.6637000000001</v>
      </c>
    </row>
    <row r="285" spans="1:19" ht="12" customHeight="1" x14ac:dyDescent="0.2">
      <c r="A285" s="55">
        <v>2025</v>
      </c>
      <c r="B285" s="56" t="s">
        <v>8</v>
      </c>
      <c r="C285" s="45">
        <v>3151.3115400000002</v>
      </c>
      <c r="D285" s="45">
        <v>12038.41877</v>
      </c>
      <c r="E285" s="52">
        <v>4148.2799500000001</v>
      </c>
      <c r="F285" s="52">
        <v>7890.1388199999992</v>
      </c>
      <c r="G285" s="48">
        <v>0</v>
      </c>
      <c r="H285" s="45">
        <v>0</v>
      </c>
      <c r="I285" s="45">
        <v>0</v>
      </c>
      <c r="J285" s="45">
        <v>0</v>
      </c>
      <c r="K285" s="45">
        <v>0</v>
      </c>
      <c r="L285" s="45">
        <v>0</v>
      </c>
      <c r="M285" s="52">
        <v>0</v>
      </c>
      <c r="N285" s="48">
        <v>2046.8216200000002</v>
      </c>
      <c r="O285" s="52">
        <v>2046.8216200000002</v>
      </c>
      <c r="P285" s="52">
        <v>0</v>
      </c>
      <c r="Q285" s="73">
        <v>17236.551930000001</v>
      </c>
      <c r="R285" s="78">
        <v>9346.4131100000013</v>
      </c>
      <c r="S285" s="78">
        <v>7890.1388199999992</v>
      </c>
    </row>
    <row r="286" spans="1:19" ht="12" customHeight="1" x14ac:dyDescent="0.2">
      <c r="A286" s="55">
        <v>2025</v>
      </c>
      <c r="B286" s="56" t="s">
        <v>9</v>
      </c>
      <c r="C286" s="45">
        <v>4112.3976500000008</v>
      </c>
      <c r="D286" s="45">
        <v>10210.299150000001</v>
      </c>
      <c r="E286" s="52">
        <v>880.69758999999999</v>
      </c>
      <c r="F286" s="52">
        <v>9329.601560000001</v>
      </c>
      <c r="G286" s="48">
        <v>0</v>
      </c>
      <c r="H286" s="45">
        <v>0</v>
      </c>
      <c r="I286" s="45">
        <v>0</v>
      </c>
      <c r="J286" s="45">
        <v>0</v>
      </c>
      <c r="K286" s="45">
        <v>0</v>
      </c>
      <c r="L286" s="45">
        <v>0</v>
      </c>
      <c r="M286" s="52">
        <v>0</v>
      </c>
      <c r="N286" s="48">
        <v>3010.8199300000001</v>
      </c>
      <c r="O286" s="52">
        <v>3010.8199300000001</v>
      </c>
      <c r="P286" s="52">
        <v>0</v>
      </c>
      <c r="Q286" s="73">
        <v>17333.516730000003</v>
      </c>
      <c r="R286" s="78">
        <v>8003.9151700000011</v>
      </c>
      <c r="S286" s="78">
        <v>9329.601560000001</v>
      </c>
    </row>
    <row r="287" spans="1:19" ht="12" customHeight="1" x14ac:dyDescent="0.2">
      <c r="A287" s="55">
        <v>2025</v>
      </c>
      <c r="B287" s="56" t="s">
        <v>10</v>
      </c>
      <c r="C287" s="45">
        <v>0</v>
      </c>
      <c r="D287" s="45">
        <v>10092.752769999997</v>
      </c>
      <c r="E287" s="52">
        <v>970.05718999999999</v>
      </c>
      <c r="F287" s="52">
        <v>9122.6955799999978</v>
      </c>
      <c r="G287" s="48">
        <v>0</v>
      </c>
      <c r="H287" s="45">
        <v>0</v>
      </c>
      <c r="I287" s="45">
        <v>0</v>
      </c>
      <c r="J287" s="45">
        <v>0</v>
      </c>
      <c r="K287" s="45">
        <v>0</v>
      </c>
      <c r="L287" s="45">
        <v>0</v>
      </c>
      <c r="M287" s="52">
        <v>0</v>
      </c>
      <c r="N287" s="48">
        <v>1861.76865</v>
      </c>
      <c r="O287" s="52">
        <v>1861.76865</v>
      </c>
      <c r="P287" s="52">
        <v>0</v>
      </c>
      <c r="Q287" s="73">
        <v>11954.521419999997</v>
      </c>
      <c r="R287" s="78">
        <v>2831.82584</v>
      </c>
      <c r="S287" s="78">
        <v>9122.6955799999978</v>
      </c>
    </row>
    <row r="288" spans="1:19" ht="12" customHeight="1" x14ac:dyDescent="0.2">
      <c r="A288" s="55">
        <v>2025</v>
      </c>
      <c r="B288" s="56" t="s">
        <v>11</v>
      </c>
      <c r="C288" s="45">
        <v>2141.7457200000003</v>
      </c>
      <c r="D288" s="45">
        <v>10242.86196</v>
      </c>
      <c r="E288" s="52">
        <v>2902.7926200000002</v>
      </c>
      <c r="F288" s="52">
        <v>7340.06934</v>
      </c>
      <c r="G288" s="48">
        <v>0</v>
      </c>
      <c r="H288" s="45">
        <v>0</v>
      </c>
      <c r="I288" s="45">
        <v>1033.6419799999999</v>
      </c>
      <c r="J288" s="45">
        <v>0</v>
      </c>
      <c r="K288" s="45">
        <v>0</v>
      </c>
      <c r="L288" s="45">
        <v>0</v>
      </c>
      <c r="M288" s="52">
        <v>0</v>
      </c>
      <c r="N288" s="48">
        <v>3020.7073100000002</v>
      </c>
      <c r="O288" s="52">
        <v>3020.7073100000002</v>
      </c>
      <c r="P288" s="52">
        <v>0</v>
      </c>
      <c r="Q288" s="73">
        <v>16438.956969999999</v>
      </c>
      <c r="R288" s="78">
        <v>9098.8876300000011</v>
      </c>
      <c r="S288" s="78">
        <v>7340.06934</v>
      </c>
    </row>
    <row r="289" spans="1:19" ht="12" customHeight="1" x14ac:dyDescent="0.2">
      <c r="A289" s="55">
        <v>2025</v>
      </c>
      <c r="B289" s="56" t="s">
        <v>12</v>
      </c>
      <c r="C289" s="45">
        <v>1023.0934100000001</v>
      </c>
      <c r="D289" s="45">
        <v>13826.778760000001</v>
      </c>
      <c r="E289" s="52">
        <v>3770.0287799999996</v>
      </c>
      <c r="F289" s="52">
        <v>10056.749980000001</v>
      </c>
      <c r="G289" s="48">
        <v>0</v>
      </c>
      <c r="H289" s="45">
        <v>0</v>
      </c>
      <c r="I289" s="45">
        <v>0</v>
      </c>
      <c r="J289" s="45">
        <v>1128.8587399999999</v>
      </c>
      <c r="K289" s="45">
        <v>0</v>
      </c>
      <c r="L289" s="45">
        <v>0</v>
      </c>
      <c r="M289" s="52">
        <v>0</v>
      </c>
      <c r="N289" s="48">
        <v>2077.5693699999997</v>
      </c>
      <c r="O289" s="52">
        <v>2077.5693699999997</v>
      </c>
      <c r="P289" s="52">
        <v>0</v>
      </c>
      <c r="Q289" s="73">
        <v>18056.300279999999</v>
      </c>
      <c r="R289" s="78">
        <v>7999.5502999999999</v>
      </c>
      <c r="S289" s="78">
        <v>10056.749980000001</v>
      </c>
    </row>
    <row r="290" spans="1:19" ht="12" customHeight="1" x14ac:dyDescent="0.2">
      <c r="A290" s="55">
        <v>2025</v>
      </c>
      <c r="B290" s="56" t="s">
        <v>13</v>
      </c>
      <c r="C290" s="45">
        <v>2050.5729200000001</v>
      </c>
      <c r="D290" s="45">
        <v>13569.90179</v>
      </c>
      <c r="E290" s="52">
        <v>3898.8756800000001</v>
      </c>
      <c r="F290" s="52">
        <v>9671.0261100000007</v>
      </c>
      <c r="G290" s="48">
        <v>0</v>
      </c>
      <c r="H290" s="45">
        <v>685.27945999999997</v>
      </c>
      <c r="I290" s="45">
        <v>0</v>
      </c>
      <c r="J290" s="45">
        <v>0</v>
      </c>
      <c r="K290" s="45">
        <v>0</v>
      </c>
      <c r="L290" s="45">
        <v>0</v>
      </c>
      <c r="M290" s="52">
        <v>0</v>
      </c>
      <c r="N290" s="48">
        <v>1022.97515</v>
      </c>
      <c r="O290" s="52">
        <v>1022.97515</v>
      </c>
      <c r="P290" s="52">
        <v>0</v>
      </c>
      <c r="Q290" s="73">
        <v>17328.729319999999</v>
      </c>
      <c r="R290" s="78">
        <v>7657.7032099999997</v>
      </c>
      <c r="S290" s="78">
        <v>9671.0261100000007</v>
      </c>
    </row>
    <row r="291" spans="1:19" ht="12" customHeight="1" x14ac:dyDescent="0.2">
      <c r="A291" s="99">
        <v>2025</v>
      </c>
      <c r="B291" s="56" t="s">
        <v>14</v>
      </c>
      <c r="C291" s="45">
        <v>2053.7712700000002</v>
      </c>
      <c r="D291" s="45">
        <v>8993.8577699999987</v>
      </c>
      <c r="E291" s="52">
        <v>0</v>
      </c>
      <c r="F291" s="52">
        <v>8993.8577699999987</v>
      </c>
      <c r="G291" s="48">
        <v>0</v>
      </c>
      <c r="H291" s="45">
        <v>0</v>
      </c>
      <c r="I291" s="45">
        <v>0</v>
      </c>
      <c r="J291" s="45">
        <v>1086.20445</v>
      </c>
      <c r="K291" s="45">
        <v>0</v>
      </c>
      <c r="L291" s="45">
        <v>0</v>
      </c>
      <c r="M291" s="52">
        <v>0</v>
      </c>
      <c r="N291" s="48">
        <v>1879.73883</v>
      </c>
      <c r="O291" s="52">
        <v>1879.73883</v>
      </c>
      <c r="P291" s="52">
        <v>0</v>
      </c>
      <c r="Q291" s="73">
        <v>14013.572319999999</v>
      </c>
      <c r="R291" s="78">
        <v>5019.7145500000006</v>
      </c>
      <c r="S291" s="78">
        <v>8993.8577699999987</v>
      </c>
    </row>
    <row r="292" spans="1:19" ht="12" customHeight="1" x14ac:dyDescent="0.2">
      <c r="A292" s="99">
        <v>2025</v>
      </c>
      <c r="B292" s="56" t="s">
        <v>15</v>
      </c>
      <c r="C292" s="45">
        <v>20659.140550000004</v>
      </c>
      <c r="D292" s="45">
        <v>128502.10352999999</v>
      </c>
      <c r="E292" s="52">
        <v>21323.317010000002</v>
      </c>
      <c r="F292" s="52">
        <v>107178.78651999999</v>
      </c>
      <c r="G292" s="48">
        <v>979.07078999999999</v>
      </c>
      <c r="H292" s="45">
        <v>2489.6208299999998</v>
      </c>
      <c r="I292" s="45">
        <v>1033.6419799999999</v>
      </c>
      <c r="J292" s="45">
        <v>2215.0631899999998</v>
      </c>
      <c r="K292" s="45">
        <v>0</v>
      </c>
      <c r="L292" s="45">
        <v>0</v>
      </c>
      <c r="M292" s="52">
        <v>0</v>
      </c>
      <c r="N292" s="98">
        <v>27156.760180000001</v>
      </c>
      <c r="O292" s="52">
        <v>27156.760180000001</v>
      </c>
      <c r="P292" s="52">
        <v>0</v>
      </c>
      <c r="Q292" s="73">
        <v>183035.40105000001</v>
      </c>
      <c r="R292" s="78">
        <v>75856.614530000006</v>
      </c>
      <c r="S292" s="78">
        <v>107178.78651999999</v>
      </c>
    </row>
    <row r="293" spans="1:19" ht="12" customHeight="1" x14ac:dyDescent="0.2">
      <c r="A293" s="59">
        <v>2026</v>
      </c>
      <c r="B293" s="60" t="s">
        <v>3</v>
      </c>
      <c r="C293" s="45">
        <v>0</v>
      </c>
      <c r="D293" s="45">
        <v>10092.385219999998</v>
      </c>
      <c r="E293" s="52">
        <v>0</v>
      </c>
      <c r="F293" s="52">
        <v>10092.385219999998</v>
      </c>
      <c r="G293" s="48">
        <v>0</v>
      </c>
      <c r="H293" s="48">
        <v>888.32225000000005</v>
      </c>
      <c r="I293" s="45">
        <v>0</v>
      </c>
      <c r="J293" s="45">
        <v>0</v>
      </c>
      <c r="K293" s="45">
        <v>0</v>
      </c>
      <c r="L293" s="45">
        <v>0</v>
      </c>
      <c r="M293" s="45">
        <v>0</v>
      </c>
      <c r="N293" s="48">
        <v>920.77691000000004</v>
      </c>
      <c r="O293" s="52">
        <v>920.77691000000004</v>
      </c>
      <c r="P293" s="84">
        <v>0</v>
      </c>
      <c r="Q293" s="73">
        <v>11901.484379999998</v>
      </c>
      <c r="R293" s="78">
        <v>1809.0991600000002</v>
      </c>
      <c r="S293" s="78">
        <v>10092.385219999998</v>
      </c>
    </row>
    <row r="294" spans="1:19" ht="12" customHeight="1" x14ac:dyDescent="0.2">
      <c r="A294" s="59">
        <v>2026</v>
      </c>
      <c r="B294" s="60" t="s">
        <v>4</v>
      </c>
      <c r="C294" s="45">
        <v>2045.45598</v>
      </c>
      <c r="D294" s="45">
        <v>9150.5642599999992</v>
      </c>
      <c r="E294" s="52">
        <v>0</v>
      </c>
      <c r="F294" s="52">
        <v>9150.5642599999992</v>
      </c>
      <c r="G294" s="48">
        <v>994.38480000000004</v>
      </c>
      <c r="H294" s="48">
        <v>516.78258000000005</v>
      </c>
      <c r="I294" s="45">
        <v>0</v>
      </c>
      <c r="J294" s="45">
        <v>0</v>
      </c>
      <c r="K294" s="45">
        <v>0</v>
      </c>
      <c r="L294" s="45">
        <v>29.815099999999997</v>
      </c>
      <c r="M294" s="45">
        <v>0</v>
      </c>
      <c r="N294" s="48">
        <v>3841.4187199999997</v>
      </c>
      <c r="O294" s="52">
        <v>3841.4187199999997</v>
      </c>
      <c r="P294" s="84">
        <v>0</v>
      </c>
      <c r="Q294" s="73">
        <v>16578.421439999998</v>
      </c>
      <c r="R294" s="78">
        <v>7427.8571799999991</v>
      </c>
      <c r="S294" s="78">
        <v>9150.5642599999992</v>
      </c>
    </row>
    <row r="295" spans="1:19" ht="12" customHeight="1" x14ac:dyDescent="0.2">
      <c r="A295" s="59">
        <v>2026</v>
      </c>
      <c r="B295" s="60" t="s">
        <v>5</v>
      </c>
      <c r="C295" s="45">
        <v>0</v>
      </c>
      <c r="D295" s="45">
        <v>11372.808439999999</v>
      </c>
      <c r="E295" s="52">
        <v>1110.9644900000001</v>
      </c>
      <c r="F295" s="52">
        <v>10261.843949999999</v>
      </c>
      <c r="G295" s="48">
        <v>75.019670000000005</v>
      </c>
      <c r="H295" s="48">
        <v>521.48302000000001</v>
      </c>
      <c r="I295" s="45">
        <v>0</v>
      </c>
      <c r="J295" s="45">
        <v>0</v>
      </c>
      <c r="K295" s="45">
        <v>0</v>
      </c>
      <c r="L295" s="45">
        <v>649.15430000000003</v>
      </c>
      <c r="M295" s="45">
        <v>0</v>
      </c>
      <c r="N295" s="48">
        <v>2970.7232799999997</v>
      </c>
      <c r="O295" s="52">
        <v>2970.7232799999997</v>
      </c>
      <c r="P295" s="84">
        <v>0</v>
      </c>
      <c r="Q295" s="73">
        <v>15589.188709999999</v>
      </c>
      <c r="R295" s="78">
        <v>5327.344759999999</v>
      </c>
      <c r="S295" s="78">
        <v>10261.843949999999</v>
      </c>
    </row>
    <row r="296" spans="1:19" ht="12" customHeight="1" x14ac:dyDescent="0.2">
      <c r="A296" s="59">
        <v>2026</v>
      </c>
      <c r="B296" s="60" t="s">
        <v>6</v>
      </c>
      <c r="C296" s="45">
        <v>0</v>
      </c>
      <c r="D296" s="45">
        <v>9786.8744700000007</v>
      </c>
      <c r="E296" s="52">
        <v>0</v>
      </c>
      <c r="F296" s="52">
        <v>9786.8744700000007</v>
      </c>
      <c r="G296" s="48">
        <v>0</v>
      </c>
      <c r="H296" s="48">
        <v>0</v>
      </c>
      <c r="I296" s="45">
        <v>0</v>
      </c>
      <c r="J296" s="45">
        <v>128.86913999999999</v>
      </c>
      <c r="K296" s="45">
        <v>0</v>
      </c>
      <c r="L296" s="45">
        <v>88.117649999999998</v>
      </c>
      <c r="M296" s="45">
        <v>0</v>
      </c>
      <c r="N296" s="48">
        <v>3036.33815</v>
      </c>
      <c r="O296" s="52">
        <v>3036.33815</v>
      </c>
      <c r="P296" s="84">
        <v>0</v>
      </c>
      <c r="Q296" s="73">
        <v>13040.199410000001</v>
      </c>
      <c r="R296" s="78">
        <v>3253.32494</v>
      </c>
      <c r="S296" s="78">
        <v>9786.8744700000007</v>
      </c>
    </row>
    <row r="297" spans="1:19" ht="12" customHeight="1" x14ac:dyDescent="0.2">
      <c r="A297" s="59">
        <v>2026</v>
      </c>
      <c r="B297" s="60" t="s">
        <v>7</v>
      </c>
      <c r="C297" s="45">
        <v>1025.5705699999999</v>
      </c>
      <c r="D297" s="45">
        <v>13367.152889999999</v>
      </c>
      <c r="E297" s="52">
        <v>3001.74271</v>
      </c>
      <c r="F297" s="52">
        <v>10365.410179999999</v>
      </c>
      <c r="G297" s="48">
        <v>0</v>
      </c>
      <c r="H297" s="48">
        <v>0</v>
      </c>
      <c r="I297" s="45">
        <v>0</v>
      </c>
      <c r="J297" s="45">
        <v>0</v>
      </c>
      <c r="K297" s="45">
        <v>0</v>
      </c>
      <c r="L297" s="45">
        <v>1117.56133</v>
      </c>
      <c r="M297" s="45">
        <v>0</v>
      </c>
      <c r="N297" s="48">
        <v>0</v>
      </c>
      <c r="O297" s="52">
        <v>0</v>
      </c>
      <c r="P297" s="84">
        <v>0</v>
      </c>
      <c r="Q297" s="73">
        <v>15510.284789999998</v>
      </c>
      <c r="R297" s="78">
        <v>5144.8746099999998</v>
      </c>
      <c r="S297" s="78">
        <v>10365.410179999999</v>
      </c>
    </row>
    <row r="298" spans="1:19" ht="12" customHeight="1" x14ac:dyDescent="0.2">
      <c r="A298" s="59">
        <v>2026</v>
      </c>
      <c r="B298" s="60" t="s">
        <v>8</v>
      </c>
      <c r="C298" s="45">
        <v>0</v>
      </c>
      <c r="D298" s="45">
        <v>10459.95354</v>
      </c>
      <c r="E298" s="52">
        <v>482.13792000000007</v>
      </c>
      <c r="F298" s="52">
        <v>9977.8156200000012</v>
      </c>
      <c r="G298" s="48">
        <v>0</v>
      </c>
      <c r="H298" s="48">
        <v>0</v>
      </c>
      <c r="I298" s="45">
        <v>0</v>
      </c>
      <c r="J298" s="45">
        <v>0</v>
      </c>
      <c r="K298" s="45">
        <v>0</v>
      </c>
      <c r="L298" s="45">
        <v>0</v>
      </c>
      <c r="M298" s="45">
        <v>0</v>
      </c>
      <c r="N298" s="48">
        <v>3023.9176699999998</v>
      </c>
      <c r="O298" s="52">
        <v>3023.9176699999998</v>
      </c>
      <c r="P298" s="84">
        <v>0</v>
      </c>
      <c r="Q298" s="73">
        <v>13483.871210000001</v>
      </c>
      <c r="R298" s="78">
        <v>3506.0555899999999</v>
      </c>
      <c r="S298" s="78">
        <v>9977.8156200000012</v>
      </c>
    </row>
    <row r="299" spans="1:19" ht="12" customHeight="1" x14ac:dyDescent="0.2">
      <c r="A299" s="59">
        <v>2026</v>
      </c>
      <c r="B299" s="60" t="s">
        <v>9</v>
      </c>
      <c r="C299" s="45">
        <v>0</v>
      </c>
      <c r="D299" s="45">
        <v>10706.720869999999</v>
      </c>
      <c r="E299" s="52">
        <v>478.58678000000003</v>
      </c>
      <c r="F299" s="52">
        <v>10228.13409</v>
      </c>
      <c r="G299" s="48">
        <v>0</v>
      </c>
      <c r="H299" s="48">
        <v>713.25868000000003</v>
      </c>
      <c r="I299" s="45">
        <v>0</v>
      </c>
      <c r="J299" s="45">
        <v>0</v>
      </c>
      <c r="K299" s="45">
        <v>0</v>
      </c>
      <c r="L299" s="45">
        <v>0</v>
      </c>
      <c r="M299" s="45">
        <v>0</v>
      </c>
      <c r="N299" s="48">
        <v>3955.8803899999998</v>
      </c>
      <c r="O299" s="52">
        <v>3955.8803899999998</v>
      </c>
      <c r="P299" s="84">
        <v>0</v>
      </c>
      <c r="Q299" s="73">
        <v>15375.859939999998</v>
      </c>
      <c r="R299" s="78">
        <v>5147.7258499999998</v>
      </c>
      <c r="S299" s="78">
        <v>10228.13409</v>
      </c>
    </row>
    <row r="300" spans="1:19" ht="12" customHeight="1" x14ac:dyDescent="0.2">
      <c r="A300" s="59" t="s">
        <v>64</v>
      </c>
      <c r="B300" s="60" t="s">
        <v>64</v>
      </c>
      <c r="C300" s="45">
        <v>0</v>
      </c>
      <c r="D300" s="45">
        <v>0</v>
      </c>
      <c r="E300" s="52">
        <v>0</v>
      </c>
      <c r="F300" s="52">
        <v>0</v>
      </c>
      <c r="G300" s="48">
        <v>0</v>
      </c>
      <c r="H300" s="48">
        <v>0</v>
      </c>
      <c r="I300" s="45">
        <v>0</v>
      </c>
      <c r="J300" s="45">
        <v>0</v>
      </c>
      <c r="K300" s="45">
        <v>0</v>
      </c>
      <c r="L300" s="45">
        <v>0</v>
      </c>
      <c r="M300" s="45">
        <v>0</v>
      </c>
      <c r="N300" s="48">
        <v>0</v>
      </c>
      <c r="O300" s="52">
        <v>0</v>
      </c>
      <c r="P300" s="84">
        <v>0</v>
      </c>
      <c r="Q300" s="73">
        <v>0</v>
      </c>
      <c r="R300" s="78">
        <v>0</v>
      </c>
      <c r="S300" s="78">
        <v>0</v>
      </c>
    </row>
    <row r="301" spans="1:19" ht="12" customHeight="1" x14ac:dyDescent="0.2">
      <c r="A301" s="59" t="s">
        <v>64</v>
      </c>
      <c r="B301" s="60" t="s">
        <v>64</v>
      </c>
      <c r="C301" s="45">
        <v>0</v>
      </c>
      <c r="D301" s="45">
        <v>0</v>
      </c>
      <c r="E301" s="52">
        <v>0</v>
      </c>
      <c r="F301" s="52">
        <v>0</v>
      </c>
      <c r="G301" s="48">
        <v>0</v>
      </c>
      <c r="H301" s="48">
        <v>0</v>
      </c>
      <c r="I301" s="45">
        <v>0</v>
      </c>
      <c r="J301" s="45">
        <v>0</v>
      </c>
      <c r="K301" s="45">
        <v>0</v>
      </c>
      <c r="L301" s="45">
        <v>0</v>
      </c>
      <c r="M301" s="45">
        <v>0</v>
      </c>
      <c r="N301" s="48">
        <v>0</v>
      </c>
      <c r="O301" s="52">
        <v>0</v>
      </c>
      <c r="P301" s="84">
        <v>0</v>
      </c>
      <c r="Q301" s="73">
        <v>0</v>
      </c>
      <c r="R301" s="78">
        <v>0</v>
      </c>
      <c r="S301" s="78">
        <v>0</v>
      </c>
    </row>
    <row r="302" spans="1:19" ht="12" customHeight="1" x14ac:dyDescent="0.2">
      <c r="A302" s="59" t="s">
        <v>64</v>
      </c>
      <c r="B302" s="60" t="s">
        <v>64</v>
      </c>
      <c r="C302" s="45">
        <v>0</v>
      </c>
      <c r="D302" s="45">
        <v>0</v>
      </c>
      <c r="E302" s="52">
        <v>0</v>
      </c>
      <c r="F302" s="52">
        <v>0</v>
      </c>
      <c r="G302" s="48">
        <v>0</v>
      </c>
      <c r="H302" s="48">
        <v>0</v>
      </c>
      <c r="I302" s="45">
        <v>0</v>
      </c>
      <c r="J302" s="45">
        <v>0</v>
      </c>
      <c r="K302" s="45">
        <v>0</v>
      </c>
      <c r="L302" s="45">
        <v>0</v>
      </c>
      <c r="M302" s="45">
        <v>0</v>
      </c>
      <c r="N302" s="48">
        <v>0</v>
      </c>
      <c r="O302" s="52">
        <v>0</v>
      </c>
      <c r="P302" s="84">
        <v>0</v>
      </c>
      <c r="Q302" s="73">
        <v>0</v>
      </c>
      <c r="R302" s="78">
        <v>0</v>
      </c>
      <c r="S302" s="78">
        <v>0</v>
      </c>
    </row>
    <row r="303" spans="1:19" ht="12" customHeight="1" x14ac:dyDescent="0.2">
      <c r="A303" s="59" t="s">
        <v>64</v>
      </c>
      <c r="B303" s="60" t="s">
        <v>64</v>
      </c>
      <c r="C303" s="45">
        <v>0</v>
      </c>
      <c r="D303" s="45">
        <v>0</v>
      </c>
      <c r="E303" s="52">
        <v>0</v>
      </c>
      <c r="F303" s="52">
        <v>0</v>
      </c>
      <c r="G303" s="48">
        <v>0</v>
      </c>
      <c r="H303" s="48">
        <v>0</v>
      </c>
      <c r="I303" s="45">
        <v>0</v>
      </c>
      <c r="J303" s="45">
        <v>0</v>
      </c>
      <c r="K303" s="45">
        <v>0</v>
      </c>
      <c r="L303" s="45">
        <v>0</v>
      </c>
      <c r="M303" s="45">
        <v>0</v>
      </c>
      <c r="N303" s="48">
        <v>0</v>
      </c>
      <c r="O303" s="52">
        <v>0</v>
      </c>
      <c r="P303" s="84">
        <v>0</v>
      </c>
      <c r="Q303" s="73">
        <v>0</v>
      </c>
      <c r="R303" s="78">
        <v>0</v>
      </c>
      <c r="S303" s="78">
        <v>0</v>
      </c>
    </row>
    <row r="304" spans="1:19" ht="12" customHeight="1" x14ac:dyDescent="0.2">
      <c r="A304" s="59" t="s">
        <v>64</v>
      </c>
      <c r="B304" s="60" t="s">
        <v>64</v>
      </c>
      <c r="C304" s="45">
        <v>0</v>
      </c>
      <c r="D304" s="45">
        <v>0</v>
      </c>
      <c r="E304" s="52">
        <v>0</v>
      </c>
      <c r="F304" s="52">
        <v>0</v>
      </c>
      <c r="G304" s="48">
        <v>0</v>
      </c>
      <c r="H304" s="48">
        <v>0</v>
      </c>
      <c r="I304" s="45">
        <v>0</v>
      </c>
      <c r="J304" s="45">
        <v>0</v>
      </c>
      <c r="K304" s="45">
        <v>0</v>
      </c>
      <c r="L304" s="45">
        <v>0</v>
      </c>
      <c r="M304" s="45">
        <v>0</v>
      </c>
      <c r="N304" s="48">
        <v>0</v>
      </c>
      <c r="O304" s="52">
        <v>0</v>
      </c>
      <c r="P304" s="84">
        <v>0</v>
      </c>
      <c r="Q304" s="73">
        <v>0</v>
      </c>
      <c r="R304" s="78">
        <v>0</v>
      </c>
      <c r="S304" s="78">
        <v>0</v>
      </c>
    </row>
    <row r="305" spans="2:18" ht="12" customHeight="1" x14ac:dyDescent="0.2">
      <c r="B305" s="56"/>
      <c r="C305" s="45"/>
      <c r="D305" s="45"/>
      <c r="E305" s="52"/>
      <c r="F305" s="52"/>
      <c r="G305" s="48"/>
      <c r="H305" s="45"/>
      <c r="I305" s="45"/>
      <c r="J305" s="45"/>
      <c r="K305" s="45"/>
      <c r="L305" s="45"/>
      <c r="M305" s="52"/>
      <c r="N305" s="52"/>
      <c r="O305" s="83"/>
      <c r="P305" s="52"/>
      <c r="Q305" s="52"/>
      <c r="R305" s="52"/>
    </row>
    <row r="306" spans="2:18" ht="12" customHeight="1" x14ac:dyDescent="0.2">
      <c r="B306" s="56" t="s">
        <v>64</v>
      </c>
      <c r="C306" s="45"/>
      <c r="D306" s="45">
        <v>0</v>
      </c>
      <c r="E306" s="52">
        <v>0</v>
      </c>
      <c r="F306" s="52">
        <v>0</v>
      </c>
      <c r="G306" s="48">
        <v>0</v>
      </c>
      <c r="H306" s="45">
        <v>0</v>
      </c>
      <c r="I306" s="45">
        <v>0</v>
      </c>
      <c r="J306" s="45">
        <v>0</v>
      </c>
      <c r="K306" s="45"/>
      <c r="L306" s="45"/>
      <c r="M306" s="52">
        <v>0</v>
      </c>
      <c r="N306" s="52">
        <v>0</v>
      </c>
      <c r="O306" s="83">
        <v>0</v>
      </c>
      <c r="P306" s="52"/>
      <c r="Q306" s="52">
        <v>0</v>
      </c>
      <c r="R306" s="52">
        <v>0</v>
      </c>
    </row>
    <row r="307" spans="2:18" ht="12" customHeight="1" x14ac:dyDescent="0.2">
      <c r="B307" s="56" t="s">
        <v>64</v>
      </c>
      <c r="C307" s="45"/>
      <c r="D307" s="45">
        <v>0</v>
      </c>
      <c r="E307" s="52">
        <v>0</v>
      </c>
      <c r="F307" s="52">
        <v>0</v>
      </c>
      <c r="G307" s="48">
        <v>0</v>
      </c>
      <c r="H307" s="45">
        <v>0</v>
      </c>
      <c r="I307" s="45">
        <v>0</v>
      </c>
      <c r="J307" s="45">
        <v>0</v>
      </c>
      <c r="K307" s="45"/>
      <c r="L307" s="45"/>
      <c r="M307" s="52">
        <v>0</v>
      </c>
      <c r="N307" s="52">
        <v>0</v>
      </c>
      <c r="O307" s="83">
        <v>0</v>
      </c>
      <c r="P307" s="52"/>
      <c r="Q307" s="52">
        <v>0</v>
      </c>
      <c r="R307" s="52">
        <v>0</v>
      </c>
    </row>
    <row r="308" spans="2:18" ht="12" customHeight="1" x14ac:dyDescent="0.2">
      <c r="B308" s="56" t="s">
        <v>64</v>
      </c>
      <c r="C308" s="45"/>
      <c r="D308" s="45">
        <v>0</v>
      </c>
      <c r="E308" s="52">
        <v>0</v>
      </c>
      <c r="F308" s="52">
        <v>0</v>
      </c>
      <c r="G308" s="48">
        <v>0</v>
      </c>
      <c r="H308" s="45">
        <v>0</v>
      </c>
      <c r="I308" s="45">
        <v>0</v>
      </c>
      <c r="J308" s="45">
        <v>0</v>
      </c>
      <c r="K308" s="45"/>
      <c r="L308" s="45"/>
      <c r="M308" s="52">
        <v>0</v>
      </c>
      <c r="N308" s="52">
        <v>0</v>
      </c>
      <c r="O308" s="83">
        <v>0</v>
      </c>
      <c r="P308" s="52"/>
      <c r="Q308" s="52">
        <v>0</v>
      </c>
      <c r="R308" s="52">
        <v>0</v>
      </c>
    </row>
    <row r="309" spans="2:18" ht="12" customHeight="1" x14ac:dyDescent="0.2">
      <c r="B309" s="56" t="s">
        <v>64</v>
      </c>
      <c r="C309" s="45"/>
      <c r="D309" s="45">
        <v>0</v>
      </c>
      <c r="E309" s="52">
        <v>0</v>
      </c>
      <c r="F309" s="52">
        <v>0</v>
      </c>
      <c r="G309" s="48">
        <v>0</v>
      </c>
      <c r="H309" s="45">
        <v>0</v>
      </c>
      <c r="I309" s="45">
        <v>0</v>
      </c>
      <c r="J309" s="45">
        <v>0</v>
      </c>
      <c r="K309" s="45"/>
      <c r="L309" s="45"/>
      <c r="M309" s="52">
        <v>0</v>
      </c>
      <c r="N309" s="52">
        <v>0</v>
      </c>
      <c r="O309" s="83">
        <v>0</v>
      </c>
      <c r="P309" s="52"/>
      <c r="Q309" s="52">
        <v>0</v>
      </c>
      <c r="R309" s="52">
        <v>0</v>
      </c>
    </row>
    <row r="310" spans="2:18" ht="12" customHeight="1" x14ac:dyDescent="0.2">
      <c r="B310" s="56" t="s">
        <v>64</v>
      </c>
      <c r="C310" s="45"/>
      <c r="D310" s="45">
        <v>0</v>
      </c>
      <c r="E310" s="52">
        <v>0</v>
      </c>
      <c r="F310" s="52">
        <v>0</v>
      </c>
      <c r="G310" s="48">
        <v>0</v>
      </c>
      <c r="H310" s="45">
        <v>0</v>
      </c>
      <c r="I310" s="45">
        <v>0</v>
      </c>
      <c r="J310" s="45">
        <v>0</v>
      </c>
      <c r="K310" s="45"/>
      <c r="L310" s="45"/>
      <c r="M310" s="52">
        <v>0</v>
      </c>
      <c r="N310" s="52">
        <v>0</v>
      </c>
      <c r="O310" s="83">
        <v>0</v>
      </c>
      <c r="P310" s="52"/>
      <c r="Q310" s="52">
        <v>0</v>
      </c>
      <c r="R310" s="52">
        <v>0</v>
      </c>
    </row>
    <row r="311" spans="2:18" ht="12" customHeight="1" x14ac:dyDescent="0.2">
      <c r="B311" s="56" t="s">
        <v>64</v>
      </c>
      <c r="C311" s="45"/>
      <c r="D311" s="45">
        <v>0</v>
      </c>
      <c r="E311" s="52">
        <v>0</v>
      </c>
      <c r="F311" s="52">
        <v>0</v>
      </c>
      <c r="G311" s="48">
        <v>0</v>
      </c>
      <c r="H311" s="45">
        <v>0</v>
      </c>
      <c r="I311" s="45">
        <v>0</v>
      </c>
      <c r="J311" s="45">
        <v>0</v>
      </c>
      <c r="K311" s="45"/>
      <c r="L311" s="45"/>
      <c r="M311" s="52">
        <v>0</v>
      </c>
      <c r="N311" s="52">
        <v>0</v>
      </c>
      <c r="O311" s="83">
        <v>0</v>
      </c>
      <c r="P311" s="52"/>
      <c r="Q311" s="52">
        <v>0</v>
      </c>
      <c r="R311" s="52">
        <v>0</v>
      </c>
    </row>
    <row r="312" spans="2:18" x14ac:dyDescent="0.2">
      <c r="B312" s="56" t="s">
        <v>64</v>
      </c>
      <c r="C312" s="45"/>
      <c r="D312" s="45">
        <v>0</v>
      </c>
      <c r="E312" s="52">
        <v>0</v>
      </c>
      <c r="F312" s="52">
        <v>0</v>
      </c>
      <c r="G312" s="48">
        <v>0</v>
      </c>
      <c r="H312" s="45">
        <v>0</v>
      </c>
      <c r="I312" s="45">
        <v>0</v>
      </c>
      <c r="J312" s="45">
        <v>0</v>
      </c>
      <c r="K312" s="45"/>
      <c r="L312" s="45"/>
      <c r="M312" s="52">
        <v>0</v>
      </c>
      <c r="N312" s="52">
        <v>0</v>
      </c>
      <c r="O312" s="83">
        <v>0</v>
      </c>
      <c r="P312" s="52"/>
      <c r="Q312" s="52">
        <v>0</v>
      </c>
      <c r="R312" s="52">
        <v>0</v>
      </c>
    </row>
    <row r="313" spans="2:18" x14ac:dyDescent="0.2">
      <c r="B313" s="56" t="s">
        <v>64</v>
      </c>
      <c r="C313" s="45"/>
      <c r="D313" s="45">
        <v>0</v>
      </c>
      <c r="E313" s="52">
        <v>0</v>
      </c>
      <c r="F313" s="52">
        <v>0</v>
      </c>
      <c r="G313" s="48">
        <v>0</v>
      </c>
      <c r="H313" s="45">
        <v>0</v>
      </c>
      <c r="I313" s="45">
        <v>0</v>
      </c>
      <c r="J313" s="45">
        <v>0</v>
      </c>
      <c r="K313" s="45"/>
      <c r="L313" s="45"/>
      <c r="M313" s="52">
        <v>0</v>
      </c>
      <c r="N313" s="52">
        <v>0</v>
      </c>
      <c r="O313" s="83">
        <v>0</v>
      </c>
      <c r="P313" s="52"/>
      <c r="Q313" s="52">
        <v>0</v>
      </c>
      <c r="R313" s="52">
        <v>0</v>
      </c>
    </row>
    <row r="314" spans="2:18" x14ac:dyDescent="0.2">
      <c r="B314" s="56" t="s">
        <v>64</v>
      </c>
      <c r="C314" s="45"/>
      <c r="D314" s="45">
        <v>0</v>
      </c>
      <c r="E314" s="52">
        <v>0</v>
      </c>
      <c r="F314" s="52">
        <v>0</v>
      </c>
      <c r="G314" s="48">
        <v>0</v>
      </c>
      <c r="H314" s="45">
        <v>0</v>
      </c>
      <c r="I314" s="45">
        <v>0</v>
      </c>
      <c r="J314" s="45">
        <v>0</v>
      </c>
      <c r="K314" s="45"/>
      <c r="L314" s="45"/>
      <c r="M314" s="52">
        <v>0</v>
      </c>
      <c r="N314" s="52">
        <v>0</v>
      </c>
      <c r="O314" s="83">
        <v>0</v>
      </c>
      <c r="P314" s="52"/>
      <c r="Q314" s="52">
        <v>0</v>
      </c>
      <c r="R314" s="52">
        <v>0</v>
      </c>
    </row>
    <row r="315" spans="2:18" x14ac:dyDescent="0.2">
      <c r="B315" s="56" t="s">
        <v>64</v>
      </c>
      <c r="C315" s="45"/>
      <c r="D315" s="45">
        <v>0</v>
      </c>
      <c r="E315" s="52">
        <v>0</v>
      </c>
      <c r="F315" s="52">
        <v>0</v>
      </c>
      <c r="G315" s="48">
        <v>0</v>
      </c>
      <c r="H315" s="45">
        <v>0</v>
      </c>
      <c r="I315" s="45">
        <v>0</v>
      </c>
      <c r="J315" s="45">
        <v>0</v>
      </c>
      <c r="K315" s="45"/>
      <c r="L315" s="45"/>
      <c r="M315" s="52">
        <v>0</v>
      </c>
      <c r="N315" s="52">
        <v>0</v>
      </c>
      <c r="O315" s="83">
        <v>0</v>
      </c>
      <c r="P315" s="52"/>
      <c r="Q315" s="52">
        <v>0</v>
      </c>
      <c r="R315" s="52">
        <v>0</v>
      </c>
    </row>
    <row r="316" spans="2:18" x14ac:dyDescent="0.2">
      <c r="B316" s="56" t="s">
        <v>64</v>
      </c>
      <c r="C316" s="45"/>
      <c r="D316" s="45">
        <v>0</v>
      </c>
      <c r="E316" s="52">
        <v>0</v>
      </c>
      <c r="F316" s="52">
        <v>0</v>
      </c>
      <c r="G316" s="48">
        <v>0</v>
      </c>
      <c r="H316" s="45">
        <v>0</v>
      </c>
      <c r="I316" s="45">
        <v>0</v>
      </c>
      <c r="J316" s="45">
        <v>0</v>
      </c>
      <c r="K316" s="45"/>
      <c r="L316" s="45"/>
      <c r="M316" s="52">
        <v>0</v>
      </c>
      <c r="N316" s="52">
        <v>0</v>
      </c>
      <c r="O316" s="83">
        <v>0</v>
      </c>
      <c r="P316" s="52"/>
      <c r="Q316" s="52">
        <v>0</v>
      </c>
      <c r="R316" s="52">
        <v>0</v>
      </c>
    </row>
    <row r="317" spans="2:18" x14ac:dyDescent="0.2">
      <c r="B317" s="56" t="s">
        <v>64</v>
      </c>
      <c r="C317" s="45"/>
      <c r="D317" s="45">
        <v>0</v>
      </c>
      <c r="E317" s="52">
        <v>0</v>
      </c>
      <c r="F317" s="52">
        <v>0</v>
      </c>
      <c r="G317" s="48">
        <v>0</v>
      </c>
      <c r="H317" s="45">
        <v>0</v>
      </c>
      <c r="I317" s="45">
        <v>0</v>
      </c>
      <c r="J317" s="45">
        <v>0</v>
      </c>
      <c r="K317" s="45"/>
      <c r="L317" s="45"/>
      <c r="M317" s="52">
        <v>0</v>
      </c>
      <c r="N317" s="52">
        <v>0</v>
      </c>
      <c r="O317" s="83">
        <v>0</v>
      </c>
      <c r="P317" s="52"/>
      <c r="Q317" s="52">
        <v>0</v>
      </c>
      <c r="R317" s="52">
        <v>0</v>
      </c>
    </row>
    <row r="318" spans="2:18" x14ac:dyDescent="0.2">
      <c r="B318" s="56" t="s">
        <v>64</v>
      </c>
      <c r="C318" s="45"/>
      <c r="D318" s="45">
        <v>0</v>
      </c>
      <c r="E318" s="52">
        <v>0</v>
      </c>
      <c r="F318" s="52">
        <v>0</v>
      </c>
      <c r="G318" s="48">
        <v>0</v>
      </c>
      <c r="H318" s="45">
        <v>0</v>
      </c>
      <c r="I318" s="45">
        <v>0</v>
      </c>
      <c r="J318" s="45">
        <v>0</v>
      </c>
      <c r="K318" s="45"/>
      <c r="L318" s="45"/>
      <c r="M318" s="52">
        <v>0</v>
      </c>
      <c r="N318" s="52">
        <v>0</v>
      </c>
      <c r="O318" s="83">
        <v>0</v>
      </c>
      <c r="P318" s="52"/>
      <c r="Q318" s="52">
        <v>0</v>
      </c>
      <c r="R318" s="52">
        <v>0</v>
      </c>
    </row>
    <row r="319" spans="2:18" x14ac:dyDescent="0.2">
      <c r="B319" s="56" t="s">
        <v>64</v>
      </c>
      <c r="C319" s="45"/>
      <c r="D319" s="45">
        <v>0</v>
      </c>
      <c r="E319" s="52">
        <v>0</v>
      </c>
      <c r="F319" s="52">
        <v>0</v>
      </c>
      <c r="G319" s="48">
        <v>0</v>
      </c>
      <c r="H319" s="45">
        <v>0</v>
      </c>
      <c r="I319" s="45">
        <v>0</v>
      </c>
      <c r="J319" s="45">
        <v>0</v>
      </c>
      <c r="K319" s="45"/>
      <c r="L319" s="45"/>
      <c r="M319" s="52">
        <v>0</v>
      </c>
      <c r="N319" s="52">
        <v>0</v>
      </c>
      <c r="O319" s="83">
        <v>0</v>
      </c>
      <c r="P319" s="52"/>
      <c r="Q319" s="52">
        <v>0</v>
      </c>
      <c r="R319" s="52">
        <v>0</v>
      </c>
    </row>
    <row r="320" spans="2:18" x14ac:dyDescent="0.2">
      <c r="B320" s="56" t="s">
        <v>64</v>
      </c>
      <c r="C320" s="45"/>
      <c r="D320" s="45">
        <v>0</v>
      </c>
      <c r="E320" s="52">
        <v>0</v>
      </c>
      <c r="F320" s="52">
        <v>0</v>
      </c>
      <c r="G320" s="48">
        <v>0</v>
      </c>
      <c r="H320" s="45">
        <v>0</v>
      </c>
      <c r="I320" s="45">
        <v>0</v>
      </c>
      <c r="J320" s="45">
        <v>0</v>
      </c>
      <c r="K320" s="45"/>
      <c r="L320" s="45"/>
      <c r="M320" s="52">
        <v>0</v>
      </c>
      <c r="N320" s="52">
        <v>0</v>
      </c>
      <c r="O320" s="83">
        <v>0</v>
      </c>
      <c r="P320" s="52"/>
      <c r="Q320" s="52">
        <v>0</v>
      </c>
      <c r="R320" s="52">
        <v>0</v>
      </c>
    </row>
    <row r="321" spans="2:18" x14ac:dyDescent="0.2">
      <c r="B321" s="56" t="s">
        <v>64</v>
      </c>
      <c r="C321" s="45"/>
      <c r="D321" s="45">
        <v>0</v>
      </c>
      <c r="E321" s="52">
        <v>0</v>
      </c>
      <c r="F321" s="52">
        <v>0</v>
      </c>
      <c r="G321" s="48">
        <v>0</v>
      </c>
      <c r="H321" s="45">
        <v>0</v>
      </c>
      <c r="I321" s="45">
        <v>0</v>
      </c>
      <c r="J321" s="45">
        <v>0</v>
      </c>
      <c r="K321" s="45"/>
      <c r="L321" s="45"/>
      <c r="M321" s="52">
        <v>0</v>
      </c>
      <c r="N321" s="52">
        <v>0</v>
      </c>
      <c r="O321" s="83">
        <v>0</v>
      </c>
      <c r="P321" s="52"/>
      <c r="Q321" s="52">
        <v>0</v>
      </c>
      <c r="R321" s="52">
        <v>0</v>
      </c>
    </row>
    <row r="322" spans="2:18" x14ac:dyDescent="0.2">
      <c r="B322" s="56" t="s">
        <v>64</v>
      </c>
      <c r="C322" s="45"/>
      <c r="D322" s="45">
        <v>0</v>
      </c>
      <c r="E322" s="52">
        <v>0</v>
      </c>
      <c r="F322" s="52">
        <v>0</v>
      </c>
      <c r="G322" s="48">
        <v>0</v>
      </c>
      <c r="H322" s="45">
        <v>0</v>
      </c>
      <c r="I322" s="45">
        <v>0</v>
      </c>
      <c r="J322" s="45">
        <v>0</v>
      </c>
      <c r="K322" s="45"/>
      <c r="L322" s="45"/>
      <c r="M322" s="52">
        <v>0</v>
      </c>
      <c r="N322" s="52">
        <v>0</v>
      </c>
      <c r="O322" s="83">
        <v>0</v>
      </c>
      <c r="P322" s="52"/>
      <c r="Q322" s="52">
        <v>0</v>
      </c>
      <c r="R322" s="52">
        <v>0</v>
      </c>
    </row>
    <row r="323" spans="2:18" x14ac:dyDescent="0.2">
      <c r="B323" s="56" t="s">
        <v>64</v>
      </c>
      <c r="C323" s="45"/>
      <c r="D323" s="45">
        <v>0</v>
      </c>
      <c r="E323" s="52">
        <v>0</v>
      </c>
      <c r="F323" s="52">
        <v>0</v>
      </c>
      <c r="G323" s="48">
        <v>0</v>
      </c>
      <c r="H323" s="45">
        <v>0</v>
      </c>
      <c r="I323" s="45">
        <v>0</v>
      </c>
      <c r="J323" s="45">
        <v>0</v>
      </c>
      <c r="K323" s="45"/>
      <c r="L323" s="45"/>
      <c r="M323" s="52">
        <v>0</v>
      </c>
      <c r="N323" s="52">
        <v>0</v>
      </c>
      <c r="O323" s="83">
        <v>0</v>
      </c>
      <c r="P323" s="52"/>
      <c r="Q323" s="52">
        <v>0</v>
      </c>
      <c r="R323" s="52">
        <v>0</v>
      </c>
    </row>
    <row r="324" spans="2:18" x14ac:dyDescent="0.2">
      <c r="B324" s="56" t="s">
        <v>64</v>
      </c>
      <c r="C324" s="45"/>
      <c r="D324" s="45">
        <v>0</v>
      </c>
      <c r="E324" s="52">
        <v>0</v>
      </c>
      <c r="F324" s="52">
        <v>0</v>
      </c>
      <c r="G324" s="48">
        <v>0</v>
      </c>
      <c r="H324" s="45">
        <v>0</v>
      </c>
      <c r="I324" s="45">
        <v>0</v>
      </c>
      <c r="J324" s="45">
        <v>0</v>
      </c>
      <c r="K324" s="45"/>
      <c r="L324" s="45"/>
      <c r="M324" s="52">
        <v>0</v>
      </c>
      <c r="N324" s="52">
        <v>0</v>
      </c>
      <c r="O324" s="83">
        <v>0</v>
      </c>
      <c r="P324" s="52"/>
      <c r="Q324" s="52">
        <v>0</v>
      </c>
      <c r="R324" s="52">
        <v>0</v>
      </c>
    </row>
    <row r="325" spans="2:18" x14ac:dyDescent="0.2">
      <c r="B325" s="56" t="s">
        <v>64</v>
      </c>
      <c r="C325" s="45"/>
      <c r="D325" s="45">
        <v>0</v>
      </c>
      <c r="E325" s="52">
        <v>0</v>
      </c>
      <c r="F325" s="52">
        <v>0</v>
      </c>
      <c r="G325" s="48">
        <v>0</v>
      </c>
      <c r="H325" s="45">
        <v>0</v>
      </c>
      <c r="I325" s="45">
        <v>0</v>
      </c>
      <c r="J325" s="45">
        <v>0</v>
      </c>
      <c r="K325" s="45"/>
      <c r="L325" s="45"/>
      <c r="M325" s="52">
        <v>0</v>
      </c>
      <c r="N325" s="52">
        <v>0</v>
      </c>
      <c r="O325" s="83">
        <v>0</v>
      </c>
      <c r="P325" s="52"/>
      <c r="Q325" s="52">
        <v>0</v>
      </c>
      <c r="R325" s="52">
        <v>0</v>
      </c>
    </row>
    <row r="326" spans="2:18" x14ac:dyDescent="0.2">
      <c r="B326" s="56" t="s">
        <v>64</v>
      </c>
      <c r="C326" s="45"/>
      <c r="D326" s="45">
        <v>0</v>
      </c>
      <c r="E326" s="52">
        <v>0</v>
      </c>
      <c r="F326" s="52">
        <v>0</v>
      </c>
      <c r="G326" s="48">
        <v>0</v>
      </c>
      <c r="H326" s="45">
        <v>0</v>
      </c>
      <c r="I326" s="45">
        <v>0</v>
      </c>
      <c r="J326" s="45">
        <v>0</v>
      </c>
      <c r="K326" s="45"/>
      <c r="L326" s="45"/>
      <c r="M326" s="52">
        <v>0</v>
      </c>
      <c r="N326" s="52">
        <v>0</v>
      </c>
      <c r="O326" s="83">
        <v>0</v>
      </c>
      <c r="P326" s="52"/>
      <c r="Q326" s="52">
        <v>0</v>
      </c>
      <c r="R326" s="52">
        <v>0</v>
      </c>
    </row>
    <row r="327" spans="2:18" x14ac:dyDescent="0.2">
      <c r="B327" s="56" t="s">
        <v>64</v>
      </c>
      <c r="C327" s="45"/>
      <c r="D327" s="45">
        <v>0</v>
      </c>
      <c r="E327" s="52">
        <v>0</v>
      </c>
      <c r="F327" s="52">
        <v>0</v>
      </c>
      <c r="G327" s="48">
        <v>0</v>
      </c>
      <c r="H327" s="45">
        <v>0</v>
      </c>
      <c r="I327" s="45">
        <v>0</v>
      </c>
      <c r="J327" s="45">
        <v>0</v>
      </c>
      <c r="K327" s="45"/>
      <c r="L327" s="45"/>
      <c r="M327" s="52">
        <v>0</v>
      </c>
      <c r="N327" s="52">
        <v>0</v>
      </c>
      <c r="O327" s="83">
        <v>0</v>
      </c>
      <c r="P327" s="52"/>
      <c r="Q327" s="52">
        <v>0</v>
      </c>
      <c r="R327" s="52">
        <v>0</v>
      </c>
    </row>
    <row r="328" spans="2:18" x14ac:dyDescent="0.2">
      <c r="B328" s="56" t="s">
        <v>64</v>
      </c>
      <c r="C328" s="45"/>
      <c r="D328" s="45">
        <v>0</v>
      </c>
      <c r="E328" s="52">
        <v>0</v>
      </c>
      <c r="F328" s="52">
        <v>0</v>
      </c>
      <c r="G328" s="48">
        <v>0</v>
      </c>
      <c r="H328" s="45">
        <v>0</v>
      </c>
      <c r="I328" s="45">
        <v>0</v>
      </c>
      <c r="J328" s="45">
        <v>0</v>
      </c>
      <c r="K328" s="45"/>
      <c r="L328" s="45"/>
      <c r="M328" s="52">
        <v>0</v>
      </c>
      <c r="N328" s="52">
        <v>0</v>
      </c>
      <c r="O328" s="83">
        <v>0</v>
      </c>
      <c r="P328" s="52"/>
      <c r="Q328" s="52">
        <v>0</v>
      </c>
      <c r="R328" s="52">
        <v>0</v>
      </c>
    </row>
    <row r="329" spans="2:18" x14ac:dyDescent="0.2">
      <c r="B329" s="56" t="s">
        <v>64</v>
      </c>
      <c r="C329" s="45"/>
      <c r="D329" s="45">
        <v>0</v>
      </c>
      <c r="E329" s="52">
        <v>0</v>
      </c>
      <c r="F329" s="52">
        <v>0</v>
      </c>
      <c r="G329" s="48">
        <v>0</v>
      </c>
      <c r="H329" s="45">
        <v>0</v>
      </c>
      <c r="I329" s="45">
        <v>0</v>
      </c>
      <c r="J329" s="45">
        <v>0</v>
      </c>
      <c r="K329" s="45"/>
      <c r="L329" s="45"/>
      <c r="M329" s="52">
        <v>0</v>
      </c>
      <c r="N329" s="52">
        <v>0</v>
      </c>
      <c r="O329" s="83">
        <v>0</v>
      </c>
      <c r="P329" s="52"/>
      <c r="Q329" s="52">
        <v>0</v>
      </c>
      <c r="R329" s="52">
        <v>0</v>
      </c>
    </row>
    <row r="330" spans="2:18" x14ac:dyDescent="0.2">
      <c r="B330" s="56" t="s">
        <v>64</v>
      </c>
      <c r="C330" s="45"/>
      <c r="D330" s="45">
        <v>0</v>
      </c>
      <c r="E330" s="52">
        <v>0</v>
      </c>
      <c r="F330" s="52">
        <v>0</v>
      </c>
      <c r="G330" s="48">
        <v>0</v>
      </c>
      <c r="H330" s="45">
        <v>0</v>
      </c>
      <c r="I330" s="45">
        <v>0</v>
      </c>
      <c r="J330" s="45">
        <v>0</v>
      </c>
      <c r="K330" s="45"/>
      <c r="L330" s="45"/>
      <c r="M330" s="52">
        <v>0</v>
      </c>
      <c r="N330" s="52">
        <v>0</v>
      </c>
      <c r="O330" s="83">
        <v>0</v>
      </c>
      <c r="P330" s="52"/>
      <c r="Q330" s="52">
        <v>0</v>
      </c>
      <c r="R330" s="52">
        <v>0</v>
      </c>
    </row>
    <row r="331" spans="2:18" x14ac:dyDescent="0.2">
      <c r="B331" s="56" t="s">
        <v>64</v>
      </c>
      <c r="C331" s="45"/>
      <c r="D331" s="45">
        <v>0</v>
      </c>
      <c r="E331" s="52">
        <v>0</v>
      </c>
      <c r="F331" s="52">
        <v>0</v>
      </c>
      <c r="G331" s="48">
        <v>0</v>
      </c>
      <c r="H331" s="45">
        <v>0</v>
      </c>
      <c r="I331" s="45">
        <v>0</v>
      </c>
      <c r="J331" s="45">
        <v>0</v>
      </c>
      <c r="K331" s="45"/>
      <c r="L331" s="45"/>
      <c r="M331" s="52">
        <v>0</v>
      </c>
      <c r="N331" s="52">
        <v>0</v>
      </c>
      <c r="O331" s="83">
        <v>0</v>
      </c>
      <c r="P331" s="52"/>
      <c r="Q331" s="52">
        <v>0</v>
      </c>
      <c r="R331" s="52">
        <v>0</v>
      </c>
    </row>
    <row r="332" spans="2:18" x14ac:dyDescent="0.2">
      <c r="B332" s="56" t="s">
        <v>64</v>
      </c>
      <c r="C332" s="45"/>
      <c r="D332" s="45">
        <v>0</v>
      </c>
      <c r="E332" s="52">
        <v>0</v>
      </c>
      <c r="F332" s="52">
        <v>0</v>
      </c>
      <c r="G332" s="48">
        <v>0</v>
      </c>
      <c r="H332" s="45">
        <v>0</v>
      </c>
      <c r="I332" s="45">
        <v>0</v>
      </c>
      <c r="J332" s="45">
        <v>0</v>
      </c>
      <c r="K332" s="45"/>
      <c r="L332" s="45"/>
      <c r="M332" s="52">
        <v>0</v>
      </c>
      <c r="N332" s="52">
        <v>0</v>
      </c>
      <c r="O332" s="83">
        <v>0</v>
      </c>
      <c r="P332" s="52"/>
      <c r="Q332" s="52">
        <v>0</v>
      </c>
      <c r="R332" s="52">
        <v>0</v>
      </c>
    </row>
    <row r="333" spans="2:18" x14ac:dyDescent="0.2">
      <c r="B333" s="56" t="s">
        <v>64</v>
      </c>
      <c r="C333" s="45"/>
      <c r="D333" s="45">
        <v>0</v>
      </c>
      <c r="E333" s="52">
        <v>0</v>
      </c>
      <c r="F333" s="52">
        <v>0</v>
      </c>
      <c r="G333" s="48">
        <v>0</v>
      </c>
      <c r="H333" s="45">
        <v>0</v>
      </c>
      <c r="I333" s="45">
        <v>0</v>
      </c>
      <c r="J333" s="45">
        <v>0</v>
      </c>
      <c r="K333" s="45"/>
      <c r="L333" s="45"/>
      <c r="M333" s="52">
        <v>0</v>
      </c>
      <c r="N333" s="52">
        <v>0</v>
      </c>
      <c r="O333" s="83">
        <v>0</v>
      </c>
      <c r="P333" s="52"/>
      <c r="Q333" s="52">
        <v>0</v>
      </c>
      <c r="R333" s="52">
        <v>0</v>
      </c>
    </row>
    <row r="334" spans="2:18" x14ac:dyDescent="0.2">
      <c r="B334" s="56" t="s">
        <v>64</v>
      </c>
      <c r="C334" s="45"/>
      <c r="D334" s="45">
        <v>0</v>
      </c>
      <c r="E334" s="52">
        <v>0</v>
      </c>
      <c r="F334" s="52">
        <v>0</v>
      </c>
      <c r="G334" s="48">
        <v>0</v>
      </c>
      <c r="H334" s="45">
        <v>0</v>
      </c>
      <c r="I334" s="45">
        <v>0</v>
      </c>
      <c r="J334" s="45">
        <v>0</v>
      </c>
      <c r="K334" s="45"/>
      <c r="L334" s="45"/>
      <c r="M334" s="52">
        <v>0</v>
      </c>
      <c r="N334" s="52">
        <v>0</v>
      </c>
      <c r="O334" s="83">
        <v>0</v>
      </c>
      <c r="P334" s="52"/>
      <c r="Q334" s="52">
        <v>0</v>
      </c>
      <c r="R334" s="52">
        <v>0</v>
      </c>
    </row>
    <row r="335" spans="2:18" x14ac:dyDescent="0.2">
      <c r="B335" s="56" t="s">
        <v>64</v>
      </c>
      <c r="C335" s="45"/>
      <c r="D335" s="45">
        <v>0</v>
      </c>
      <c r="E335" s="52">
        <v>0</v>
      </c>
      <c r="F335" s="52">
        <v>0</v>
      </c>
      <c r="G335" s="48">
        <v>0</v>
      </c>
      <c r="H335" s="45">
        <v>0</v>
      </c>
      <c r="I335" s="45">
        <v>0</v>
      </c>
      <c r="J335" s="45">
        <v>0</v>
      </c>
      <c r="K335" s="45"/>
      <c r="L335" s="45"/>
      <c r="M335" s="52">
        <v>0</v>
      </c>
      <c r="N335" s="52">
        <v>0</v>
      </c>
      <c r="O335" s="83">
        <v>0</v>
      </c>
      <c r="P335" s="52"/>
      <c r="Q335" s="52">
        <v>0</v>
      </c>
      <c r="R335" s="52">
        <v>0</v>
      </c>
    </row>
    <row r="336" spans="2:18" x14ac:dyDescent="0.2">
      <c r="B336" s="56" t="s">
        <v>64</v>
      </c>
      <c r="C336" s="45"/>
      <c r="D336" s="45">
        <v>0</v>
      </c>
      <c r="E336" s="52">
        <v>0</v>
      </c>
      <c r="F336" s="52">
        <v>0</v>
      </c>
      <c r="G336" s="48">
        <v>0</v>
      </c>
      <c r="H336" s="45">
        <v>0</v>
      </c>
      <c r="I336" s="45">
        <v>0</v>
      </c>
      <c r="J336" s="45">
        <v>0</v>
      </c>
      <c r="K336" s="45"/>
      <c r="L336" s="45"/>
      <c r="M336" s="52">
        <v>0</v>
      </c>
      <c r="N336" s="52">
        <v>0</v>
      </c>
      <c r="O336" s="83">
        <v>0</v>
      </c>
      <c r="P336" s="52"/>
      <c r="Q336" s="52">
        <v>0</v>
      </c>
      <c r="R336" s="52">
        <v>0</v>
      </c>
    </row>
    <row r="337" spans="2:18" x14ac:dyDescent="0.2">
      <c r="B337" s="56" t="s">
        <v>64</v>
      </c>
      <c r="C337" s="45"/>
      <c r="D337" s="45">
        <v>0</v>
      </c>
      <c r="E337" s="52">
        <v>0</v>
      </c>
      <c r="F337" s="52">
        <v>0</v>
      </c>
      <c r="G337" s="48">
        <v>0</v>
      </c>
      <c r="H337" s="45">
        <v>0</v>
      </c>
      <c r="I337" s="45">
        <v>0</v>
      </c>
      <c r="J337" s="45">
        <v>0</v>
      </c>
      <c r="K337" s="45"/>
      <c r="L337" s="45"/>
      <c r="M337" s="52">
        <v>0</v>
      </c>
      <c r="N337" s="52">
        <v>0</v>
      </c>
      <c r="O337" s="83">
        <v>0</v>
      </c>
      <c r="P337" s="52"/>
      <c r="Q337" s="52">
        <v>0</v>
      </c>
      <c r="R337" s="52">
        <v>0</v>
      </c>
    </row>
    <row r="338" spans="2:18" x14ac:dyDescent="0.2">
      <c r="B338" s="56" t="s">
        <v>64</v>
      </c>
      <c r="C338" s="45"/>
      <c r="D338" s="45">
        <v>0</v>
      </c>
      <c r="E338" s="52">
        <v>0</v>
      </c>
      <c r="F338" s="52">
        <v>0</v>
      </c>
      <c r="G338" s="48">
        <v>0</v>
      </c>
      <c r="H338" s="45">
        <v>0</v>
      </c>
      <c r="I338" s="45">
        <v>0</v>
      </c>
      <c r="J338" s="45">
        <v>0</v>
      </c>
      <c r="K338" s="45"/>
      <c r="L338" s="45"/>
      <c r="M338" s="52">
        <v>0</v>
      </c>
      <c r="N338" s="52">
        <v>0</v>
      </c>
      <c r="O338" s="83">
        <v>0</v>
      </c>
      <c r="P338" s="52"/>
      <c r="Q338" s="52">
        <v>0</v>
      </c>
      <c r="R338" s="52">
        <v>0</v>
      </c>
    </row>
    <row r="339" spans="2:18" x14ac:dyDescent="0.2">
      <c r="B339" s="56" t="s">
        <v>64</v>
      </c>
      <c r="C339" s="45"/>
      <c r="D339" s="45">
        <v>0</v>
      </c>
      <c r="E339" s="52">
        <v>0</v>
      </c>
      <c r="F339" s="52">
        <v>0</v>
      </c>
      <c r="G339" s="48">
        <v>0</v>
      </c>
      <c r="H339" s="45">
        <v>0</v>
      </c>
      <c r="I339" s="45">
        <v>0</v>
      </c>
      <c r="J339" s="45">
        <v>0</v>
      </c>
      <c r="K339" s="45"/>
      <c r="L339" s="45"/>
      <c r="M339" s="52">
        <v>0</v>
      </c>
      <c r="N339" s="52">
        <v>0</v>
      </c>
      <c r="O339" s="83">
        <v>0</v>
      </c>
      <c r="P339" s="52"/>
      <c r="Q339" s="52">
        <v>0</v>
      </c>
      <c r="R339" s="52">
        <v>0</v>
      </c>
    </row>
    <row r="340" spans="2:18" x14ac:dyDescent="0.2">
      <c r="B340" s="56" t="s">
        <v>64</v>
      </c>
      <c r="C340" s="45"/>
      <c r="D340" s="45">
        <v>0</v>
      </c>
      <c r="E340" s="52">
        <v>0</v>
      </c>
      <c r="F340" s="52">
        <v>0</v>
      </c>
      <c r="G340" s="48">
        <v>0</v>
      </c>
      <c r="H340" s="45">
        <v>0</v>
      </c>
      <c r="I340" s="45">
        <v>0</v>
      </c>
      <c r="J340" s="45">
        <v>0</v>
      </c>
      <c r="K340" s="45"/>
      <c r="L340" s="45"/>
      <c r="M340" s="52">
        <v>0</v>
      </c>
      <c r="N340" s="52">
        <v>0</v>
      </c>
      <c r="O340" s="83">
        <v>0</v>
      </c>
      <c r="P340" s="52"/>
      <c r="Q340" s="52">
        <v>0</v>
      </c>
      <c r="R340" s="52">
        <v>0</v>
      </c>
    </row>
    <row r="341" spans="2:18" x14ac:dyDescent="0.2">
      <c r="B341" s="56" t="s">
        <v>64</v>
      </c>
      <c r="C341" s="45"/>
      <c r="D341" s="45">
        <v>0</v>
      </c>
      <c r="E341" s="52">
        <v>0</v>
      </c>
      <c r="F341" s="52">
        <v>0</v>
      </c>
      <c r="G341" s="48">
        <v>0</v>
      </c>
      <c r="H341" s="45">
        <v>0</v>
      </c>
      <c r="I341" s="45">
        <v>0</v>
      </c>
      <c r="J341" s="45">
        <v>0</v>
      </c>
      <c r="K341" s="45"/>
      <c r="L341" s="45"/>
      <c r="M341" s="52">
        <v>0</v>
      </c>
      <c r="N341" s="52">
        <v>0</v>
      </c>
      <c r="O341" s="83">
        <v>0</v>
      </c>
      <c r="P341" s="52"/>
      <c r="Q341" s="52">
        <v>0</v>
      </c>
      <c r="R341" s="52">
        <v>0</v>
      </c>
    </row>
    <row r="342" spans="2:18" x14ac:dyDescent="0.2">
      <c r="B342" s="56" t="s">
        <v>64</v>
      </c>
      <c r="C342" s="45"/>
      <c r="D342" s="45">
        <v>0</v>
      </c>
      <c r="E342" s="52">
        <v>0</v>
      </c>
      <c r="F342" s="52">
        <v>0</v>
      </c>
      <c r="G342" s="48">
        <v>0</v>
      </c>
      <c r="H342" s="45">
        <v>0</v>
      </c>
      <c r="I342" s="45">
        <v>0</v>
      </c>
      <c r="J342" s="45">
        <v>0</v>
      </c>
      <c r="K342" s="45"/>
      <c r="L342" s="45"/>
      <c r="M342" s="52">
        <v>0</v>
      </c>
      <c r="N342" s="52">
        <v>0</v>
      </c>
      <c r="O342" s="83">
        <v>0</v>
      </c>
      <c r="P342" s="52"/>
      <c r="Q342" s="52">
        <v>0</v>
      </c>
      <c r="R342" s="52">
        <v>0</v>
      </c>
    </row>
    <row r="343" spans="2:18" x14ac:dyDescent="0.2">
      <c r="B343" s="56" t="s">
        <v>64</v>
      </c>
      <c r="C343" s="45"/>
      <c r="D343" s="45">
        <v>0</v>
      </c>
      <c r="E343" s="52">
        <v>0</v>
      </c>
      <c r="F343" s="52">
        <v>0</v>
      </c>
      <c r="G343" s="48">
        <v>0</v>
      </c>
      <c r="H343" s="45">
        <v>0</v>
      </c>
      <c r="I343" s="45">
        <v>0</v>
      </c>
      <c r="J343" s="45">
        <v>0</v>
      </c>
      <c r="K343" s="45"/>
      <c r="L343" s="45"/>
      <c r="M343" s="52">
        <v>0</v>
      </c>
      <c r="N343" s="52">
        <v>0</v>
      </c>
      <c r="O343" s="83">
        <v>0</v>
      </c>
      <c r="P343" s="52"/>
      <c r="Q343" s="52">
        <v>0</v>
      </c>
      <c r="R343" s="52">
        <v>0</v>
      </c>
    </row>
    <row r="344" spans="2:18" x14ac:dyDescent="0.2">
      <c r="B344" s="56" t="s">
        <v>64</v>
      </c>
      <c r="C344" s="45"/>
      <c r="D344" s="45">
        <v>0</v>
      </c>
      <c r="E344" s="52">
        <v>0</v>
      </c>
      <c r="F344" s="52">
        <v>0</v>
      </c>
      <c r="G344" s="48">
        <v>0</v>
      </c>
      <c r="H344" s="45">
        <v>0</v>
      </c>
      <c r="I344" s="45">
        <v>0</v>
      </c>
      <c r="J344" s="45">
        <v>0</v>
      </c>
      <c r="K344" s="45"/>
      <c r="L344" s="45"/>
      <c r="M344" s="52">
        <v>0</v>
      </c>
      <c r="N344" s="52">
        <v>0</v>
      </c>
      <c r="O344" s="83">
        <v>0</v>
      </c>
      <c r="P344" s="52"/>
      <c r="Q344" s="52">
        <v>0</v>
      </c>
      <c r="R344" s="52">
        <v>0</v>
      </c>
    </row>
    <row r="345" spans="2:18" x14ac:dyDescent="0.2">
      <c r="B345" s="56" t="s">
        <v>64</v>
      </c>
      <c r="C345" s="45"/>
      <c r="D345" s="45">
        <v>0</v>
      </c>
      <c r="E345" s="52">
        <v>0</v>
      </c>
      <c r="F345" s="52">
        <v>0</v>
      </c>
      <c r="G345" s="48">
        <v>0</v>
      </c>
      <c r="H345" s="45">
        <v>0</v>
      </c>
      <c r="I345" s="45">
        <v>0</v>
      </c>
      <c r="J345" s="45">
        <v>0</v>
      </c>
      <c r="K345" s="45"/>
      <c r="L345" s="45"/>
      <c r="M345" s="52">
        <v>0</v>
      </c>
      <c r="N345" s="52">
        <v>0</v>
      </c>
      <c r="O345" s="83">
        <v>0</v>
      </c>
      <c r="P345" s="52"/>
      <c r="Q345" s="52">
        <v>0</v>
      </c>
      <c r="R345" s="52">
        <v>0</v>
      </c>
    </row>
    <row r="346" spans="2:18" x14ac:dyDescent="0.2">
      <c r="B346" s="56" t="s">
        <v>64</v>
      </c>
      <c r="C346" s="45"/>
      <c r="D346" s="45">
        <v>0</v>
      </c>
      <c r="E346" s="52">
        <v>0</v>
      </c>
      <c r="F346" s="52">
        <v>0</v>
      </c>
      <c r="G346" s="48">
        <v>0</v>
      </c>
      <c r="H346" s="45">
        <v>0</v>
      </c>
      <c r="I346" s="45">
        <v>0</v>
      </c>
      <c r="J346" s="45">
        <v>0</v>
      </c>
      <c r="K346" s="45"/>
      <c r="L346" s="45"/>
      <c r="M346" s="52">
        <v>0</v>
      </c>
      <c r="N346" s="52">
        <v>0</v>
      </c>
      <c r="O346" s="83">
        <v>0</v>
      </c>
      <c r="P346" s="52"/>
      <c r="Q346" s="52">
        <v>0</v>
      </c>
      <c r="R346" s="52">
        <v>0</v>
      </c>
    </row>
    <row r="347" spans="2:18" x14ac:dyDescent="0.2">
      <c r="B347" s="56" t="s">
        <v>64</v>
      </c>
      <c r="C347" s="45"/>
      <c r="D347" s="45">
        <v>0</v>
      </c>
      <c r="E347" s="52">
        <v>0</v>
      </c>
      <c r="F347" s="52">
        <v>0</v>
      </c>
      <c r="G347" s="48">
        <v>0</v>
      </c>
      <c r="H347" s="45">
        <v>0</v>
      </c>
      <c r="I347" s="45">
        <v>0</v>
      </c>
      <c r="J347" s="45">
        <v>0</v>
      </c>
      <c r="K347" s="45"/>
      <c r="L347" s="45"/>
      <c r="M347" s="52">
        <v>0</v>
      </c>
      <c r="N347" s="52">
        <v>0</v>
      </c>
      <c r="O347" s="83">
        <v>0</v>
      </c>
      <c r="P347" s="52"/>
      <c r="Q347" s="52">
        <v>0</v>
      </c>
      <c r="R347" s="52">
        <v>0</v>
      </c>
    </row>
    <row r="348" spans="2:18" x14ac:dyDescent="0.2">
      <c r="B348" s="56" t="s">
        <v>64</v>
      </c>
      <c r="C348" s="45"/>
      <c r="D348" s="45">
        <v>0</v>
      </c>
      <c r="E348" s="52">
        <v>0</v>
      </c>
      <c r="F348" s="52">
        <v>0</v>
      </c>
      <c r="G348" s="48">
        <v>0</v>
      </c>
      <c r="H348" s="45">
        <v>0</v>
      </c>
      <c r="I348" s="45">
        <v>0</v>
      </c>
      <c r="J348" s="45">
        <v>0</v>
      </c>
      <c r="K348" s="45"/>
      <c r="L348" s="45"/>
      <c r="M348" s="52">
        <v>0</v>
      </c>
      <c r="N348" s="52">
        <v>0</v>
      </c>
      <c r="O348" s="83">
        <v>0</v>
      </c>
      <c r="P348" s="52"/>
      <c r="Q348" s="52">
        <v>0</v>
      </c>
      <c r="R348" s="52">
        <v>0</v>
      </c>
    </row>
    <row r="349" spans="2:18" x14ac:dyDescent="0.2">
      <c r="B349" s="56" t="s">
        <v>64</v>
      </c>
      <c r="C349" s="45"/>
      <c r="D349" s="45">
        <v>0</v>
      </c>
      <c r="E349" s="52">
        <v>0</v>
      </c>
      <c r="F349" s="52">
        <v>0</v>
      </c>
      <c r="G349" s="48">
        <v>0</v>
      </c>
      <c r="H349" s="45">
        <v>0</v>
      </c>
      <c r="I349" s="45">
        <v>0</v>
      </c>
      <c r="J349" s="45">
        <v>0</v>
      </c>
      <c r="K349" s="45"/>
      <c r="L349" s="45"/>
      <c r="M349" s="52">
        <v>0</v>
      </c>
      <c r="N349" s="52">
        <v>0</v>
      </c>
      <c r="O349" s="83">
        <v>0</v>
      </c>
      <c r="P349" s="52"/>
      <c r="Q349" s="52">
        <v>0</v>
      </c>
      <c r="R349" s="52">
        <v>0</v>
      </c>
    </row>
    <row r="350" spans="2:18" x14ac:dyDescent="0.2">
      <c r="B350" s="56" t="s">
        <v>64</v>
      </c>
      <c r="C350" s="45"/>
      <c r="D350" s="45">
        <v>0</v>
      </c>
      <c r="E350" s="52">
        <v>0</v>
      </c>
      <c r="F350" s="52">
        <v>0</v>
      </c>
      <c r="G350" s="48">
        <v>0</v>
      </c>
      <c r="H350" s="45">
        <v>0</v>
      </c>
      <c r="I350" s="45">
        <v>0</v>
      </c>
      <c r="J350" s="45">
        <v>0</v>
      </c>
      <c r="K350" s="45"/>
      <c r="L350" s="45"/>
      <c r="M350" s="52">
        <v>0</v>
      </c>
      <c r="N350" s="52">
        <v>0</v>
      </c>
      <c r="O350" s="83">
        <v>0</v>
      </c>
      <c r="P350" s="52"/>
      <c r="Q350" s="52">
        <v>0</v>
      </c>
      <c r="R350" s="52">
        <v>0</v>
      </c>
    </row>
    <row r="351" spans="2:18" x14ac:dyDescent="0.2">
      <c r="B351" s="56" t="s">
        <v>64</v>
      </c>
      <c r="C351" s="45"/>
      <c r="D351" s="45">
        <v>0</v>
      </c>
      <c r="E351" s="52">
        <v>0</v>
      </c>
      <c r="F351" s="52">
        <v>0</v>
      </c>
      <c r="G351" s="48">
        <v>0</v>
      </c>
      <c r="H351" s="45">
        <v>0</v>
      </c>
      <c r="I351" s="45">
        <v>0</v>
      </c>
      <c r="J351" s="45">
        <v>0</v>
      </c>
      <c r="K351" s="45"/>
      <c r="L351" s="45"/>
      <c r="M351" s="52">
        <v>0</v>
      </c>
      <c r="N351" s="52">
        <v>0</v>
      </c>
      <c r="O351" s="83">
        <v>0</v>
      </c>
      <c r="P351" s="52"/>
      <c r="Q351" s="52">
        <v>0</v>
      </c>
      <c r="R351" s="52">
        <v>0</v>
      </c>
    </row>
    <row r="352" spans="2:18" x14ac:dyDescent="0.2">
      <c r="B352" s="56" t="s">
        <v>64</v>
      </c>
      <c r="C352" s="45"/>
      <c r="D352" s="45">
        <v>0</v>
      </c>
      <c r="E352" s="52">
        <v>0</v>
      </c>
      <c r="F352" s="52">
        <v>0</v>
      </c>
      <c r="G352" s="48">
        <v>0</v>
      </c>
      <c r="H352" s="45">
        <v>0</v>
      </c>
      <c r="I352" s="45">
        <v>0</v>
      </c>
      <c r="J352" s="45">
        <v>0</v>
      </c>
      <c r="K352" s="45"/>
      <c r="L352" s="45"/>
      <c r="M352" s="52">
        <v>0</v>
      </c>
      <c r="N352" s="52">
        <v>0</v>
      </c>
      <c r="O352" s="83">
        <v>0</v>
      </c>
      <c r="P352" s="52"/>
      <c r="Q352" s="52">
        <v>0</v>
      </c>
      <c r="R352" s="52">
        <v>0</v>
      </c>
    </row>
    <row r="353" spans="2:18" x14ac:dyDescent="0.2">
      <c r="B353" s="56" t="s">
        <v>64</v>
      </c>
      <c r="C353" s="45"/>
      <c r="D353" s="45">
        <v>0</v>
      </c>
      <c r="E353" s="52">
        <v>0</v>
      </c>
      <c r="F353" s="52">
        <v>0</v>
      </c>
      <c r="G353" s="48">
        <v>0</v>
      </c>
      <c r="H353" s="45">
        <v>0</v>
      </c>
      <c r="I353" s="45">
        <v>0</v>
      </c>
      <c r="J353" s="45">
        <v>0</v>
      </c>
      <c r="K353" s="45"/>
      <c r="L353" s="45"/>
      <c r="M353" s="52">
        <v>0</v>
      </c>
      <c r="N353" s="52">
        <v>0</v>
      </c>
      <c r="O353" s="83">
        <v>0</v>
      </c>
      <c r="P353" s="52"/>
      <c r="Q353" s="52">
        <v>0</v>
      </c>
      <c r="R353" s="52">
        <v>0</v>
      </c>
    </row>
    <row r="354" spans="2:18" x14ac:dyDescent="0.2">
      <c r="B354" s="56" t="s">
        <v>64</v>
      </c>
      <c r="C354" s="45"/>
      <c r="D354" s="45">
        <v>0</v>
      </c>
      <c r="E354" s="52">
        <v>0</v>
      </c>
      <c r="F354" s="52">
        <v>0</v>
      </c>
      <c r="G354" s="48">
        <v>0</v>
      </c>
      <c r="H354" s="45">
        <v>0</v>
      </c>
      <c r="I354" s="45">
        <v>0</v>
      </c>
      <c r="J354" s="45">
        <v>0</v>
      </c>
      <c r="K354" s="45"/>
      <c r="L354" s="45"/>
      <c r="M354" s="52">
        <v>0</v>
      </c>
      <c r="N354" s="52">
        <v>0</v>
      </c>
      <c r="O354" s="83">
        <v>0</v>
      </c>
      <c r="P354" s="52"/>
      <c r="Q354" s="52">
        <v>0</v>
      </c>
      <c r="R354" s="52">
        <v>0</v>
      </c>
    </row>
    <row r="355" spans="2:18" x14ac:dyDescent="0.2">
      <c r="B355" s="56" t="s">
        <v>64</v>
      </c>
      <c r="C355" s="45"/>
      <c r="D355" s="45">
        <v>0</v>
      </c>
      <c r="E355" s="52">
        <v>0</v>
      </c>
      <c r="F355" s="52">
        <v>0</v>
      </c>
      <c r="G355" s="48">
        <v>0</v>
      </c>
      <c r="H355" s="45">
        <v>0</v>
      </c>
      <c r="I355" s="45">
        <v>0</v>
      </c>
      <c r="J355" s="45">
        <v>0</v>
      </c>
      <c r="K355" s="45"/>
      <c r="L355" s="45"/>
      <c r="M355" s="52">
        <v>0</v>
      </c>
      <c r="N355" s="52">
        <v>0</v>
      </c>
      <c r="O355" s="83">
        <v>0</v>
      </c>
      <c r="P355" s="52"/>
      <c r="Q355" s="52">
        <v>0</v>
      </c>
      <c r="R355" s="52">
        <v>0</v>
      </c>
    </row>
    <row r="356" spans="2:18" x14ac:dyDescent="0.2">
      <c r="B356" s="56" t="s">
        <v>64</v>
      </c>
      <c r="C356" s="45"/>
      <c r="D356" s="45">
        <v>0</v>
      </c>
      <c r="E356" s="52">
        <v>0</v>
      </c>
      <c r="F356" s="52">
        <v>0</v>
      </c>
      <c r="G356" s="48">
        <v>0</v>
      </c>
      <c r="H356" s="45">
        <v>0</v>
      </c>
      <c r="I356" s="45">
        <v>0</v>
      </c>
      <c r="J356" s="45">
        <v>0</v>
      </c>
      <c r="K356" s="45"/>
      <c r="L356" s="45"/>
      <c r="M356" s="52">
        <v>0</v>
      </c>
      <c r="N356" s="52">
        <v>0</v>
      </c>
      <c r="O356" s="83">
        <v>0</v>
      </c>
      <c r="P356" s="52"/>
      <c r="Q356" s="52">
        <v>0</v>
      </c>
      <c r="R356" s="52">
        <v>0</v>
      </c>
    </row>
    <row r="357" spans="2:18" x14ac:dyDescent="0.2">
      <c r="B357" s="56" t="s">
        <v>64</v>
      </c>
      <c r="C357" s="45"/>
      <c r="D357" s="45">
        <v>0</v>
      </c>
      <c r="E357" s="52">
        <v>0</v>
      </c>
      <c r="F357" s="52">
        <v>0</v>
      </c>
      <c r="G357" s="48">
        <v>0</v>
      </c>
      <c r="H357" s="45">
        <v>0</v>
      </c>
      <c r="I357" s="45">
        <v>0</v>
      </c>
      <c r="J357" s="45">
        <v>0</v>
      </c>
      <c r="K357" s="45"/>
      <c r="L357" s="45"/>
      <c r="M357" s="52">
        <v>0</v>
      </c>
      <c r="N357" s="52">
        <v>0</v>
      </c>
      <c r="O357" s="83">
        <v>0</v>
      </c>
      <c r="P357" s="52"/>
      <c r="Q357" s="52">
        <v>0</v>
      </c>
      <c r="R357" s="52">
        <v>0</v>
      </c>
    </row>
    <row r="358" spans="2:18" x14ac:dyDescent="0.2">
      <c r="B358" s="56" t="s">
        <v>64</v>
      </c>
      <c r="C358" s="45"/>
      <c r="D358" s="45">
        <v>0</v>
      </c>
      <c r="E358" s="52">
        <v>0</v>
      </c>
      <c r="F358" s="52">
        <v>0</v>
      </c>
      <c r="G358" s="48">
        <v>0</v>
      </c>
      <c r="H358" s="45">
        <v>0</v>
      </c>
      <c r="I358" s="45">
        <v>0</v>
      </c>
      <c r="J358" s="45">
        <v>0</v>
      </c>
      <c r="K358" s="45"/>
      <c r="L358" s="45"/>
      <c r="M358" s="52">
        <v>0</v>
      </c>
      <c r="N358" s="52">
        <v>0</v>
      </c>
      <c r="O358" s="83">
        <v>0</v>
      </c>
      <c r="P358" s="52"/>
      <c r="Q358" s="52">
        <v>0</v>
      </c>
      <c r="R358" s="52">
        <v>0</v>
      </c>
    </row>
    <row r="359" spans="2:18" x14ac:dyDescent="0.2">
      <c r="B359" s="56" t="s">
        <v>64</v>
      </c>
      <c r="C359" s="45"/>
      <c r="D359" s="45">
        <v>0</v>
      </c>
      <c r="E359" s="52">
        <v>0</v>
      </c>
      <c r="F359" s="52">
        <v>0</v>
      </c>
      <c r="G359" s="48">
        <v>0</v>
      </c>
      <c r="H359" s="45">
        <v>0</v>
      </c>
      <c r="I359" s="45">
        <v>0</v>
      </c>
      <c r="J359" s="45">
        <v>0</v>
      </c>
      <c r="K359" s="45"/>
      <c r="L359" s="45"/>
      <c r="M359" s="52">
        <v>0</v>
      </c>
      <c r="N359" s="52">
        <v>0</v>
      </c>
      <c r="O359" s="83">
        <v>0</v>
      </c>
      <c r="P359" s="52"/>
      <c r="Q359" s="52">
        <v>0</v>
      </c>
      <c r="R359" s="52">
        <v>0</v>
      </c>
    </row>
    <row r="360" spans="2:18" x14ac:dyDescent="0.2">
      <c r="B360" s="56" t="s">
        <v>64</v>
      </c>
      <c r="C360" s="45"/>
      <c r="D360" s="45">
        <v>0</v>
      </c>
      <c r="E360" s="52">
        <v>0</v>
      </c>
      <c r="F360" s="52">
        <v>0</v>
      </c>
      <c r="G360" s="48">
        <v>0</v>
      </c>
      <c r="H360" s="45">
        <v>0</v>
      </c>
      <c r="I360" s="45">
        <v>0</v>
      </c>
      <c r="J360" s="45">
        <v>0</v>
      </c>
      <c r="K360" s="45"/>
      <c r="L360" s="45"/>
      <c r="M360" s="52">
        <v>0</v>
      </c>
      <c r="N360" s="52">
        <v>0</v>
      </c>
      <c r="O360" s="83">
        <v>0</v>
      </c>
      <c r="P360" s="52"/>
      <c r="Q360" s="52">
        <v>0</v>
      </c>
      <c r="R360" s="52">
        <v>0</v>
      </c>
    </row>
    <row r="361" spans="2:18" x14ac:dyDescent="0.2">
      <c r="B361" s="56" t="s">
        <v>64</v>
      </c>
      <c r="C361" s="45"/>
      <c r="D361" s="45">
        <v>0</v>
      </c>
      <c r="E361" s="52">
        <v>0</v>
      </c>
      <c r="F361" s="52">
        <v>0</v>
      </c>
      <c r="G361" s="48">
        <v>0</v>
      </c>
      <c r="H361" s="45">
        <v>0</v>
      </c>
      <c r="I361" s="45">
        <v>0</v>
      </c>
      <c r="J361" s="45">
        <v>0</v>
      </c>
      <c r="K361" s="45"/>
      <c r="L361" s="45"/>
      <c r="M361" s="52">
        <v>0</v>
      </c>
      <c r="N361" s="52">
        <v>0</v>
      </c>
      <c r="O361" s="83">
        <v>0</v>
      </c>
      <c r="P361" s="52"/>
      <c r="Q361" s="52">
        <v>0</v>
      </c>
      <c r="R361" s="52">
        <v>0</v>
      </c>
    </row>
    <row r="362" spans="2:18" x14ac:dyDescent="0.2">
      <c r="B362" s="56" t="s">
        <v>64</v>
      </c>
      <c r="C362" s="45"/>
      <c r="D362" s="45">
        <v>0</v>
      </c>
      <c r="E362" s="52">
        <v>0</v>
      </c>
      <c r="F362" s="52">
        <v>0</v>
      </c>
      <c r="G362" s="48">
        <v>0</v>
      </c>
      <c r="H362" s="45">
        <v>0</v>
      </c>
      <c r="I362" s="45">
        <v>0</v>
      </c>
      <c r="J362" s="45">
        <v>0</v>
      </c>
      <c r="K362" s="45"/>
      <c r="L362" s="45"/>
      <c r="M362" s="52">
        <v>0</v>
      </c>
      <c r="N362" s="52">
        <v>0</v>
      </c>
      <c r="O362" s="83">
        <v>0</v>
      </c>
      <c r="P362" s="52"/>
      <c r="Q362" s="52">
        <v>0</v>
      </c>
      <c r="R362" s="52">
        <v>0</v>
      </c>
    </row>
    <row r="363" spans="2:18" x14ac:dyDescent="0.2">
      <c r="B363" s="56" t="s">
        <v>64</v>
      </c>
      <c r="C363" s="45"/>
      <c r="D363" s="45">
        <v>0</v>
      </c>
      <c r="E363" s="52">
        <v>0</v>
      </c>
      <c r="F363" s="52">
        <v>0</v>
      </c>
      <c r="G363" s="48">
        <v>0</v>
      </c>
      <c r="H363" s="45">
        <v>0</v>
      </c>
      <c r="I363" s="45">
        <v>0</v>
      </c>
      <c r="J363" s="45">
        <v>0</v>
      </c>
      <c r="K363" s="45"/>
      <c r="L363" s="45"/>
      <c r="M363" s="52">
        <v>0</v>
      </c>
      <c r="N363" s="52">
        <v>0</v>
      </c>
      <c r="O363" s="83">
        <v>0</v>
      </c>
      <c r="P363" s="52"/>
      <c r="Q363" s="52">
        <v>0</v>
      </c>
      <c r="R363" s="52">
        <v>0</v>
      </c>
    </row>
    <row r="364" spans="2:18" x14ac:dyDescent="0.2">
      <c r="B364" s="56" t="s">
        <v>64</v>
      </c>
      <c r="C364" s="45"/>
      <c r="D364" s="45">
        <v>0</v>
      </c>
      <c r="E364" s="52">
        <v>0</v>
      </c>
      <c r="F364" s="52">
        <v>0</v>
      </c>
      <c r="G364" s="48">
        <v>0</v>
      </c>
      <c r="H364" s="45">
        <v>0</v>
      </c>
      <c r="I364" s="45">
        <v>0</v>
      </c>
      <c r="J364" s="45">
        <v>0</v>
      </c>
      <c r="K364" s="45"/>
      <c r="L364" s="45"/>
      <c r="M364" s="52">
        <v>0</v>
      </c>
      <c r="N364" s="52">
        <v>0</v>
      </c>
      <c r="O364" s="83">
        <v>0</v>
      </c>
      <c r="P364" s="52"/>
      <c r="Q364" s="52">
        <v>0</v>
      </c>
      <c r="R364" s="52">
        <v>0</v>
      </c>
    </row>
    <row r="365" spans="2:18" x14ac:dyDescent="0.2">
      <c r="B365" s="56" t="s">
        <v>64</v>
      </c>
      <c r="C365" s="45"/>
      <c r="D365" s="45">
        <v>0</v>
      </c>
      <c r="E365" s="52">
        <v>0</v>
      </c>
      <c r="F365" s="52">
        <v>0</v>
      </c>
      <c r="G365" s="48">
        <v>0</v>
      </c>
      <c r="H365" s="45">
        <v>0</v>
      </c>
      <c r="I365" s="45">
        <v>0</v>
      </c>
      <c r="J365" s="45">
        <v>0</v>
      </c>
      <c r="K365" s="45"/>
      <c r="L365" s="45"/>
      <c r="M365" s="52">
        <v>0</v>
      </c>
      <c r="N365" s="52">
        <v>0</v>
      </c>
      <c r="O365" s="83">
        <v>0</v>
      </c>
      <c r="P365" s="52"/>
      <c r="Q365" s="52">
        <v>0</v>
      </c>
      <c r="R365" s="52">
        <v>0</v>
      </c>
    </row>
    <row r="366" spans="2:18" x14ac:dyDescent="0.2">
      <c r="B366" s="56" t="s">
        <v>64</v>
      </c>
      <c r="C366" s="45"/>
      <c r="D366" s="45">
        <v>0</v>
      </c>
      <c r="E366" s="52">
        <v>0</v>
      </c>
      <c r="F366" s="52">
        <v>0</v>
      </c>
      <c r="G366" s="48">
        <v>0</v>
      </c>
      <c r="H366" s="45">
        <v>0</v>
      </c>
      <c r="I366" s="45">
        <v>0</v>
      </c>
      <c r="J366" s="45">
        <v>0</v>
      </c>
      <c r="K366" s="45"/>
      <c r="L366" s="45"/>
      <c r="M366" s="52">
        <v>0</v>
      </c>
      <c r="N366" s="52">
        <v>0</v>
      </c>
      <c r="O366" s="83">
        <v>0</v>
      </c>
      <c r="P366" s="52"/>
      <c r="Q366" s="52">
        <v>0</v>
      </c>
      <c r="R366" s="52">
        <v>0</v>
      </c>
    </row>
    <row r="367" spans="2:18" x14ac:dyDescent="0.2">
      <c r="B367" s="56" t="s">
        <v>64</v>
      </c>
      <c r="C367" s="45"/>
      <c r="D367" s="45">
        <v>0</v>
      </c>
      <c r="E367" s="52">
        <v>0</v>
      </c>
      <c r="F367" s="52">
        <v>0</v>
      </c>
      <c r="G367" s="48">
        <v>0</v>
      </c>
      <c r="H367" s="45">
        <v>0</v>
      </c>
      <c r="I367" s="45">
        <v>0</v>
      </c>
      <c r="J367" s="45">
        <v>0</v>
      </c>
      <c r="K367" s="45"/>
      <c r="L367" s="45"/>
      <c r="M367" s="52">
        <v>0</v>
      </c>
      <c r="N367" s="52">
        <v>0</v>
      </c>
      <c r="O367" s="83">
        <v>0</v>
      </c>
      <c r="P367" s="52"/>
      <c r="Q367" s="52">
        <v>0</v>
      </c>
      <c r="R367" s="52">
        <v>0</v>
      </c>
    </row>
    <row r="368" spans="2:18" x14ac:dyDescent="0.2">
      <c r="B368" s="56" t="s">
        <v>64</v>
      </c>
      <c r="C368" s="45"/>
      <c r="D368" s="45">
        <v>0</v>
      </c>
      <c r="E368" s="52">
        <v>0</v>
      </c>
      <c r="F368" s="52">
        <v>0</v>
      </c>
      <c r="G368" s="48">
        <v>0</v>
      </c>
      <c r="H368" s="45">
        <v>0</v>
      </c>
      <c r="I368" s="45">
        <v>0</v>
      </c>
      <c r="J368" s="45">
        <v>0</v>
      </c>
      <c r="K368" s="45"/>
      <c r="L368" s="45"/>
      <c r="M368" s="52">
        <v>0</v>
      </c>
      <c r="N368" s="52">
        <v>0</v>
      </c>
      <c r="O368" s="83">
        <v>0</v>
      </c>
      <c r="P368" s="52"/>
      <c r="Q368" s="52">
        <v>0</v>
      </c>
      <c r="R368" s="52">
        <v>0</v>
      </c>
    </row>
    <row r="369" spans="2:18" x14ac:dyDescent="0.2">
      <c r="B369" s="56" t="s">
        <v>64</v>
      </c>
      <c r="C369" s="45"/>
      <c r="D369" s="45">
        <v>0</v>
      </c>
      <c r="E369" s="52">
        <v>0</v>
      </c>
      <c r="F369" s="52">
        <v>0</v>
      </c>
      <c r="G369" s="48">
        <v>0</v>
      </c>
      <c r="H369" s="45">
        <v>0</v>
      </c>
      <c r="I369" s="45">
        <v>0</v>
      </c>
      <c r="J369" s="45">
        <v>0</v>
      </c>
      <c r="K369" s="45"/>
      <c r="L369" s="45"/>
      <c r="M369" s="52">
        <v>0</v>
      </c>
      <c r="N369" s="52">
        <v>0</v>
      </c>
      <c r="O369" s="45">
        <v>0</v>
      </c>
      <c r="P369" s="52"/>
      <c r="Q369" s="52">
        <v>0</v>
      </c>
      <c r="R369" s="52">
        <v>0</v>
      </c>
    </row>
    <row r="370" spans="2:18" x14ac:dyDescent="0.2">
      <c r="B370" s="56" t="s">
        <v>64</v>
      </c>
      <c r="C370" s="45"/>
      <c r="D370" s="45">
        <v>0</v>
      </c>
      <c r="E370" s="52">
        <v>0</v>
      </c>
      <c r="F370" s="52">
        <v>0</v>
      </c>
      <c r="G370" s="48">
        <v>0</v>
      </c>
      <c r="H370" s="45">
        <v>0</v>
      </c>
      <c r="I370" s="45">
        <v>0</v>
      </c>
      <c r="J370" s="45">
        <v>0</v>
      </c>
      <c r="K370" s="45"/>
      <c r="L370" s="45"/>
      <c r="M370" s="52">
        <v>0</v>
      </c>
      <c r="N370" s="52">
        <v>0</v>
      </c>
      <c r="O370" s="45">
        <v>0</v>
      </c>
      <c r="P370" s="52"/>
      <c r="Q370" s="52">
        <v>0</v>
      </c>
      <c r="R370" s="52">
        <v>0</v>
      </c>
    </row>
    <row r="371" spans="2:18" x14ac:dyDescent="0.2">
      <c r="B371" s="56" t="s">
        <v>64</v>
      </c>
      <c r="C371" s="45"/>
      <c r="D371" s="45">
        <v>0</v>
      </c>
      <c r="E371" s="52">
        <v>0</v>
      </c>
      <c r="F371" s="52">
        <v>0</v>
      </c>
      <c r="G371" s="48">
        <v>0</v>
      </c>
      <c r="H371" s="45">
        <v>0</v>
      </c>
      <c r="I371" s="45">
        <v>0</v>
      </c>
      <c r="J371" s="45">
        <v>0</v>
      </c>
      <c r="K371" s="45"/>
      <c r="L371" s="45"/>
      <c r="M371" s="52">
        <v>0</v>
      </c>
      <c r="N371" s="52">
        <v>0</v>
      </c>
      <c r="O371" s="45">
        <v>0</v>
      </c>
      <c r="P371" s="52"/>
      <c r="Q371" s="52">
        <v>0</v>
      </c>
      <c r="R371" s="52">
        <v>0</v>
      </c>
    </row>
    <row r="372" spans="2:18" x14ac:dyDescent="0.2">
      <c r="B372" s="56" t="s">
        <v>64</v>
      </c>
      <c r="C372" s="45"/>
      <c r="D372" s="45">
        <v>0</v>
      </c>
      <c r="E372" s="52">
        <v>0</v>
      </c>
      <c r="F372" s="52">
        <v>0</v>
      </c>
      <c r="G372" s="48">
        <v>0</v>
      </c>
      <c r="H372" s="45">
        <v>0</v>
      </c>
      <c r="I372" s="45">
        <v>0</v>
      </c>
      <c r="J372" s="45">
        <v>0</v>
      </c>
      <c r="K372" s="45"/>
      <c r="L372" s="45"/>
      <c r="M372" s="52">
        <v>0</v>
      </c>
      <c r="N372" s="52">
        <v>0</v>
      </c>
      <c r="O372" s="45">
        <v>0</v>
      </c>
      <c r="P372" s="52"/>
      <c r="Q372" s="52">
        <v>0</v>
      </c>
      <c r="R372" s="52">
        <v>0</v>
      </c>
    </row>
    <row r="373" spans="2:18" x14ac:dyDescent="0.2">
      <c r="B373" s="56" t="s">
        <v>64</v>
      </c>
      <c r="C373" s="45"/>
      <c r="D373" s="45">
        <v>0</v>
      </c>
      <c r="E373" s="52">
        <v>0</v>
      </c>
      <c r="F373" s="52">
        <v>0</v>
      </c>
      <c r="G373" s="48">
        <v>0</v>
      </c>
      <c r="H373" s="45">
        <v>0</v>
      </c>
      <c r="I373" s="45">
        <v>0</v>
      </c>
      <c r="J373" s="45">
        <v>0</v>
      </c>
      <c r="K373" s="45"/>
      <c r="L373" s="45"/>
      <c r="M373" s="52">
        <v>0</v>
      </c>
      <c r="N373" s="52">
        <v>0</v>
      </c>
      <c r="O373" s="45">
        <v>0</v>
      </c>
      <c r="P373" s="52"/>
      <c r="Q373" s="52">
        <v>0</v>
      </c>
      <c r="R373" s="52">
        <v>0</v>
      </c>
    </row>
    <row r="374" spans="2:18" x14ac:dyDescent="0.2">
      <c r="B374" s="56" t="s">
        <v>64</v>
      </c>
      <c r="C374" s="45"/>
      <c r="D374" s="45">
        <v>0</v>
      </c>
      <c r="E374" s="52">
        <v>0</v>
      </c>
      <c r="F374" s="52">
        <v>0</v>
      </c>
      <c r="G374" s="48">
        <v>0</v>
      </c>
      <c r="H374" s="45">
        <v>0</v>
      </c>
      <c r="I374" s="45">
        <v>0</v>
      </c>
      <c r="J374" s="45">
        <v>0</v>
      </c>
      <c r="K374" s="45"/>
      <c r="L374" s="45"/>
      <c r="M374" s="52">
        <v>0</v>
      </c>
      <c r="N374" s="52">
        <v>0</v>
      </c>
      <c r="O374" s="45">
        <v>0</v>
      </c>
      <c r="P374" s="52"/>
      <c r="Q374" s="52">
        <v>0</v>
      </c>
      <c r="R374" s="52">
        <v>0</v>
      </c>
    </row>
    <row r="375" spans="2:18" x14ac:dyDescent="0.2">
      <c r="B375" s="56" t="s">
        <v>64</v>
      </c>
      <c r="C375" s="45"/>
      <c r="D375" s="45">
        <v>0</v>
      </c>
      <c r="E375" s="52">
        <v>0</v>
      </c>
      <c r="F375" s="52">
        <v>0</v>
      </c>
      <c r="G375" s="48">
        <v>0</v>
      </c>
      <c r="H375" s="45">
        <v>0</v>
      </c>
      <c r="I375" s="45">
        <v>0</v>
      </c>
      <c r="J375" s="45">
        <v>0</v>
      </c>
      <c r="K375" s="45"/>
      <c r="L375" s="45"/>
      <c r="M375" s="52">
        <v>0</v>
      </c>
      <c r="N375" s="52">
        <v>0</v>
      </c>
      <c r="O375" s="45">
        <v>0</v>
      </c>
      <c r="P375" s="52"/>
      <c r="Q375" s="52">
        <v>0</v>
      </c>
      <c r="R375" s="52">
        <v>0</v>
      </c>
    </row>
    <row r="376" spans="2:18" x14ac:dyDescent="0.2">
      <c r="B376" s="56" t="s">
        <v>64</v>
      </c>
      <c r="C376" s="45"/>
      <c r="D376" s="45">
        <v>0</v>
      </c>
      <c r="E376" s="52">
        <v>0</v>
      </c>
      <c r="F376" s="52">
        <v>0</v>
      </c>
      <c r="G376" s="48">
        <v>0</v>
      </c>
      <c r="H376" s="45">
        <v>0</v>
      </c>
      <c r="I376" s="45">
        <v>0</v>
      </c>
      <c r="J376" s="45">
        <v>0</v>
      </c>
      <c r="K376" s="45"/>
      <c r="L376" s="45"/>
      <c r="M376" s="52">
        <v>0</v>
      </c>
      <c r="N376" s="52">
        <v>0</v>
      </c>
      <c r="O376" s="45">
        <v>0</v>
      </c>
      <c r="P376" s="52"/>
      <c r="Q376" s="52">
        <v>0</v>
      </c>
      <c r="R376" s="52">
        <v>0</v>
      </c>
    </row>
    <row r="377" spans="2:18" x14ac:dyDescent="0.2">
      <c r="B377" s="56" t="s">
        <v>64</v>
      </c>
      <c r="C377" s="45"/>
      <c r="D377" s="45">
        <v>0</v>
      </c>
      <c r="E377" s="52">
        <v>0</v>
      </c>
      <c r="F377" s="52">
        <v>0</v>
      </c>
      <c r="G377" s="48">
        <v>0</v>
      </c>
      <c r="H377" s="45">
        <v>0</v>
      </c>
      <c r="I377" s="45">
        <v>0</v>
      </c>
      <c r="J377" s="45">
        <v>0</v>
      </c>
      <c r="K377" s="45"/>
      <c r="L377" s="45"/>
      <c r="M377" s="52">
        <v>0</v>
      </c>
      <c r="N377" s="52">
        <v>0</v>
      </c>
      <c r="O377" s="45">
        <v>0</v>
      </c>
      <c r="P377" s="52"/>
      <c r="Q377" s="52">
        <v>0</v>
      </c>
      <c r="R377" s="52">
        <v>0</v>
      </c>
    </row>
    <row r="378" spans="2:18" x14ac:dyDescent="0.2">
      <c r="B378" s="56" t="s">
        <v>64</v>
      </c>
      <c r="C378" s="45"/>
      <c r="D378" s="45">
        <v>0</v>
      </c>
      <c r="E378" s="52">
        <v>0</v>
      </c>
      <c r="F378" s="52">
        <v>0</v>
      </c>
      <c r="G378" s="48">
        <v>0</v>
      </c>
      <c r="H378" s="45">
        <v>0</v>
      </c>
      <c r="I378" s="45">
        <v>0</v>
      </c>
      <c r="J378" s="45">
        <v>0</v>
      </c>
      <c r="K378" s="45"/>
      <c r="L378" s="45"/>
      <c r="M378" s="52">
        <v>0</v>
      </c>
      <c r="N378" s="52">
        <v>0</v>
      </c>
      <c r="O378" s="45">
        <v>0</v>
      </c>
      <c r="P378" s="52"/>
      <c r="Q378" s="52">
        <v>0</v>
      </c>
      <c r="R378" s="52">
        <v>0</v>
      </c>
    </row>
    <row r="379" spans="2:18" x14ac:dyDescent="0.2">
      <c r="B379" s="56" t="s">
        <v>64</v>
      </c>
      <c r="C379" s="45"/>
      <c r="D379" s="45">
        <v>0</v>
      </c>
      <c r="E379" s="52">
        <v>0</v>
      </c>
      <c r="F379" s="52">
        <v>0</v>
      </c>
      <c r="G379" s="48">
        <v>0</v>
      </c>
      <c r="H379" s="45">
        <v>0</v>
      </c>
      <c r="I379" s="45">
        <v>0</v>
      </c>
      <c r="J379" s="45">
        <v>0</v>
      </c>
      <c r="K379" s="45"/>
      <c r="L379" s="45"/>
      <c r="M379" s="52">
        <v>0</v>
      </c>
      <c r="N379" s="52">
        <v>0</v>
      </c>
      <c r="O379" s="45">
        <v>0</v>
      </c>
      <c r="P379" s="52"/>
      <c r="Q379" s="52">
        <v>0</v>
      </c>
      <c r="R379" s="52">
        <v>0</v>
      </c>
    </row>
    <row r="380" spans="2:18" x14ac:dyDescent="0.2">
      <c r="B380" s="56" t="s">
        <v>64</v>
      </c>
      <c r="C380" s="45"/>
      <c r="D380" s="45">
        <v>0</v>
      </c>
      <c r="E380" s="52">
        <v>0</v>
      </c>
      <c r="F380" s="52">
        <v>0</v>
      </c>
      <c r="G380" s="48">
        <v>0</v>
      </c>
      <c r="H380" s="45">
        <v>0</v>
      </c>
      <c r="I380" s="45">
        <v>0</v>
      </c>
      <c r="J380" s="45">
        <v>0</v>
      </c>
      <c r="K380" s="45"/>
      <c r="L380" s="45"/>
      <c r="M380" s="52">
        <v>0</v>
      </c>
      <c r="N380" s="52">
        <v>0</v>
      </c>
      <c r="O380" s="45">
        <v>0</v>
      </c>
      <c r="P380" s="52"/>
      <c r="Q380" s="52">
        <v>0</v>
      </c>
      <c r="R380" s="52">
        <v>0</v>
      </c>
    </row>
    <row r="381" spans="2:18" x14ac:dyDescent="0.2">
      <c r="B381" s="56" t="s">
        <v>64</v>
      </c>
      <c r="C381" s="45"/>
      <c r="D381" s="45">
        <v>0</v>
      </c>
      <c r="E381" s="52">
        <v>0</v>
      </c>
      <c r="F381" s="52">
        <v>0</v>
      </c>
      <c r="G381" s="48">
        <v>0</v>
      </c>
      <c r="H381" s="45">
        <v>0</v>
      </c>
      <c r="I381" s="45">
        <v>0</v>
      </c>
      <c r="J381" s="45">
        <v>0</v>
      </c>
      <c r="K381" s="45"/>
      <c r="L381" s="45"/>
      <c r="M381" s="52">
        <v>0</v>
      </c>
      <c r="N381" s="52">
        <v>0</v>
      </c>
      <c r="O381" s="45">
        <v>0</v>
      </c>
      <c r="P381" s="52"/>
      <c r="Q381" s="52">
        <v>0</v>
      </c>
      <c r="R381" s="52">
        <v>0</v>
      </c>
    </row>
    <row r="382" spans="2:18" x14ac:dyDescent="0.2">
      <c r="B382" s="56" t="s">
        <v>64</v>
      </c>
      <c r="C382" s="45"/>
      <c r="D382" s="45">
        <v>0</v>
      </c>
      <c r="E382" s="52">
        <v>0</v>
      </c>
      <c r="F382" s="52">
        <v>0</v>
      </c>
      <c r="G382" s="48">
        <v>0</v>
      </c>
      <c r="H382" s="45">
        <v>0</v>
      </c>
      <c r="I382" s="45">
        <v>0</v>
      </c>
      <c r="J382" s="45">
        <v>0</v>
      </c>
      <c r="K382" s="45"/>
      <c r="L382" s="45"/>
      <c r="M382" s="52">
        <v>0</v>
      </c>
      <c r="N382" s="52">
        <v>0</v>
      </c>
      <c r="O382" s="45">
        <v>0</v>
      </c>
      <c r="P382" s="52"/>
      <c r="Q382" s="52">
        <v>0</v>
      </c>
      <c r="R382" s="52">
        <v>0</v>
      </c>
    </row>
    <row r="383" spans="2:18" x14ac:dyDescent="0.2">
      <c r="B383" s="56" t="s">
        <v>64</v>
      </c>
      <c r="C383" s="45"/>
      <c r="D383" s="45">
        <v>0</v>
      </c>
      <c r="E383" s="52">
        <v>0</v>
      </c>
      <c r="F383" s="52">
        <v>0</v>
      </c>
      <c r="G383" s="48">
        <v>0</v>
      </c>
      <c r="H383" s="45">
        <v>0</v>
      </c>
      <c r="I383" s="45">
        <v>0</v>
      </c>
      <c r="J383" s="45">
        <v>0</v>
      </c>
      <c r="K383" s="45"/>
      <c r="L383" s="45"/>
      <c r="M383" s="52">
        <v>0</v>
      </c>
      <c r="N383" s="52">
        <v>0</v>
      </c>
      <c r="O383" s="45">
        <v>0</v>
      </c>
      <c r="P383" s="52"/>
      <c r="Q383" s="52">
        <v>0</v>
      </c>
      <c r="R383" s="52">
        <v>0</v>
      </c>
    </row>
    <row r="384" spans="2:18" x14ac:dyDescent="0.2">
      <c r="B384" s="56" t="s">
        <v>64</v>
      </c>
      <c r="C384" s="45"/>
      <c r="D384" s="45">
        <v>0</v>
      </c>
      <c r="E384" s="52">
        <v>0</v>
      </c>
      <c r="F384" s="52">
        <v>0</v>
      </c>
      <c r="G384" s="48">
        <v>0</v>
      </c>
      <c r="H384" s="45">
        <v>0</v>
      </c>
      <c r="I384" s="45">
        <v>0</v>
      </c>
      <c r="J384" s="45">
        <v>0</v>
      </c>
      <c r="K384" s="45"/>
      <c r="L384" s="45"/>
      <c r="M384" s="52">
        <v>0</v>
      </c>
      <c r="N384" s="52">
        <v>0</v>
      </c>
      <c r="O384" s="45">
        <v>0</v>
      </c>
      <c r="P384" s="52"/>
      <c r="Q384" s="52">
        <v>0</v>
      </c>
      <c r="R384" s="52">
        <v>0</v>
      </c>
    </row>
    <row r="385" spans="2:18" x14ac:dyDescent="0.2">
      <c r="B385" s="56" t="s">
        <v>64</v>
      </c>
      <c r="C385" s="45"/>
      <c r="D385" s="45">
        <v>0</v>
      </c>
      <c r="E385" s="52">
        <v>0</v>
      </c>
      <c r="F385" s="52">
        <v>0</v>
      </c>
      <c r="G385" s="48">
        <v>0</v>
      </c>
      <c r="H385" s="45">
        <v>0</v>
      </c>
      <c r="I385" s="45">
        <v>0</v>
      </c>
      <c r="J385" s="45">
        <v>0</v>
      </c>
      <c r="K385" s="45"/>
      <c r="L385" s="45"/>
      <c r="M385" s="52">
        <v>0</v>
      </c>
      <c r="N385" s="52">
        <v>0</v>
      </c>
      <c r="O385" s="45">
        <v>0</v>
      </c>
      <c r="P385" s="52"/>
      <c r="Q385" s="52">
        <v>0</v>
      </c>
      <c r="R385" s="52">
        <v>0</v>
      </c>
    </row>
    <row r="386" spans="2:18" x14ac:dyDescent="0.2">
      <c r="B386" s="56" t="s">
        <v>64</v>
      </c>
      <c r="C386" s="45"/>
      <c r="D386" s="45">
        <v>0</v>
      </c>
      <c r="E386" s="52">
        <v>0</v>
      </c>
      <c r="F386" s="52">
        <v>0</v>
      </c>
      <c r="G386" s="48">
        <v>0</v>
      </c>
      <c r="H386" s="45">
        <v>0</v>
      </c>
      <c r="I386" s="45">
        <v>0</v>
      </c>
      <c r="J386" s="45">
        <v>0</v>
      </c>
      <c r="K386" s="45"/>
      <c r="L386" s="45"/>
      <c r="M386" s="52">
        <v>0</v>
      </c>
      <c r="N386" s="52">
        <v>0</v>
      </c>
      <c r="O386" s="45">
        <v>0</v>
      </c>
      <c r="P386" s="52"/>
      <c r="Q386" s="52">
        <v>0</v>
      </c>
      <c r="R386" s="52">
        <v>0</v>
      </c>
    </row>
    <row r="387" spans="2:18" x14ac:dyDescent="0.2">
      <c r="B387" s="56" t="s">
        <v>64</v>
      </c>
      <c r="C387" s="45"/>
      <c r="D387" s="45">
        <v>0</v>
      </c>
      <c r="E387" s="52">
        <v>0</v>
      </c>
      <c r="F387" s="52">
        <v>0</v>
      </c>
      <c r="G387" s="48">
        <v>0</v>
      </c>
      <c r="H387" s="45">
        <v>0</v>
      </c>
      <c r="I387" s="45">
        <v>0</v>
      </c>
      <c r="J387" s="45">
        <v>0</v>
      </c>
      <c r="K387" s="45"/>
      <c r="L387" s="45"/>
      <c r="M387" s="52">
        <v>0</v>
      </c>
      <c r="N387" s="52">
        <v>0</v>
      </c>
      <c r="O387" s="45">
        <v>0</v>
      </c>
      <c r="P387" s="52"/>
      <c r="Q387" s="52">
        <v>0</v>
      </c>
      <c r="R387" s="52">
        <v>0</v>
      </c>
    </row>
    <row r="388" spans="2:18" x14ac:dyDescent="0.2">
      <c r="B388" s="56" t="s">
        <v>64</v>
      </c>
      <c r="C388" s="45"/>
      <c r="D388" s="45">
        <v>0</v>
      </c>
      <c r="E388" s="52">
        <v>0</v>
      </c>
      <c r="F388" s="52">
        <v>0</v>
      </c>
      <c r="G388" s="48">
        <v>0</v>
      </c>
      <c r="H388" s="45">
        <v>0</v>
      </c>
      <c r="I388" s="45">
        <v>0</v>
      </c>
      <c r="J388" s="45">
        <v>0</v>
      </c>
      <c r="K388" s="45"/>
      <c r="L388" s="45"/>
      <c r="M388" s="52">
        <v>0</v>
      </c>
      <c r="N388" s="52">
        <v>0</v>
      </c>
      <c r="O388" s="45">
        <v>0</v>
      </c>
      <c r="P388" s="52"/>
      <c r="Q388" s="52">
        <v>0</v>
      </c>
      <c r="R388" s="52">
        <v>0</v>
      </c>
    </row>
    <row r="389" spans="2:18" x14ac:dyDescent="0.2">
      <c r="B389" s="56" t="s">
        <v>64</v>
      </c>
      <c r="C389" s="45"/>
      <c r="D389" s="45">
        <v>0</v>
      </c>
      <c r="E389" s="52">
        <v>0</v>
      </c>
      <c r="F389" s="52">
        <v>0</v>
      </c>
      <c r="G389" s="48">
        <v>0</v>
      </c>
      <c r="H389" s="45">
        <v>0</v>
      </c>
      <c r="I389" s="45">
        <v>0</v>
      </c>
      <c r="J389" s="45">
        <v>0</v>
      </c>
      <c r="K389" s="45"/>
      <c r="L389" s="45"/>
      <c r="M389" s="52">
        <v>0</v>
      </c>
      <c r="N389" s="52">
        <v>0</v>
      </c>
      <c r="O389" s="45">
        <v>0</v>
      </c>
      <c r="P389" s="52"/>
      <c r="Q389" s="52">
        <v>0</v>
      </c>
      <c r="R389" s="52">
        <v>0</v>
      </c>
    </row>
    <row r="390" spans="2:18" x14ac:dyDescent="0.2">
      <c r="B390" s="56" t="s">
        <v>64</v>
      </c>
      <c r="C390" s="45"/>
      <c r="D390" s="45">
        <v>0</v>
      </c>
      <c r="E390" s="52">
        <v>0</v>
      </c>
      <c r="F390" s="52">
        <v>0</v>
      </c>
      <c r="G390" s="48">
        <v>0</v>
      </c>
      <c r="H390" s="45">
        <v>0</v>
      </c>
      <c r="I390" s="45">
        <v>0</v>
      </c>
      <c r="J390" s="45">
        <v>0</v>
      </c>
      <c r="K390" s="45"/>
      <c r="L390" s="45"/>
      <c r="M390" s="52">
        <v>0</v>
      </c>
      <c r="N390" s="52">
        <v>0</v>
      </c>
      <c r="O390" s="45">
        <v>0</v>
      </c>
      <c r="P390" s="52"/>
      <c r="Q390" s="52">
        <v>0</v>
      </c>
      <c r="R390" s="52">
        <v>0</v>
      </c>
    </row>
    <row r="391" spans="2:18" x14ac:dyDescent="0.2">
      <c r="B391" s="56" t="s">
        <v>64</v>
      </c>
      <c r="C391" s="45"/>
      <c r="D391" s="45">
        <v>0</v>
      </c>
      <c r="E391" s="52">
        <v>0</v>
      </c>
      <c r="F391" s="52">
        <v>0</v>
      </c>
      <c r="G391" s="48">
        <v>0</v>
      </c>
      <c r="H391" s="45">
        <v>0</v>
      </c>
      <c r="I391" s="45">
        <v>0</v>
      </c>
      <c r="J391" s="45">
        <v>0</v>
      </c>
      <c r="K391" s="45"/>
      <c r="L391" s="45"/>
      <c r="M391" s="52">
        <v>0</v>
      </c>
      <c r="N391" s="52">
        <v>0</v>
      </c>
      <c r="O391" s="45">
        <v>0</v>
      </c>
      <c r="P391" s="52"/>
      <c r="Q391" s="52">
        <v>0</v>
      </c>
      <c r="R391" s="52">
        <v>0</v>
      </c>
    </row>
    <row r="392" spans="2:18" x14ac:dyDescent="0.2">
      <c r="B392" s="56" t="s">
        <v>64</v>
      </c>
      <c r="C392" s="45"/>
      <c r="D392" s="45">
        <v>0</v>
      </c>
      <c r="E392" s="52">
        <v>0</v>
      </c>
      <c r="F392" s="52">
        <v>0</v>
      </c>
      <c r="G392" s="48">
        <v>0</v>
      </c>
      <c r="H392" s="45">
        <v>0</v>
      </c>
      <c r="I392" s="45">
        <v>0</v>
      </c>
      <c r="J392" s="45">
        <v>0</v>
      </c>
      <c r="K392" s="45"/>
      <c r="L392" s="45"/>
      <c r="M392" s="52">
        <v>0</v>
      </c>
      <c r="N392" s="52">
        <v>0</v>
      </c>
      <c r="O392" s="45">
        <v>0</v>
      </c>
      <c r="P392" s="52"/>
      <c r="Q392" s="52">
        <v>0</v>
      </c>
      <c r="R392" s="52">
        <v>0</v>
      </c>
    </row>
    <row r="393" spans="2:18" x14ac:dyDescent="0.2">
      <c r="B393" s="56" t="s">
        <v>64</v>
      </c>
      <c r="C393" s="45"/>
      <c r="D393" s="45">
        <v>0</v>
      </c>
      <c r="E393" s="52">
        <v>0</v>
      </c>
      <c r="F393" s="52">
        <v>0</v>
      </c>
      <c r="G393" s="48">
        <v>0</v>
      </c>
      <c r="H393" s="45">
        <v>0</v>
      </c>
      <c r="I393" s="45">
        <v>0</v>
      </c>
      <c r="J393" s="45">
        <v>0</v>
      </c>
      <c r="K393" s="45"/>
      <c r="L393" s="45"/>
      <c r="M393" s="52">
        <v>0</v>
      </c>
      <c r="N393" s="52">
        <v>0</v>
      </c>
      <c r="O393" s="45">
        <v>0</v>
      </c>
      <c r="P393" s="52"/>
      <c r="Q393" s="52">
        <v>0</v>
      </c>
      <c r="R393" s="52">
        <v>0</v>
      </c>
    </row>
    <row r="394" spans="2:18" x14ac:dyDescent="0.2">
      <c r="B394" s="56" t="s">
        <v>64</v>
      </c>
      <c r="C394" s="45"/>
      <c r="D394" s="45">
        <v>0</v>
      </c>
      <c r="E394" s="52">
        <v>0</v>
      </c>
      <c r="F394" s="52">
        <v>0</v>
      </c>
      <c r="G394" s="48">
        <v>0</v>
      </c>
      <c r="H394" s="45">
        <v>0</v>
      </c>
      <c r="I394" s="45">
        <v>0</v>
      </c>
      <c r="J394" s="45">
        <v>0</v>
      </c>
      <c r="K394" s="45"/>
      <c r="L394" s="45"/>
      <c r="M394" s="52">
        <v>0</v>
      </c>
      <c r="N394" s="52">
        <v>0</v>
      </c>
      <c r="O394" s="45">
        <v>0</v>
      </c>
      <c r="P394" s="52"/>
      <c r="Q394" s="52">
        <v>0</v>
      </c>
      <c r="R394" s="52">
        <v>0</v>
      </c>
    </row>
    <row r="395" spans="2:18" x14ac:dyDescent="0.2">
      <c r="B395" s="56" t="s">
        <v>64</v>
      </c>
      <c r="C395" s="45"/>
      <c r="D395" s="45">
        <v>0</v>
      </c>
      <c r="E395" s="52">
        <v>0</v>
      </c>
      <c r="F395" s="52">
        <v>0</v>
      </c>
      <c r="G395" s="48">
        <v>0</v>
      </c>
      <c r="H395" s="45">
        <v>0</v>
      </c>
      <c r="I395" s="45">
        <v>0</v>
      </c>
      <c r="J395" s="45">
        <v>0</v>
      </c>
      <c r="K395" s="45"/>
      <c r="L395" s="45"/>
      <c r="M395" s="52">
        <v>0</v>
      </c>
      <c r="N395" s="52">
        <v>0</v>
      </c>
      <c r="O395" s="45">
        <v>0</v>
      </c>
      <c r="P395" s="52"/>
      <c r="Q395" s="52">
        <v>0</v>
      </c>
      <c r="R395" s="52">
        <v>0</v>
      </c>
    </row>
    <row r="396" spans="2:18" x14ac:dyDescent="0.2">
      <c r="B396" s="56" t="s">
        <v>64</v>
      </c>
      <c r="C396" s="45"/>
      <c r="D396" s="45">
        <v>0</v>
      </c>
      <c r="E396" s="52">
        <v>0</v>
      </c>
      <c r="F396" s="52">
        <v>0</v>
      </c>
      <c r="G396" s="48">
        <v>0</v>
      </c>
      <c r="H396" s="45">
        <v>0</v>
      </c>
      <c r="I396" s="45">
        <v>0</v>
      </c>
      <c r="J396" s="45">
        <v>0</v>
      </c>
      <c r="K396" s="45"/>
      <c r="L396" s="45"/>
      <c r="M396" s="52">
        <v>0</v>
      </c>
      <c r="N396" s="52">
        <v>0</v>
      </c>
      <c r="O396" s="45">
        <v>0</v>
      </c>
      <c r="P396" s="52"/>
      <c r="Q396" s="52">
        <v>0</v>
      </c>
      <c r="R396" s="52">
        <v>0</v>
      </c>
    </row>
    <row r="397" spans="2:18" x14ac:dyDescent="0.2">
      <c r="B397" s="56" t="s">
        <v>64</v>
      </c>
      <c r="C397" s="45"/>
      <c r="D397" s="45">
        <v>0</v>
      </c>
      <c r="E397" s="52">
        <v>0</v>
      </c>
      <c r="F397" s="52">
        <v>0</v>
      </c>
      <c r="G397" s="48">
        <v>0</v>
      </c>
      <c r="H397" s="45">
        <v>0</v>
      </c>
      <c r="I397" s="45">
        <v>0</v>
      </c>
      <c r="J397" s="45">
        <v>0</v>
      </c>
      <c r="K397" s="45"/>
      <c r="L397" s="45"/>
      <c r="M397" s="52">
        <v>0</v>
      </c>
      <c r="N397" s="52">
        <v>0</v>
      </c>
      <c r="O397" s="45">
        <v>0</v>
      </c>
      <c r="P397" s="52"/>
      <c r="Q397" s="52">
        <v>0</v>
      </c>
      <c r="R397" s="52">
        <v>0</v>
      </c>
    </row>
    <row r="398" spans="2:18" x14ac:dyDescent="0.2">
      <c r="B398" s="56" t="s">
        <v>64</v>
      </c>
      <c r="C398" s="45"/>
      <c r="D398" s="45">
        <v>0</v>
      </c>
      <c r="E398" s="52">
        <v>0</v>
      </c>
      <c r="F398" s="52">
        <v>0</v>
      </c>
      <c r="G398" s="48">
        <v>0</v>
      </c>
      <c r="H398" s="45">
        <v>0</v>
      </c>
      <c r="I398" s="45">
        <v>0</v>
      </c>
      <c r="J398" s="45">
        <v>0</v>
      </c>
      <c r="K398" s="45"/>
      <c r="L398" s="45"/>
      <c r="M398" s="52">
        <v>0</v>
      </c>
      <c r="N398" s="52">
        <v>0</v>
      </c>
      <c r="O398" s="45">
        <v>0</v>
      </c>
      <c r="P398" s="52"/>
      <c r="Q398" s="52">
        <v>0</v>
      </c>
      <c r="R398" s="52">
        <v>0</v>
      </c>
    </row>
    <row r="399" spans="2:18" x14ac:dyDescent="0.2">
      <c r="B399" s="56" t="s">
        <v>64</v>
      </c>
      <c r="C399" s="45"/>
      <c r="D399" s="45">
        <v>0</v>
      </c>
      <c r="E399" s="52">
        <v>0</v>
      </c>
      <c r="F399" s="52">
        <v>0</v>
      </c>
      <c r="G399" s="48">
        <v>0</v>
      </c>
      <c r="H399" s="45">
        <v>0</v>
      </c>
      <c r="I399" s="45">
        <v>0</v>
      </c>
      <c r="J399" s="45">
        <v>0</v>
      </c>
      <c r="K399" s="45"/>
      <c r="L399" s="45"/>
      <c r="M399" s="52">
        <v>0</v>
      </c>
      <c r="N399" s="52">
        <v>0</v>
      </c>
      <c r="O399" s="45">
        <v>0</v>
      </c>
      <c r="P399" s="52"/>
      <c r="Q399" s="52">
        <v>0</v>
      </c>
      <c r="R399" s="52">
        <v>0</v>
      </c>
    </row>
    <row r="400" spans="2:18" x14ac:dyDescent="0.2">
      <c r="B400" s="56" t="s">
        <v>64</v>
      </c>
      <c r="C400" s="45"/>
      <c r="D400" s="45">
        <v>0</v>
      </c>
      <c r="E400" s="52">
        <v>0</v>
      </c>
      <c r="F400" s="52">
        <v>0</v>
      </c>
      <c r="G400" s="48">
        <v>0</v>
      </c>
      <c r="H400" s="45">
        <v>0</v>
      </c>
      <c r="I400" s="45">
        <v>0</v>
      </c>
      <c r="J400" s="45">
        <v>0</v>
      </c>
      <c r="K400" s="45"/>
      <c r="L400" s="45"/>
      <c r="M400" s="52">
        <v>0</v>
      </c>
      <c r="N400" s="52">
        <v>0</v>
      </c>
      <c r="O400" s="45">
        <v>0</v>
      </c>
      <c r="P400" s="52"/>
      <c r="Q400" s="52">
        <v>0</v>
      </c>
      <c r="R400" s="52">
        <v>0</v>
      </c>
    </row>
    <row r="401" spans="2:18" x14ac:dyDescent="0.2">
      <c r="B401" s="56" t="s">
        <v>64</v>
      </c>
      <c r="C401" s="45"/>
      <c r="D401" s="45">
        <v>0</v>
      </c>
      <c r="E401" s="52">
        <v>0</v>
      </c>
      <c r="F401" s="52">
        <v>0</v>
      </c>
      <c r="G401" s="48">
        <v>0</v>
      </c>
      <c r="H401" s="45">
        <v>0</v>
      </c>
      <c r="I401" s="45">
        <v>0</v>
      </c>
      <c r="J401" s="45">
        <v>0</v>
      </c>
      <c r="K401" s="45"/>
      <c r="L401" s="45"/>
      <c r="M401" s="52">
        <v>0</v>
      </c>
      <c r="N401" s="52">
        <v>0</v>
      </c>
      <c r="O401" s="45">
        <v>0</v>
      </c>
      <c r="P401" s="52"/>
      <c r="Q401" s="52">
        <v>0</v>
      </c>
      <c r="R401" s="52">
        <v>0</v>
      </c>
    </row>
    <row r="402" spans="2:18" x14ac:dyDescent="0.2">
      <c r="B402" s="56" t="s">
        <v>64</v>
      </c>
      <c r="C402" s="45"/>
      <c r="D402" s="45">
        <v>0</v>
      </c>
      <c r="E402" s="52">
        <v>0</v>
      </c>
      <c r="F402" s="52">
        <v>0</v>
      </c>
      <c r="G402" s="48">
        <v>0</v>
      </c>
      <c r="H402" s="45">
        <v>0</v>
      </c>
      <c r="I402" s="45">
        <v>0</v>
      </c>
      <c r="J402" s="45">
        <v>0</v>
      </c>
      <c r="K402" s="45"/>
      <c r="L402" s="45"/>
      <c r="M402" s="52">
        <v>0</v>
      </c>
      <c r="N402" s="52">
        <v>0</v>
      </c>
      <c r="O402" s="45">
        <v>0</v>
      </c>
      <c r="P402" s="52"/>
      <c r="Q402" s="52">
        <v>0</v>
      </c>
      <c r="R402" s="52">
        <v>0</v>
      </c>
    </row>
    <row r="403" spans="2:18" x14ac:dyDescent="0.2">
      <c r="B403" s="56" t="s">
        <v>64</v>
      </c>
      <c r="C403" s="45"/>
      <c r="D403" s="45">
        <v>0</v>
      </c>
      <c r="E403" s="52">
        <v>0</v>
      </c>
      <c r="F403" s="52">
        <v>0</v>
      </c>
      <c r="G403" s="48">
        <v>0</v>
      </c>
      <c r="H403" s="45">
        <v>0</v>
      </c>
      <c r="I403" s="45">
        <v>0</v>
      </c>
      <c r="J403" s="45">
        <v>0</v>
      </c>
      <c r="K403" s="45"/>
      <c r="L403" s="45"/>
      <c r="M403" s="52">
        <v>0</v>
      </c>
      <c r="N403" s="52">
        <v>0</v>
      </c>
      <c r="O403" s="45">
        <v>0</v>
      </c>
      <c r="P403" s="52"/>
      <c r="Q403" s="52">
        <v>0</v>
      </c>
      <c r="R403" s="52">
        <v>0</v>
      </c>
    </row>
    <row r="404" spans="2:18" x14ac:dyDescent="0.2">
      <c r="B404" s="56" t="s">
        <v>64</v>
      </c>
      <c r="C404" s="45"/>
      <c r="D404" s="45">
        <v>0</v>
      </c>
      <c r="E404" s="52">
        <v>0</v>
      </c>
      <c r="F404" s="52">
        <v>0</v>
      </c>
      <c r="G404" s="48">
        <v>0</v>
      </c>
      <c r="H404" s="45">
        <v>0</v>
      </c>
      <c r="I404" s="45">
        <v>0</v>
      </c>
      <c r="J404" s="45">
        <v>0</v>
      </c>
      <c r="K404" s="45"/>
      <c r="L404" s="45"/>
      <c r="M404" s="52">
        <v>0</v>
      </c>
      <c r="N404" s="52">
        <v>0</v>
      </c>
      <c r="O404" s="45">
        <v>0</v>
      </c>
      <c r="P404" s="52"/>
      <c r="Q404" s="52">
        <v>0</v>
      </c>
      <c r="R404" s="52">
        <v>0</v>
      </c>
    </row>
    <row r="405" spans="2:18" x14ac:dyDescent="0.2">
      <c r="B405" s="56" t="s">
        <v>64</v>
      </c>
      <c r="C405" s="45"/>
      <c r="D405" s="45">
        <v>0</v>
      </c>
      <c r="E405" s="52">
        <v>0</v>
      </c>
      <c r="F405" s="52">
        <v>0</v>
      </c>
      <c r="G405" s="48">
        <v>0</v>
      </c>
      <c r="H405" s="45">
        <v>0</v>
      </c>
      <c r="I405" s="45">
        <v>0</v>
      </c>
      <c r="J405" s="45">
        <v>0</v>
      </c>
      <c r="K405" s="45"/>
      <c r="L405" s="45"/>
      <c r="M405" s="52">
        <v>0</v>
      </c>
      <c r="N405" s="52">
        <v>0</v>
      </c>
      <c r="O405" s="45">
        <v>0</v>
      </c>
      <c r="P405" s="52"/>
      <c r="Q405" s="52">
        <v>0</v>
      </c>
      <c r="R405" s="52">
        <v>0</v>
      </c>
    </row>
    <row r="406" spans="2:18" x14ac:dyDescent="0.2">
      <c r="B406" s="56" t="s">
        <v>64</v>
      </c>
      <c r="C406" s="45"/>
      <c r="D406" s="45">
        <v>0</v>
      </c>
      <c r="E406" s="52">
        <v>0</v>
      </c>
      <c r="F406" s="52">
        <v>0</v>
      </c>
      <c r="G406" s="48">
        <v>0</v>
      </c>
      <c r="H406" s="45">
        <v>0</v>
      </c>
      <c r="I406" s="45">
        <v>0</v>
      </c>
      <c r="J406" s="45">
        <v>0</v>
      </c>
      <c r="K406" s="45"/>
      <c r="L406" s="45"/>
      <c r="M406" s="52">
        <v>0</v>
      </c>
      <c r="N406" s="52">
        <v>0</v>
      </c>
      <c r="O406" s="45">
        <v>0</v>
      </c>
      <c r="P406" s="52"/>
      <c r="Q406" s="52">
        <v>0</v>
      </c>
      <c r="R406" s="52">
        <v>0</v>
      </c>
    </row>
    <row r="407" spans="2:18" x14ac:dyDescent="0.2">
      <c r="B407" s="56" t="s">
        <v>64</v>
      </c>
      <c r="C407" s="45"/>
      <c r="D407" s="45">
        <v>0</v>
      </c>
      <c r="E407" s="52">
        <v>0</v>
      </c>
      <c r="F407" s="52">
        <v>0</v>
      </c>
      <c r="G407" s="48">
        <v>0</v>
      </c>
      <c r="H407" s="45">
        <v>0</v>
      </c>
      <c r="I407" s="45">
        <v>0</v>
      </c>
      <c r="J407" s="45">
        <v>0</v>
      </c>
      <c r="K407" s="45"/>
      <c r="L407" s="45"/>
      <c r="M407" s="52">
        <v>0</v>
      </c>
      <c r="N407" s="52">
        <v>0</v>
      </c>
      <c r="O407" s="45">
        <v>0</v>
      </c>
      <c r="P407" s="52"/>
      <c r="Q407" s="52">
        <v>0</v>
      </c>
      <c r="R407" s="52">
        <v>0</v>
      </c>
    </row>
    <row r="408" spans="2:18" x14ac:dyDescent="0.2">
      <c r="B408" s="56" t="s">
        <v>64</v>
      </c>
      <c r="C408" s="45"/>
      <c r="D408" s="45">
        <v>0</v>
      </c>
      <c r="E408" s="52">
        <v>0</v>
      </c>
      <c r="F408" s="52">
        <v>0</v>
      </c>
      <c r="G408" s="48">
        <v>0</v>
      </c>
      <c r="H408" s="45">
        <v>0</v>
      </c>
      <c r="I408" s="45">
        <v>0</v>
      </c>
      <c r="J408" s="45">
        <v>0</v>
      </c>
      <c r="K408" s="45"/>
      <c r="L408" s="45"/>
      <c r="M408" s="52">
        <v>0</v>
      </c>
      <c r="N408" s="52">
        <v>0</v>
      </c>
      <c r="O408" s="45">
        <v>0</v>
      </c>
      <c r="P408" s="52"/>
      <c r="Q408" s="52">
        <v>0</v>
      </c>
      <c r="R408" s="52">
        <v>0</v>
      </c>
    </row>
    <row r="409" spans="2:18" x14ac:dyDescent="0.2">
      <c r="B409" s="56" t="s">
        <v>64</v>
      </c>
      <c r="C409" s="45"/>
      <c r="D409" s="45">
        <v>0</v>
      </c>
      <c r="E409" s="52">
        <v>0</v>
      </c>
      <c r="F409" s="52">
        <v>0</v>
      </c>
      <c r="G409" s="48">
        <v>0</v>
      </c>
      <c r="H409" s="45">
        <v>0</v>
      </c>
      <c r="I409" s="45">
        <v>0</v>
      </c>
      <c r="J409" s="45">
        <v>0</v>
      </c>
      <c r="K409" s="45"/>
      <c r="L409" s="45"/>
      <c r="M409" s="52">
        <v>0</v>
      </c>
      <c r="N409" s="52">
        <v>0</v>
      </c>
      <c r="O409" s="45">
        <v>0</v>
      </c>
      <c r="P409" s="52"/>
      <c r="Q409" s="52">
        <v>0</v>
      </c>
      <c r="R409" s="52">
        <v>0</v>
      </c>
    </row>
    <row r="410" spans="2:18" x14ac:dyDescent="0.2">
      <c r="B410" s="56" t="s">
        <v>64</v>
      </c>
      <c r="C410" s="45"/>
      <c r="D410" s="45">
        <v>0</v>
      </c>
      <c r="E410" s="52">
        <v>0</v>
      </c>
      <c r="F410" s="52">
        <v>0</v>
      </c>
      <c r="G410" s="48">
        <v>0</v>
      </c>
      <c r="H410" s="45">
        <v>0</v>
      </c>
      <c r="I410" s="45">
        <v>0</v>
      </c>
      <c r="J410" s="45">
        <v>0</v>
      </c>
      <c r="K410" s="45"/>
      <c r="L410" s="45"/>
      <c r="M410" s="52">
        <v>0</v>
      </c>
      <c r="N410" s="52">
        <v>0</v>
      </c>
      <c r="O410" s="45">
        <v>0</v>
      </c>
      <c r="P410" s="52"/>
      <c r="Q410" s="52">
        <v>0</v>
      </c>
      <c r="R410" s="52">
        <v>0</v>
      </c>
    </row>
    <row r="411" spans="2:18" x14ac:dyDescent="0.2">
      <c r="B411" s="56" t="s">
        <v>64</v>
      </c>
      <c r="C411" s="45"/>
      <c r="D411" s="45">
        <v>0</v>
      </c>
      <c r="E411" s="52">
        <v>0</v>
      </c>
      <c r="F411" s="52">
        <v>0</v>
      </c>
      <c r="G411" s="48">
        <v>0</v>
      </c>
      <c r="H411" s="45">
        <v>0</v>
      </c>
      <c r="I411" s="45">
        <v>0</v>
      </c>
      <c r="J411" s="45">
        <v>0</v>
      </c>
      <c r="K411" s="45"/>
      <c r="L411" s="45"/>
      <c r="M411" s="52">
        <v>0</v>
      </c>
      <c r="N411" s="52">
        <v>0</v>
      </c>
      <c r="O411" s="45">
        <v>0</v>
      </c>
      <c r="P411" s="52"/>
      <c r="Q411" s="52">
        <v>0</v>
      </c>
      <c r="R411" s="52">
        <v>0</v>
      </c>
    </row>
    <row r="412" spans="2:18" x14ac:dyDescent="0.2">
      <c r="B412" s="56" t="s">
        <v>64</v>
      </c>
      <c r="C412" s="45"/>
      <c r="D412" s="45">
        <v>0</v>
      </c>
      <c r="E412" s="52">
        <v>0</v>
      </c>
      <c r="F412" s="52">
        <v>0</v>
      </c>
      <c r="G412" s="48">
        <v>0</v>
      </c>
      <c r="H412" s="45">
        <v>0</v>
      </c>
      <c r="I412" s="45">
        <v>0</v>
      </c>
      <c r="J412" s="45">
        <v>0</v>
      </c>
      <c r="K412" s="45"/>
      <c r="L412" s="45"/>
      <c r="M412" s="52">
        <v>0</v>
      </c>
      <c r="N412" s="52">
        <v>0</v>
      </c>
      <c r="O412" s="45">
        <v>0</v>
      </c>
      <c r="P412" s="52"/>
      <c r="Q412" s="52">
        <v>0</v>
      </c>
      <c r="R412" s="52">
        <v>0</v>
      </c>
    </row>
    <row r="413" spans="2:18" x14ac:dyDescent="0.2">
      <c r="B413" s="56" t="s">
        <v>64</v>
      </c>
      <c r="C413" s="45"/>
      <c r="D413" s="45">
        <v>0</v>
      </c>
      <c r="E413" s="52">
        <v>0</v>
      </c>
      <c r="F413" s="52">
        <v>0</v>
      </c>
      <c r="G413" s="48">
        <v>0</v>
      </c>
      <c r="H413" s="45">
        <v>0</v>
      </c>
      <c r="I413" s="45">
        <v>0</v>
      </c>
      <c r="J413" s="45">
        <v>0</v>
      </c>
      <c r="K413" s="45"/>
      <c r="L413" s="45"/>
      <c r="M413" s="52">
        <v>0</v>
      </c>
      <c r="N413" s="52">
        <v>0</v>
      </c>
      <c r="O413" s="45">
        <v>0</v>
      </c>
      <c r="P413" s="52"/>
      <c r="Q413" s="52">
        <v>0</v>
      </c>
      <c r="R413" s="52">
        <v>0</v>
      </c>
    </row>
    <row r="414" spans="2:18" x14ac:dyDescent="0.2">
      <c r="B414" s="56" t="s">
        <v>64</v>
      </c>
      <c r="C414" s="45"/>
      <c r="D414" s="45">
        <v>0</v>
      </c>
      <c r="E414" s="52">
        <v>0</v>
      </c>
      <c r="F414" s="52">
        <v>0</v>
      </c>
      <c r="G414" s="48">
        <v>0</v>
      </c>
      <c r="H414" s="45">
        <v>0</v>
      </c>
      <c r="I414" s="45">
        <v>0</v>
      </c>
      <c r="J414" s="45">
        <v>0</v>
      </c>
      <c r="K414" s="45"/>
      <c r="L414" s="45"/>
      <c r="M414" s="52">
        <v>0</v>
      </c>
      <c r="N414" s="52">
        <v>0</v>
      </c>
      <c r="O414" s="45">
        <v>0</v>
      </c>
      <c r="P414" s="52"/>
      <c r="Q414" s="52">
        <v>0</v>
      </c>
      <c r="R414" s="52">
        <v>0</v>
      </c>
    </row>
    <row r="415" spans="2:18" x14ac:dyDescent="0.2">
      <c r="B415" s="56" t="s">
        <v>64</v>
      </c>
      <c r="C415" s="45"/>
      <c r="D415" s="45">
        <v>0</v>
      </c>
      <c r="E415" s="52">
        <v>0</v>
      </c>
      <c r="F415" s="52">
        <v>0</v>
      </c>
      <c r="G415" s="48">
        <v>0</v>
      </c>
      <c r="H415" s="45">
        <v>0</v>
      </c>
      <c r="I415" s="45">
        <v>0</v>
      </c>
      <c r="J415" s="45">
        <v>0</v>
      </c>
      <c r="K415" s="45"/>
      <c r="L415" s="45"/>
      <c r="M415" s="52">
        <v>0</v>
      </c>
      <c r="N415" s="52">
        <v>0</v>
      </c>
      <c r="O415" s="45">
        <v>0</v>
      </c>
      <c r="P415" s="52"/>
      <c r="Q415" s="52">
        <v>0</v>
      </c>
      <c r="R415" s="52">
        <v>0</v>
      </c>
    </row>
    <row r="416" spans="2:18" x14ac:dyDescent="0.2">
      <c r="B416" s="56" t="s">
        <v>64</v>
      </c>
      <c r="C416" s="45"/>
      <c r="D416" s="45">
        <v>0</v>
      </c>
      <c r="E416" s="52">
        <v>0</v>
      </c>
      <c r="F416" s="52">
        <v>0</v>
      </c>
      <c r="G416" s="48">
        <v>0</v>
      </c>
      <c r="H416" s="45">
        <v>0</v>
      </c>
      <c r="I416" s="45">
        <v>0</v>
      </c>
      <c r="J416" s="45">
        <v>0</v>
      </c>
      <c r="K416" s="45"/>
      <c r="L416" s="45"/>
      <c r="M416" s="52">
        <v>0</v>
      </c>
      <c r="N416" s="52">
        <v>0</v>
      </c>
      <c r="O416" s="45">
        <v>0</v>
      </c>
      <c r="P416" s="52"/>
      <c r="Q416" s="52">
        <v>0</v>
      </c>
      <c r="R416" s="52">
        <v>0</v>
      </c>
    </row>
    <row r="417" spans="2:18" x14ac:dyDescent="0.2">
      <c r="B417" s="56" t="s">
        <v>64</v>
      </c>
      <c r="C417" s="45"/>
      <c r="D417" s="45">
        <v>0</v>
      </c>
      <c r="E417" s="52">
        <v>0</v>
      </c>
      <c r="F417" s="52">
        <v>0</v>
      </c>
      <c r="G417" s="48">
        <v>0</v>
      </c>
      <c r="H417" s="45">
        <v>0</v>
      </c>
      <c r="I417" s="45">
        <v>0</v>
      </c>
      <c r="J417" s="45">
        <v>0</v>
      </c>
      <c r="K417" s="45"/>
      <c r="L417" s="45"/>
      <c r="M417" s="52">
        <v>0</v>
      </c>
      <c r="N417" s="52">
        <v>0</v>
      </c>
      <c r="O417" s="45">
        <v>0</v>
      </c>
      <c r="P417" s="52"/>
      <c r="Q417" s="52">
        <v>0</v>
      </c>
      <c r="R417" s="52">
        <v>0</v>
      </c>
    </row>
    <row r="418" spans="2:18" x14ac:dyDescent="0.2">
      <c r="B418" s="56" t="s">
        <v>64</v>
      </c>
      <c r="C418" s="45"/>
      <c r="D418" s="45">
        <v>0</v>
      </c>
      <c r="E418" s="52">
        <v>0</v>
      </c>
      <c r="F418" s="52">
        <v>0</v>
      </c>
      <c r="G418" s="48">
        <v>0</v>
      </c>
      <c r="H418" s="45">
        <v>0</v>
      </c>
      <c r="I418" s="45">
        <v>0</v>
      </c>
      <c r="J418" s="45">
        <v>0</v>
      </c>
      <c r="K418" s="45"/>
      <c r="L418" s="45"/>
      <c r="M418" s="52">
        <v>0</v>
      </c>
      <c r="N418" s="52">
        <v>0</v>
      </c>
      <c r="O418" s="45">
        <v>0</v>
      </c>
      <c r="P418" s="52"/>
      <c r="Q418" s="52">
        <v>0</v>
      </c>
      <c r="R418" s="52">
        <v>0</v>
      </c>
    </row>
    <row r="419" spans="2:18" x14ac:dyDescent="0.2">
      <c r="B419" s="56" t="s">
        <v>64</v>
      </c>
      <c r="C419" s="45"/>
      <c r="D419" s="45">
        <v>0</v>
      </c>
      <c r="E419" s="52">
        <v>0</v>
      </c>
      <c r="F419" s="52">
        <v>0</v>
      </c>
      <c r="G419" s="48">
        <v>0</v>
      </c>
      <c r="H419" s="45">
        <v>0</v>
      </c>
      <c r="I419" s="45">
        <v>0</v>
      </c>
      <c r="J419" s="45">
        <v>0</v>
      </c>
      <c r="K419" s="45"/>
      <c r="L419" s="45"/>
      <c r="M419" s="52">
        <v>0</v>
      </c>
      <c r="N419" s="52">
        <v>0</v>
      </c>
      <c r="O419" s="45">
        <v>0</v>
      </c>
      <c r="P419" s="52"/>
      <c r="Q419" s="52">
        <v>0</v>
      </c>
      <c r="R419" s="52">
        <v>0</v>
      </c>
    </row>
    <row r="420" spans="2:18" x14ac:dyDescent="0.2">
      <c r="B420" s="56" t="s">
        <v>64</v>
      </c>
      <c r="C420" s="45"/>
      <c r="D420" s="45">
        <v>0</v>
      </c>
      <c r="E420" s="52">
        <v>0</v>
      </c>
      <c r="F420" s="52">
        <v>0</v>
      </c>
      <c r="G420" s="48">
        <v>0</v>
      </c>
      <c r="H420" s="45">
        <v>0</v>
      </c>
      <c r="I420" s="45">
        <v>0</v>
      </c>
      <c r="J420" s="45">
        <v>0</v>
      </c>
      <c r="K420" s="45"/>
      <c r="L420" s="45"/>
      <c r="M420" s="52">
        <v>0</v>
      </c>
      <c r="N420" s="52">
        <v>0</v>
      </c>
      <c r="O420" s="45">
        <v>0</v>
      </c>
      <c r="P420" s="52"/>
      <c r="Q420" s="52">
        <v>0</v>
      </c>
      <c r="R420" s="52">
        <v>0</v>
      </c>
    </row>
    <row r="421" spans="2:18" x14ac:dyDescent="0.2">
      <c r="B421" s="56" t="s">
        <v>64</v>
      </c>
      <c r="C421" s="45"/>
      <c r="D421" s="45">
        <v>0</v>
      </c>
      <c r="E421" s="52">
        <v>0</v>
      </c>
      <c r="F421" s="52">
        <v>0</v>
      </c>
      <c r="G421" s="48">
        <v>0</v>
      </c>
      <c r="H421" s="45">
        <v>0</v>
      </c>
      <c r="I421" s="45">
        <v>0</v>
      </c>
      <c r="J421" s="45">
        <v>0</v>
      </c>
      <c r="K421" s="45"/>
      <c r="L421" s="45"/>
      <c r="M421" s="52">
        <v>0</v>
      </c>
      <c r="N421" s="52">
        <v>0</v>
      </c>
      <c r="O421" s="45">
        <v>0</v>
      </c>
      <c r="P421" s="52"/>
      <c r="Q421" s="52">
        <v>0</v>
      </c>
      <c r="R421" s="52">
        <v>0</v>
      </c>
    </row>
    <row r="422" spans="2:18" x14ac:dyDescent="0.2">
      <c r="B422" s="56" t="s">
        <v>64</v>
      </c>
      <c r="C422" s="45"/>
      <c r="D422" s="45">
        <v>0</v>
      </c>
      <c r="E422" s="52">
        <v>0</v>
      </c>
      <c r="F422" s="52">
        <v>0</v>
      </c>
      <c r="G422" s="48">
        <v>0</v>
      </c>
      <c r="H422" s="45">
        <v>0</v>
      </c>
      <c r="I422" s="45">
        <v>0</v>
      </c>
      <c r="J422" s="45">
        <v>0</v>
      </c>
      <c r="K422" s="45"/>
      <c r="L422" s="45"/>
      <c r="M422" s="52">
        <v>0</v>
      </c>
      <c r="N422" s="52">
        <v>0</v>
      </c>
      <c r="O422" s="45">
        <v>0</v>
      </c>
      <c r="P422" s="52"/>
      <c r="Q422" s="52">
        <v>0</v>
      </c>
      <c r="R422" s="52">
        <v>0</v>
      </c>
    </row>
    <row r="423" spans="2:18" x14ac:dyDescent="0.2">
      <c r="B423" s="56" t="s">
        <v>64</v>
      </c>
      <c r="C423" s="45"/>
      <c r="D423" s="45">
        <v>0</v>
      </c>
      <c r="E423" s="52">
        <v>0</v>
      </c>
      <c r="F423" s="52">
        <v>0</v>
      </c>
      <c r="G423" s="48">
        <v>0</v>
      </c>
      <c r="H423" s="45">
        <v>0</v>
      </c>
      <c r="I423" s="45">
        <v>0</v>
      </c>
      <c r="J423" s="45">
        <v>0</v>
      </c>
      <c r="K423" s="45"/>
      <c r="L423" s="45"/>
      <c r="M423" s="52">
        <v>0</v>
      </c>
      <c r="N423" s="52">
        <v>0</v>
      </c>
      <c r="O423" s="45">
        <v>0</v>
      </c>
      <c r="P423" s="52"/>
      <c r="Q423" s="52">
        <v>0</v>
      </c>
      <c r="R423" s="52">
        <v>0</v>
      </c>
    </row>
    <row r="424" spans="2:18" x14ac:dyDescent="0.2">
      <c r="B424" s="56" t="s">
        <v>64</v>
      </c>
      <c r="C424" s="45"/>
      <c r="D424" s="45">
        <v>0</v>
      </c>
      <c r="E424" s="52">
        <v>0</v>
      </c>
      <c r="F424" s="52">
        <v>0</v>
      </c>
      <c r="G424" s="48">
        <v>0</v>
      </c>
      <c r="H424" s="45">
        <v>0</v>
      </c>
      <c r="I424" s="45">
        <v>0</v>
      </c>
      <c r="J424" s="45">
        <v>0</v>
      </c>
      <c r="K424" s="45"/>
      <c r="L424" s="45"/>
      <c r="M424" s="52">
        <v>0</v>
      </c>
      <c r="N424" s="52">
        <v>0</v>
      </c>
      <c r="O424" s="45">
        <v>0</v>
      </c>
      <c r="P424" s="52"/>
      <c r="Q424" s="52">
        <v>0</v>
      </c>
      <c r="R424" s="52">
        <v>0</v>
      </c>
    </row>
    <row r="425" spans="2:18" x14ac:dyDescent="0.2">
      <c r="B425" s="56" t="s">
        <v>64</v>
      </c>
      <c r="C425" s="45"/>
      <c r="D425" s="45">
        <v>0</v>
      </c>
      <c r="E425" s="52">
        <v>0</v>
      </c>
      <c r="F425" s="52">
        <v>0</v>
      </c>
      <c r="G425" s="48">
        <v>0</v>
      </c>
      <c r="H425" s="45">
        <v>0</v>
      </c>
      <c r="I425" s="45">
        <v>0</v>
      </c>
      <c r="J425" s="45">
        <v>0</v>
      </c>
      <c r="K425" s="45"/>
      <c r="L425" s="45"/>
      <c r="M425" s="52">
        <v>0</v>
      </c>
      <c r="N425" s="52">
        <v>0</v>
      </c>
      <c r="O425" s="45">
        <v>0</v>
      </c>
      <c r="P425" s="52"/>
      <c r="Q425" s="52">
        <v>0</v>
      </c>
      <c r="R425" s="52">
        <v>0</v>
      </c>
    </row>
    <row r="426" spans="2:18" x14ac:dyDescent="0.2">
      <c r="B426" s="56" t="s">
        <v>64</v>
      </c>
      <c r="C426" s="45"/>
      <c r="D426" s="45">
        <v>0</v>
      </c>
      <c r="E426" s="52">
        <v>0</v>
      </c>
      <c r="F426" s="52">
        <v>0</v>
      </c>
      <c r="G426" s="48">
        <v>0</v>
      </c>
      <c r="H426" s="45">
        <v>0</v>
      </c>
      <c r="I426" s="45">
        <v>0</v>
      </c>
      <c r="J426" s="45">
        <v>0</v>
      </c>
      <c r="K426" s="45"/>
      <c r="L426" s="45"/>
      <c r="M426" s="52">
        <v>0</v>
      </c>
      <c r="N426" s="52">
        <v>0</v>
      </c>
      <c r="O426" s="45">
        <v>0</v>
      </c>
      <c r="P426" s="52"/>
      <c r="Q426" s="52">
        <v>0</v>
      </c>
      <c r="R426" s="52">
        <v>0</v>
      </c>
    </row>
    <row r="427" spans="2:18" x14ac:dyDescent="0.2">
      <c r="B427" s="56" t="s">
        <v>64</v>
      </c>
      <c r="C427" s="45"/>
      <c r="D427" s="45">
        <v>0</v>
      </c>
      <c r="E427" s="52">
        <v>0</v>
      </c>
      <c r="F427" s="52">
        <v>0</v>
      </c>
      <c r="G427" s="48">
        <v>0</v>
      </c>
      <c r="H427" s="45">
        <v>0</v>
      </c>
      <c r="I427" s="45">
        <v>0</v>
      </c>
      <c r="J427" s="45">
        <v>0</v>
      </c>
      <c r="K427" s="45"/>
      <c r="L427" s="45"/>
      <c r="M427" s="52">
        <v>0</v>
      </c>
      <c r="N427" s="52">
        <v>0</v>
      </c>
      <c r="O427" s="45">
        <v>0</v>
      </c>
      <c r="P427" s="52"/>
      <c r="Q427" s="52">
        <v>0</v>
      </c>
      <c r="R427" s="52">
        <v>0</v>
      </c>
    </row>
    <row r="428" spans="2:18" x14ac:dyDescent="0.2">
      <c r="B428" s="56" t="s">
        <v>64</v>
      </c>
      <c r="C428" s="45"/>
      <c r="D428" s="45">
        <v>0</v>
      </c>
      <c r="E428" s="52">
        <v>0</v>
      </c>
      <c r="F428" s="52">
        <v>0</v>
      </c>
      <c r="G428" s="48">
        <v>0</v>
      </c>
      <c r="H428" s="45">
        <v>0</v>
      </c>
      <c r="I428" s="45">
        <v>0</v>
      </c>
      <c r="J428" s="45">
        <v>0</v>
      </c>
      <c r="K428" s="45"/>
      <c r="L428" s="45"/>
      <c r="M428" s="52">
        <v>0</v>
      </c>
      <c r="N428" s="52">
        <v>0</v>
      </c>
      <c r="O428" s="45">
        <v>0</v>
      </c>
      <c r="P428" s="52"/>
      <c r="Q428" s="52">
        <v>0</v>
      </c>
      <c r="R428" s="52">
        <v>0</v>
      </c>
    </row>
    <row r="429" spans="2:18" x14ac:dyDescent="0.2">
      <c r="B429" s="56" t="s">
        <v>64</v>
      </c>
      <c r="C429" s="45"/>
      <c r="D429" s="45">
        <v>0</v>
      </c>
      <c r="E429" s="52">
        <v>0</v>
      </c>
      <c r="F429" s="52">
        <v>0</v>
      </c>
      <c r="G429" s="48">
        <v>0</v>
      </c>
      <c r="H429" s="45">
        <v>0</v>
      </c>
      <c r="I429" s="45">
        <v>0</v>
      </c>
      <c r="J429" s="45">
        <v>0</v>
      </c>
      <c r="K429" s="45"/>
      <c r="L429" s="45"/>
      <c r="M429" s="52">
        <v>0</v>
      </c>
      <c r="N429" s="52">
        <v>0</v>
      </c>
      <c r="O429" s="45">
        <v>0</v>
      </c>
      <c r="P429" s="52"/>
      <c r="Q429" s="52">
        <v>0</v>
      </c>
      <c r="R429" s="52">
        <v>0</v>
      </c>
    </row>
    <row r="430" spans="2:18" x14ac:dyDescent="0.2">
      <c r="B430" s="56" t="s">
        <v>64</v>
      </c>
      <c r="C430" s="45"/>
      <c r="D430" s="45">
        <v>0</v>
      </c>
      <c r="E430" s="52">
        <v>0</v>
      </c>
      <c r="F430" s="52">
        <v>0</v>
      </c>
      <c r="G430" s="48">
        <v>0</v>
      </c>
      <c r="H430" s="45">
        <v>0</v>
      </c>
      <c r="I430" s="45">
        <v>0</v>
      </c>
      <c r="J430" s="45">
        <v>0</v>
      </c>
      <c r="K430" s="45"/>
      <c r="L430" s="45"/>
      <c r="M430" s="52">
        <v>0</v>
      </c>
      <c r="N430" s="52">
        <v>0</v>
      </c>
      <c r="O430" s="45">
        <v>0</v>
      </c>
      <c r="P430" s="52"/>
      <c r="Q430" s="52">
        <v>0</v>
      </c>
      <c r="R430" s="52">
        <v>0</v>
      </c>
    </row>
    <row r="431" spans="2:18" x14ac:dyDescent="0.2">
      <c r="B431" s="56" t="s">
        <v>64</v>
      </c>
      <c r="C431" s="45"/>
      <c r="D431" s="45">
        <v>0</v>
      </c>
      <c r="E431" s="52">
        <v>0</v>
      </c>
      <c r="F431" s="52">
        <v>0</v>
      </c>
      <c r="G431" s="48">
        <v>0</v>
      </c>
      <c r="H431" s="45">
        <v>0</v>
      </c>
      <c r="I431" s="45">
        <v>0</v>
      </c>
      <c r="J431" s="45">
        <v>0</v>
      </c>
      <c r="K431" s="45"/>
      <c r="L431" s="45"/>
      <c r="M431" s="52">
        <v>0</v>
      </c>
      <c r="N431" s="52">
        <v>0</v>
      </c>
      <c r="O431" s="45">
        <v>0</v>
      </c>
      <c r="P431" s="52"/>
      <c r="Q431" s="52">
        <v>0</v>
      </c>
      <c r="R431" s="52">
        <v>0</v>
      </c>
    </row>
    <row r="432" spans="2:18" x14ac:dyDescent="0.2">
      <c r="B432" s="56" t="s">
        <v>64</v>
      </c>
      <c r="C432" s="45"/>
      <c r="D432" s="45">
        <v>0</v>
      </c>
      <c r="E432" s="52">
        <v>0</v>
      </c>
      <c r="F432" s="52">
        <v>0</v>
      </c>
      <c r="G432" s="48">
        <v>0</v>
      </c>
      <c r="H432" s="45">
        <v>0</v>
      </c>
      <c r="I432" s="45">
        <v>0</v>
      </c>
      <c r="J432" s="45">
        <v>0</v>
      </c>
      <c r="K432" s="45"/>
      <c r="L432" s="45"/>
      <c r="M432" s="52">
        <v>0</v>
      </c>
      <c r="N432" s="52">
        <v>0</v>
      </c>
      <c r="O432" s="45">
        <v>0</v>
      </c>
      <c r="P432" s="52"/>
      <c r="Q432" s="52">
        <v>0</v>
      </c>
      <c r="R432" s="52">
        <v>0</v>
      </c>
    </row>
    <row r="433" spans="2:18" x14ac:dyDescent="0.2">
      <c r="B433" s="56" t="s">
        <v>64</v>
      </c>
      <c r="C433" s="45"/>
      <c r="D433" s="45">
        <v>0</v>
      </c>
      <c r="E433" s="52">
        <v>0</v>
      </c>
      <c r="F433" s="52">
        <v>0</v>
      </c>
      <c r="G433" s="48">
        <v>0</v>
      </c>
      <c r="H433" s="45">
        <v>0</v>
      </c>
      <c r="I433" s="45">
        <v>0</v>
      </c>
      <c r="J433" s="45">
        <v>0</v>
      </c>
      <c r="K433" s="45"/>
      <c r="L433" s="45"/>
      <c r="M433" s="52">
        <v>0</v>
      </c>
      <c r="N433" s="52">
        <v>0</v>
      </c>
      <c r="O433" s="45">
        <v>0</v>
      </c>
      <c r="P433" s="52"/>
      <c r="Q433" s="52">
        <v>0</v>
      </c>
      <c r="R433" s="52">
        <v>0</v>
      </c>
    </row>
    <row r="434" spans="2:18" x14ac:dyDescent="0.2">
      <c r="B434" s="56" t="s">
        <v>64</v>
      </c>
      <c r="C434" s="45"/>
      <c r="D434" s="45">
        <v>0</v>
      </c>
      <c r="E434" s="52">
        <v>0</v>
      </c>
      <c r="F434" s="52">
        <v>0</v>
      </c>
      <c r="G434" s="48">
        <v>0</v>
      </c>
      <c r="H434" s="45">
        <v>0</v>
      </c>
      <c r="I434" s="45">
        <v>0</v>
      </c>
      <c r="J434" s="45">
        <v>0</v>
      </c>
      <c r="K434" s="45"/>
      <c r="L434" s="45"/>
      <c r="M434" s="52">
        <v>0</v>
      </c>
      <c r="N434" s="52">
        <v>0</v>
      </c>
      <c r="O434" s="45">
        <v>0</v>
      </c>
      <c r="P434" s="52"/>
      <c r="Q434" s="52">
        <v>0</v>
      </c>
      <c r="R434" s="52">
        <v>0</v>
      </c>
    </row>
    <row r="435" spans="2:18" x14ac:dyDescent="0.2">
      <c r="B435" s="56" t="s">
        <v>64</v>
      </c>
      <c r="C435" s="45"/>
      <c r="D435" s="45">
        <v>0</v>
      </c>
      <c r="E435" s="52">
        <v>0</v>
      </c>
      <c r="F435" s="52">
        <v>0</v>
      </c>
      <c r="G435" s="48">
        <v>0</v>
      </c>
      <c r="H435" s="45">
        <v>0</v>
      </c>
      <c r="I435" s="45">
        <v>0</v>
      </c>
      <c r="J435" s="45">
        <v>0</v>
      </c>
      <c r="K435" s="45"/>
      <c r="L435" s="45"/>
      <c r="M435" s="52">
        <v>0</v>
      </c>
      <c r="N435" s="52">
        <v>0</v>
      </c>
      <c r="O435" s="45">
        <v>0</v>
      </c>
      <c r="P435" s="52"/>
      <c r="Q435" s="52">
        <v>0</v>
      </c>
      <c r="R435" s="52">
        <v>0</v>
      </c>
    </row>
    <row r="436" spans="2:18" x14ac:dyDescent="0.2">
      <c r="B436" s="56" t="s">
        <v>64</v>
      </c>
      <c r="C436" s="45"/>
      <c r="D436" s="45">
        <v>0</v>
      </c>
      <c r="E436" s="52">
        <v>0</v>
      </c>
      <c r="F436" s="52">
        <v>0</v>
      </c>
      <c r="G436" s="48">
        <v>0</v>
      </c>
      <c r="H436" s="45">
        <v>0</v>
      </c>
      <c r="I436" s="45">
        <v>0</v>
      </c>
      <c r="J436" s="45">
        <v>0</v>
      </c>
      <c r="K436" s="45"/>
      <c r="L436" s="45"/>
      <c r="M436" s="52">
        <v>0</v>
      </c>
      <c r="N436" s="52">
        <v>0</v>
      </c>
      <c r="O436" s="45">
        <v>0</v>
      </c>
      <c r="P436" s="52"/>
      <c r="Q436" s="52">
        <v>0</v>
      </c>
      <c r="R436" s="52">
        <v>0</v>
      </c>
    </row>
    <row r="437" spans="2:18" x14ac:dyDescent="0.2">
      <c r="B437" s="56" t="s">
        <v>64</v>
      </c>
      <c r="C437" s="45"/>
      <c r="D437" s="45">
        <v>0</v>
      </c>
      <c r="E437" s="52">
        <v>0</v>
      </c>
      <c r="F437" s="52">
        <v>0</v>
      </c>
      <c r="G437" s="48">
        <v>0</v>
      </c>
      <c r="H437" s="45">
        <v>0</v>
      </c>
      <c r="I437" s="45">
        <v>0</v>
      </c>
      <c r="J437" s="45">
        <v>0</v>
      </c>
      <c r="K437" s="45"/>
      <c r="L437" s="45"/>
      <c r="M437" s="52">
        <v>0</v>
      </c>
      <c r="N437" s="52">
        <v>0</v>
      </c>
      <c r="O437" s="45">
        <v>0</v>
      </c>
      <c r="P437" s="52"/>
      <c r="Q437" s="52">
        <v>0</v>
      </c>
      <c r="R437" s="52">
        <v>0</v>
      </c>
    </row>
    <row r="438" spans="2:18" x14ac:dyDescent="0.2">
      <c r="B438" s="56" t="s">
        <v>64</v>
      </c>
      <c r="C438" s="45"/>
      <c r="D438" s="45">
        <v>0</v>
      </c>
      <c r="E438" s="52">
        <v>0</v>
      </c>
      <c r="F438" s="52">
        <v>0</v>
      </c>
      <c r="G438" s="48">
        <v>0</v>
      </c>
      <c r="H438" s="45">
        <v>0</v>
      </c>
      <c r="I438" s="45">
        <v>0</v>
      </c>
      <c r="J438" s="45">
        <v>0</v>
      </c>
      <c r="K438" s="45"/>
      <c r="L438" s="45"/>
      <c r="M438" s="52">
        <v>0</v>
      </c>
      <c r="N438" s="52">
        <v>0</v>
      </c>
      <c r="O438" s="45">
        <v>0</v>
      </c>
      <c r="P438" s="52"/>
      <c r="Q438" s="52">
        <v>0</v>
      </c>
      <c r="R438" s="52">
        <v>0</v>
      </c>
    </row>
    <row r="439" spans="2:18" x14ac:dyDescent="0.2">
      <c r="B439" s="56" t="s">
        <v>64</v>
      </c>
      <c r="C439" s="45"/>
      <c r="D439" s="45">
        <v>0</v>
      </c>
      <c r="E439" s="52">
        <v>0</v>
      </c>
      <c r="F439" s="52">
        <v>0</v>
      </c>
      <c r="G439" s="48">
        <v>0</v>
      </c>
      <c r="H439" s="45">
        <v>0</v>
      </c>
      <c r="I439" s="45">
        <v>0</v>
      </c>
      <c r="J439" s="45">
        <v>0</v>
      </c>
      <c r="K439" s="45"/>
      <c r="L439" s="45"/>
      <c r="M439" s="52">
        <v>0</v>
      </c>
      <c r="N439" s="52">
        <v>0</v>
      </c>
      <c r="O439" s="45">
        <v>0</v>
      </c>
      <c r="P439" s="52"/>
      <c r="Q439" s="52">
        <v>0</v>
      </c>
      <c r="R439" s="52">
        <v>0</v>
      </c>
    </row>
    <row r="440" spans="2:18" x14ac:dyDescent="0.2">
      <c r="B440" s="56" t="s">
        <v>64</v>
      </c>
      <c r="C440" s="45"/>
      <c r="D440" s="45">
        <v>0</v>
      </c>
      <c r="E440" s="52">
        <v>0</v>
      </c>
      <c r="F440" s="52">
        <v>0</v>
      </c>
      <c r="G440" s="48">
        <v>0</v>
      </c>
      <c r="H440" s="45">
        <v>0</v>
      </c>
      <c r="I440" s="45">
        <v>0</v>
      </c>
      <c r="J440" s="45">
        <v>0</v>
      </c>
      <c r="K440" s="45"/>
      <c r="L440" s="45"/>
      <c r="M440" s="52">
        <v>0</v>
      </c>
      <c r="N440" s="52">
        <v>0</v>
      </c>
      <c r="O440" s="45">
        <v>0</v>
      </c>
      <c r="P440" s="52"/>
      <c r="Q440" s="52">
        <v>0</v>
      </c>
      <c r="R440" s="52">
        <v>0</v>
      </c>
    </row>
    <row r="441" spans="2:18" x14ac:dyDescent="0.2">
      <c r="B441" s="56" t="s">
        <v>64</v>
      </c>
      <c r="C441" s="45"/>
      <c r="D441" s="45">
        <v>0</v>
      </c>
      <c r="E441" s="52">
        <v>0</v>
      </c>
      <c r="F441" s="52">
        <v>0</v>
      </c>
      <c r="G441" s="48">
        <v>0</v>
      </c>
      <c r="H441" s="45">
        <v>0</v>
      </c>
      <c r="I441" s="45">
        <v>0</v>
      </c>
      <c r="J441" s="45">
        <v>0</v>
      </c>
      <c r="K441" s="45"/>
      <c r="L441" s="45"/>
      <c r="M441" s="52">
        <v>0</v>
      </c>
      <c r="N441" s="52">
        <v>0</v>
      </c>
      <c r="O441" s="45">
        <v>0</v>
      </c>
      <c r="P441" s="52"/>
      <c r="Q441" s="52">
        <v>0</v>
      </c>
      <c r="R441" s="52">
        <v>0</v>
      </c>
    </row>
    <row r="442" spans="2:18" x14ac:dyDescent="0.2">
      <c r="B442" s="56" t="s">
        <v>64</v>
      </c>
      <c r="C442" s="45"/>
      <c r="D442" s="45">
        <v>0</v>
      </c>
      <c r="E442" s="52">
        <v>0</v>
      </c>
      <c r="F442" s="52">
        <v>0</v>
      </c>
      <c r="G442" s="48">
        <v>0</v>
      </c>
      <c r="H442" s="45">
        <v>0</v>
      </c>
      <c r="I442" s="45">
        <v>0</v>
      </c>
      <c r="J442" s="45">
        <v>0</v>
      </c>
      <c r="K442" s="45"/>
      <c r="L442" s="45"/>
      <c r="M442" s="52">
        <v>0</v>
      </c>
      <c r="N442" s="52">
        <v>0</v>
      </c>
      <c r="O442" s="45">
        <v>0</v>
      </c>
      <c r="P442" s="52"/>
      <c r="Q442" s="52">
        <v>0</v>
      </c>
      <c r="R442" s="52">
        <v>0</v>
      </c>
    </row>
    <row r="443" spans="2:18" x14ac:dyDescent="0.2">
      <c r="B443" s="56" t="s">
        <v>64</v>
      </c>
      <c r="C443" s="45"/>
      <c r="D443" s="45">
        <v>0</v>
      </c>
      <c r="E443" s="52">
        <v>0</v>
      </c>
      <c r="F443" s="52">
        <v>0</v>
      </c>
      <c r="G443" s="48">
        <v>0</v>
      </c>
      <c r="H443" s="45">
        <v>0</v>
      </c>
      <c r="I443" s="45">
        <v>0</v>
      </c>
      <c r="J443" s="45">
        <v>0</v>
      </c>
      <c r="K443" s="45"/>
      <c r="L443" s="45"/>
      <c r="M443" s="52">
        <v>0</v>
      </c>
      <c r="N443" s="52">
        <v>0</v>
      </c>
      <c r="O443" s="45">
        <v>0</v>
      </c>
      <c r="P443" s="52"/>
      <c r="Q443" s="52">
        <v>0</v>
      </c>
      <c r="R443" s="52">
        <v>0</v>
      </c>
    </row>
    <row r="444" spans="2:18" x14ac:dyDescent="0.2">
      <c r="B444" s="56" t="s">
        <v>64</v>
      </c>
      <c r="C444" s="45"/>
      <c r="D444" s="45">
        <v>0</v>
      </c>
      <c r="E444" s="52">
        <v>0</v>
      </c>
      <c r="F444" s="52">
        <v>0</v>
      </c>
      <c r="G444" s="48">
        <v>0</v>
      </c>
      <c r="H444" s="45">
        <v>0</v>
      </c>
      <c r="I444" s="45">
        <v>0</v>
      </c>
      <c r="J444" s="45">
        <v>0</v>
      </c>
      <c r="K444" s="45"/>
      <c r="L444" s="45"/>
      <c r="M444" s="52">
        <v>0</v>
      </c>
      <c r="N444" s="52">
        <v>0</v>
      </c>
      <c r="O444" s="45">
        <v>0</v>
      </c>
      <c r="P444" s="52"/>
      <c r="Q444" s="52">
        <v>0</v>
      </c>
      <c r="R444" s="52">
        <v>0</v>
      </c>
    </row>
    <row r="445" spans="2:18" x14ac:dyDescent="0.2">
      <c r="B445" s="56" t="s">
        <v>64</v>
      </c>
      <c r="C445" s="45"/>
      <c r="D445" s="45">
        <v>0</v>
      </c>
      <c r="E445" s="52">
        <v>0</v>
      </c>
      <c r="F445" s="52">
        <v>0</v>
      </c>
      <c r="G445" s="48">
        <v>0</v>
      </c>
      <c r="H445" s="45">
        <v>0</v>
      </c>
      <c r="I445" s="45">
        <v>0</v>
      </c>
      <c r="J445" s="45">
        <v>0</v>
      </c>
      <c r="K445" s="45"/>
      <c r="L445" s="45"/>
      <c r="M445" s="52">
        <v>0</v>
      </c>
      <c r="N445" s="52">
        <v>0</v>
      </c>
      <c r="O445" s="45">
        <v>0</v>
      </c>
      <c r="P445" s="52"/>
      <c r="Q445" s="52">
        <v>0</v>
      </c>
      <c r="R445" s="52">
        <v>0</v>
      </c>
    </row>
    <row r="446" spans="2:18" x14ac:dyDescent="0.2">
      <c r="B446" s="56" t="s">
        <v>64</v>
      </c>
      <c r="C446" s="45"/>
      <c r="D446" s="45">
        <v>0</v>
      </c>
      <c r="E446" s="52">
        <v>0</v>
      </c>
      <c r="F446" s="52">
        <v>0</v>
      </c>
      <c r="G446" s="48">
        <v>0</v>
      </c>
      <c r="H446" s="45">
        <v>0</v>
      </c>
      <c r="I446" s="45">
        <v>0</v>
      </c>
      <c r="J446" s="45">
        <v>0</v>
      </c>
      <c r="K446" s="45"/>
      <c r="L446" s="45"/>
      <c r="M446" s="52">
        <v>0</v>
      </c>
      <c r="N446" s="52">
        <v>0</v>
      </c>
      <c r="O446" s="45">
        <v>0</v>
      </c>
      <c r="P446" s="52"/>
      <c r="Q446" s="52">
        <v>0</v>
      </c>
      <c r="R446" s="52">
        <v>0</v>
      </c>
    </row>
    <row r="447" spans="2:18" x14ac:dyDescent="0.2">
      <c r="B447" s="56" t="s">
        <v>64</v>
      </c>
      <c r="C447" s="45"/>
      <c r="D447" s="45">
        <v>0</v>
      </c>
      <c r="E447" s="52">
        <v>0</v>
      </c>
      <c r="F447" s="52">
        <v>0</v>
      </c>
      <c r="G447" s="48">
        <v>0</v>
      </c>
      <c r="H447" s="45">
        <v>0</v>
      </c>
      <c r="I447" s="45">
        <v>0</v>
      </c>
      <c r="J447" s="45">
        <v>0</v>
      </c>
      <c r="K447" s="45"/>
      <c r="L447" s="45"/>
      <c r="M447" s="52">
        <v>0</v>
      </c>
      <c r="N447" s="52">
        <v>0</v>
      </c>
      <c r="O447" s="45">
        <v>0</v>
      </c>
      <c r="P447" s="52"/>
      <c r="Q447" s="52">
        <v>0</v>
      </c>
      <c r="R447" s="52">
        <v>0</v>
      </c>
    </row>
    <row r="448" spans="2:18" x14ac:dyDescent="0.2">
      <c r="B448" s="56" t="s">
        <v>64</v>
      </c>
      <c r="C448" s="45"/>
      <c r="D448" s="45">
        <v>0</v>
      </c>
      <c r="E448" s="52">
        <v>0</v>
      </c>
      <c r="F448" s="52">
        <v>0</v>
      </c>
      <c r="G448" s="48">
        <v>0</v>
      </c>
      <c r="H448" s="45">
        <v>0</v>
      </c>
      <c r="I448" s="45">
        <v>0</v>
      </c>
      <c r="J448" s="45">
        <v>0</v>
      </c>
      <c r="K448" s="45"/>
      <c r="L448" s="45"/>
      <c r="M448" s="52">
        <v>0</v>
      </c>
      <c r="N448" s="52">
        <v>0</v>
      </c>
      <c r="O448" s="45">
        <v>0</v>
      </c>
      <c r="P448" s="52"/>
      <c r="Q448" s="52">
        <v>0</v>
      </c>
      <c r="R448" s="52">
        <v>0</v>
      </c>
    </row>
    <row r="449" spans="2:18" x14ac:dyDescent="0.2">
      <c r="B449" s="56" t="s">
        <v>64</v>
      </c>
      <c r="C449" s="45"/>
      <c r="D449" s="45">
        <v>0</v>
      </c>
      <c r="E449" s="52">
        <v>0</v>
      </c>
      <c r="F449" s="52">
        <v>0</v>
      </c>
      <c r="G449" s="48">
        <v>0</v>
      </c>
      <c r="H449" s="45">
        <v>0</v>
      </c>
      <c r="I449" s="45">
        <v>0</v>
      </c>
      <c r="J449" s="45">
        <v>0</v>
      </c>
      <c r="K449" s="45"/>
      <c r="L449" s="45"/>
      <c r="M449" s="52">
        <v>0</v>
      </c>
      <c r="N449" s="52">
        <v>0</v>
      </c>
      <c r="O449" s="45">
        <v>0</v>
      </c>
      <c r="P449" s="45"/>
      <c r="Q449" s="52">
        <v>0</v>
      </c>
      <c r="R449" s="52">
        <v>0</v>
      </c>
    </row>
    <row r="450" spans="2:18" x14ac:dyDescent="0.2">
      <c r="B450" s="56" t="s">
        <v>64</v>
      </c>
      <c r="C450" s="45"/>
      <c r="D450" s="45">
        <v>0</v>
      </c>
      <c r="E450" s="52">
        <v>0</v>
      </c>
      <c r="F450" s="52">
        <v>0</v>
      </c>
      <c r="G450" s="48">
        <v>0</v>
      </c>
      <c r="H450" s="45">
        <v>0</v>
      </c>
      <c r="I450" s="45">
        <v>0</v>
      </c>
      <c r="J450" s="45">
        <v>0</v>
      </c>
      <c r="K450" s="45"/>
      <c r="L450" s="45"/>
      <c r="M450" s="52">
        <v>0</v>
      </c>
      <c r="N450" s="52">
        <v>0</v>
      </c>
      <c r="O450" s="45">
        <v>0</v>
      </c>
      <c r="P450" s="45"/>
      <c r="Q450" s="52">
        <v>0</v>
      </c>
      <c r="R450" s="52">
        <v>0</v>
      </c>
    </row>
    <row r="451" spans="2:18" x14ac:dyDescent="0.2">
      <c r="B451" s="56" t="s">
        <v>64</v>
      </c>
      <c r="C451" s="45"/>
      <c r="D451" s="45">
        <v>0</v>
      </c>
      <c r="E451" s="52">
        <v>0</v>
      </c>
      <c r="F451" s="52">
        <v>0</v>
      </c>
      <c r="G451" s="48">
        <v>0</v>
      </c>
      <c r="H451" s="45">
        <v>0</v>
      </c>
      <c r="I451" s="45">
        <v>0</v>
      </c>
      <c r="J451" s="45">
        <v>0</v>
      </c>
      <c r="K451" s="45"/>
      <c r="L451" s="45"/>
      <c r="M451" s="52">
        <v>0</v>
      </c>
      <c r="N451" s="52">
        <v>0</v>
      </c>
      <c r="O451" s="45">
        <v>0</v>
      </c>
      <c r="P451" s="45"/>
      <c r="Q451" s="52">
        <v>0</v>
      </c>
      <c r="R451" s="52">
        <v>0</v>
      </c>
    </row>
    <row r="452" spans="2:18" x14ac:dyDescent="0.2">
      <c r="B452" s="56" t="s">
        <v>64</v>
      </c>
      <c r="C452" s="45"/>
      <c r="D452" s="45">
        <v>0</v>
      </c>
      <c r="E452" s="52">
        <v>0</v>
      </c>
      <c r="F452" s="52">
        <v>0</v>
      </c>
      <c r="G452" s="48">
        <v>0</v>
      </c>
      <c r="H452" s="45">
        <v>0</v>
      </c>
      <c r="I452" s="45">
        <v>0</v>
      </c>
      <c r="J452" s="45">
        <v>0</v>
      </c>
      <c r="K452" s="45"/>
      <c r="L452" s="45"/>
      <c r="M452" s="52">
        <v>0</v>
      </c>
      <c r="N452" s="52">
        <v>0</v>
      </c>
      <c r="O452" s="45">
        <v>0</v>
      </c>
      <c r="P452" s="45"/>
      <c r="Q452" s="52">
        <v>0</v>
      </c>
      <c r="R452" s="52">
        <v>0</v>
      </c>
    </row>
    <row r="453" spans="2:18" x14ac:dyDescent="0.2">
      <c r="B453" s="56" t="s">
        <v>64</v>
      </c>
      <c r="C453" s="45"/>
      <c r="D453" s="45">
        <v>0</v>
      </c>
      <c r="E453" s="52">
        <v>0</v>
      </c>
      <c r="F453" s="52">
        <v>0</v>
      </c>
      <c r="G453" s="48">
        <v>0</v>
      </c>
      <c r="H453" s="45">
        <v>0</v>
      </c>
      <c r="I453" s="45">
        <v>0</v>
      </c>
      <c r="J453" s="45">
        <v>0</v>
      </c>
      <c r="K453" s="45"/>
      <c r="L453" s="45"/>
      <c r="M453" s="52">
        <v>0</v>
      </c>
      <c r="N453" s="52">
        <v>0</v>
      </c>
      <c r="O453" s="45">
        <v>0</v>
      </c>
      <c r="P453" s="45"/>
      <c r="Q453" s="52">
        <v>0</v>
      </c>
      <c r="R453" s="52">
        <v>0</v>
      </c>
    </row>
    <row r="454" spans="2:18" x14ac:dyDescent="0.2">
      <c r="B454" s="56" t="s">
        <v>64</v>
      </c>
      <c r="C454" s="45"/>
      <c r="D454" s="45">
        <v>0</v>
      </c>
      <c r="E454" s="52">
        <v>0</v>
      </c>
      <c r="F454" s="52">
        <v>0</v>
      </c>
      <c r="G454" s="48">
        <v>0</v>
      </c>
      <c r="H454" s="45">
        <v>0</v>
      </c>
      <c r="I454" s="45">
        <v>0</v>
      </c>
      <c r="J454" s="45">
        <v>0</v>
      </c>
      <c r="K454" s="45"/>
      <c r="L454" s="45"/>
      <c r="M454" s="52">
        <v>0</v>
      </c>
      <c r="N454" s="52">
        <v>0</v>
      </c>
      <c r="O454" s="45">
        <v>0</v>
      </c>
      <c r="P454" s="45"/>
      <c r="Q454" s="52">
        <v>0</v>
      </c>
      <c r="R454" s="52">
        <v>0</v>
      </c>
    </row>
    <row r="455" spans="2:18" x14ac:dyDescent="0.2">
      <c r="B455" s="56" t="s">
        <v>64</v>
      </c>
      <c r="C455" s="45"/>
      <c r="D455" s="45">
        <v>0</v>
      </c>
      <c r="E455" s="52">
        <v>0</v>
      </c>
      <c r="F455" s="52">
        <v>0</v>
      </c>
      <c r="G455" s="48">
        <v>0</v>
      </c>
      <c r="H455" s="45">
        <v>0</v>
      </c>
      <c r="I455" s="45">
        <v>0</v>
      </c>
      <c r="J455" s="45">
        <v>0</v>
      </c>
      <c r="K455" s="45"/>
      <c r="L455" s="45"/>
      <c r="M455" s="52">
        <v>0</v>
      </c>
      <c r="N455" s="52">
        <v>0</v>
      </c>
      <c r="O455" s="45">
        <v>0</v>
      </c>
      <c r="P455" s="45"/>
      <c r="Q455" s="52">
        <v>0</v>
      </c>
      <c r="R455" s="52">
        <v>0</v>
      </c>
    </row>
    <row r="456" spans="2:18" x14ac:dyDescent="0.2">
      <c r="B456" s="56" t="s">
        <v>64</v>
      </c>
      <c r="C456" s="45"/>
      <c r="D456" s="45">
        <v>0</v>
      </c>
      <c r="E456" s="52">
        <v>0</v>
      </c>
      <c r="F456" s="52">
        <v>0</v>
      </c>
      <c r="G456" s="48">
        <v>0</v>
      </c>
      <c r="H456" s="45">
        <v>0</v>
      </c>
      <c r="I456" s="45">
        <v>0</v>
      </c>
      <c r="J456" s="45">
        <v>0</v>
      </c>
      <c r="K456" s="45"/>
      <c r="L456" s="45"/>
      <c r="M456" s="52">
        <v>0</v>
      </c>
      <c r="N456" s="52">
        <v>0</v>
      </c>
      <c r="O456" s="45">
        <v>0</v>
      </c>
      <c r="P456" s="45"/>
      <c r="Q456" s="52">
        <v>0</v>
      </c>
      <c r="R456" s="52">
        <v>0</v>
      </c>
    </row>
    <row r="457" spans="2:18" x14ac:dyDescent="0.2">
      <c r="B457" s="56" t="s">
        <v>64</v>
      </c>
      <c r="C457" s="45"/>
      <c r="D457" s="45">
        <v>0</v>
      </c>
      <c r="E457" s="52">
        <v>0</v>
      </c>
      <c r="F457" s="52">
        <v>0</v>
      </c>
      <c r="G457" s="48">
        <v>0</v>
      </c>
      <c r="H457" s="45">
        <v>0</v>
      </c>
      <c r="I457" s="45">
        <v>0</v>
      </c>
      <c r="J457" s="45">
        <v>0</v>
      </c>
      <c r="K457" s="45"/>
      <c r="L457" s="45"/>
      <c r="M457" s="52">
        <v>0</v>
      </c>
      <c r="N457" s="52">
        <v>0</v>
      </c>
      <c r="O457" s="45">
        <v>0</v>
      </c>
      <c r="P457" s="45"/>
      <c r="Q457" s="52">
        <v>0</v>
      </c>
      <c r="R457" s="52">
        <v>0</v>
      </c>
    </row>
    <row r="458" spans="2:18" x14ac:dyDescent="0.2">
      <c r="B458" s="56" t="s">
        <v>64</v>
      </c>
      <c r="C458" s="45"/>
      <c r="D458" s="45">
        <v>0</v>
      </c>
      <c r="E458" s="52">
        <v>0</v>
      </c>
      <c r="F458" s="52">
        <v>0</v>
      </c>
      <c r="G458" s="48">
        <v>0</v>
      </c>
      <c r="H458" s="45">
        <v>0</v>
      </c>
      <c r="I458" s="45">
        <v>0</v>
      </c>
      <c r="J458" s="45">
        <v>0</v>
      </c>
      <c r="K458" s="45"/>
      <c r="L458" s="45"/>
      <c r="M458" s="52">
        <v>0</v>
      </c>
      <c r="N458" s="52">
        <v>0</v>
      </c>
      <c r="O458" s="45">
        <v>0</v>
      </c>
      <c r="P458" s="45"/>
      <c r="Q458" s="52">
        <v>0</v>
      </c>
      <c r="R458" s="52">
        <v>0</v>
      </c>
    </row>
    <row r="459" spans="2:18" x14ac:dyDescent="0.2">
      <c r="B459" s="56" t="s">
        <v>64</v>
      </c>
      <c r="C459" s="45"/>
      <c r="D459" s="45">
        <v>0</v>
      </c>
      <c r="E459" s="52">
        <v>0</v>
      </c>
      <c r="F459" s="52">
        <v>0</v>
      </c>
      <c r="G459" s="48">
        <v>0</v>
      </c>
      <c r="H459" s="45">
        <v>0</v>
      </c>
      <c r="I459" s="45">
        <v>0</v>
      </c>
      <c r="J459" s="45">
        <v>0</v>
      </c>
      <c r="K459" s="45"/>
      <c r="L459" s="45"/>
      <c r="M459" s="52">
        <v>0</v>
      </c>
      <c r="N459" s="52">
        <v>0</v>
      </c>
      <c r="O459" s="45">
        <v>0</v>
      </c>
      <c r="P459" s="45"/>
      <c r="Q459" s="52">
        <v>0</v>
      </c>
      <c r="R459" s="52">
        <v>0</v>
      </c>
    </row>
    <row r="460" spans="2:18" x14ac:dyDescent="0.2">
      <c r="B460" s="56" t="s">
        <v>64</v>
      </c>
      <c r="C460" s="45"/>
      <c r="D460" s="45">
        <v>0</v>
      </c>
      <c r="E460" s="52">
        <v>0</v>
      </c>
      <c r="F460" s="52">
        <v>0</v>
      </c>
      <c r="G460" s="48">
        <v>0</v>
      </c>
      <c r="H460" s="45">
        <v>0</v>
      </c>
      <c r="I460" s="45">
        <v>0</v>
      </c>
      <c r="J460" s="45">
        <v>0</v>
      </c>
      <c r="K460" s="45"/>
      <c r="L460" s="45"/>
      <c r="M460" s="52">
        <v>0</v>
      </c>
      <c r="N460" s="52">
        <v>0</v>
      </c>
      <c r="O460" s="45">
        <v>0</v>
      </c>
      <c r="P460" s="45"/>
      <c r="Q460" s="52">
        <v>0</v>
      </c>
      <c r="R460" s="52">
        <v>0</v>
      </c>
    </row>
    <row r="461" spans="2:18" x14ac:dyDescent="0.2">
      <c r="B461" s="56" t="s">
        <v>64</v>
      </c>
      <c r="C461" s="45"/>
      <c r="D461" s="45">
        <v>0</v>
      </c>
      <c r="E461" s="52">
        <v>0</v>
      </c>
      <c r="F461" s="52">
        <v>0</v>
      </c>
      <c r="G461" s="48">
        <v>0</v>
      </c>
      <c r="H461" s="45">
        <v>0</v>
      </c>
      <c r="I461" s="45">
        <v>0</v>
      </c>
      <c r="J461" s="45">
        <v>0</v>
      </c>
      <c r="K461" s="45"/>
      <c r="L461" s="45"/>
      <c r="M461" s="52">
        <v>0</v>
      </c>
      <c r="N461" s="52">
        <v>0</v>
      </c>
      <c r="O461" s="45">
        <v>0</v>
      </c>
      <c r="P461" s="45"/>
      <c r="Q461" s="52">
        <v>0</v>
      </c>
      <c r="R461" s="52">
        <v>0</v>
      </c>
    </row>
    <row r="462" spans="2:18" x14ac:dyDescent="0.2">
      <c r="B462" s="56" t="s">
        <v>64</v>
      </c>
      <c r="C462" s="45"/>
      <c r="D462" s="45">
        <v>0</v>
      </c>
      <c r="E462" s="52">
        <v>0</v>
      </c>
      <c r="F462" s="52">
        <v>0</v>
      </c>
      <c r="G462" s="48">
        <v>0</v>
      </c>
      <c r="H462" s="45">
        <v>0</v>
      </c>
      <c r="I462" s="45">
        <v>0</v>
      </c>
      <c r="J462" s="45">
        <v>0</v>
      </c>
      <c r="K462" s="45"/>
      <c r="L462" s="45"/>
      <c r="M462" s="52">
        <v>0</v>
      </c>
      <c r="N462" s="52">
        <v>0</v>
      </c>
      <c r="O462" s="45">
        <v>0</v>
      </c>
      <c r="P462" s="45"/>
      <c r="Q462" s="52">
        <v>0</v>
      </c>
      <c r="R462" s="52">
        <v>0</v>
      </c>
    </row>
    <row r="463" spans="2:18" x14ac:dyDescent="0.2">
      <c r="B463" s="56" t="s">
        <v>64</v>
      </c>
      <c r="C463" s="45"/>
      <c r="D463" s="45">
        <v>0</v>
      </c>
      <c r="E463" s="52">
        <v>0</v>
      </c>
      <c r="F463" s="52">
        <v>0</v>
      </c>
      <c r="G463" s="48">
        <v>0</v>
      </c>
      <c r="H463" s="45">
        <v>0</v>
      </c>
      <c r="I463" s="45">
        <v>0</v>
      </c>
      <c r="J463" s="45">
        <v>0</v>
      </c>
      <c r="K463" s="45"/>
      <c r="L463" s="45"/>
      <c r="M463" s="52">
        <v>0</v>
      </c>
      <c r="N463" s="52">
        <v>0</v>
      </c>
      <c r="O463" s="45">
        <v>0</v>
      </c>
      <c r="P463" s="45"/>
      <c r="Q463" s="52">
        <v>0</v>
      </c>
      <c r="R463" s="52">
        <v>0</v>
      </c>
    </row>
    <row r="464" spans="2:18" x14ac:dyDescent="0.2">
      <c r="B464" s="56" t="s">
        <v>64</v>
      </c>
      <c r="C464" s="45"/>
      <c r="D464" s="45">
        <v>0</v>
      </c>
      <c r="E464" s="52">
        <v>0</v>
      </c>
      <c r="F464" s="52">
        <v>0</v>
      </c>
      <c r="G464" s="48">
        <v>0</v>
      </c>
      <c r="H464" s="45">
        <v>0</v>
      </c>
      <c r="I464" s="45">
        <v>0</v>
      </c>
      <c r="J464" s="45">
        <v>0</v>
      </c>
      <c r="K464" s="45"/>
      <c r="L464" s="45"/>
      <c r="M464" s="52">
        <v>0</v>
      </c>
      <c r="N464" s="52">
        <v>0</v>
      </c>
      <c r="O464" s="45">
        <v>0</v>
      </c>
      <c r="P464" s="45"/>
      <c r="Q464" s="52">
        <v>0</v>
      </c>
      <c r="R464" s="52">
        <v>0</v>
      </c>
    </row>
    <row r="465" spans="2:18" x14ac:dyDescent="0.2">
      <c r="B465" s="56" t="s">
        <v>64</v>
      </c>
      <c r="C465" s="45"/>
      <c r="D465" s="45">
        <v>0</v>
      </c>
      <c r="E465" s="52">
        <v>0</v>
      </c>
      <c r="F465" s="52">
        <v>0</v>
      </c>
      <c r="G465" s="48">
        <v>0</v>
      </c>
      <c r="H465" s="45">
        <v>0</v>
      </c>
      <c r="I465" s="45">
        <v>0</v>
      </c>
      <c r="J465" s="45">
        <v>0</v>
      </c>
      <c r="K465" s="45"/>
      <c r="L465" s="45"/>
      <c r="M465" s="52">
        <v>0</v>
      </c>
      <c r="N465" s="52">
        <v>0</v>
      </c>
      <c r="O465" s="45">
        <v>0</v>
      </c>
      <c r="P465" s="45"/>
      <c r="Q465" s="52">
        <v>0</v>
      </c>
      <c r="R465" s="52">
        <v>0</v>
      </c>
    </row>
    <row r="466" spans="2:18" x14ac:dyDescent="0.2">
      <c r="B466" s="56" t="s">
        <v>64</v>
      </c>
      <c r="C466" s="45"/>
      <c r="D466" s="45">
        <v>0</v>
      </c>
      <c r="E466" s="52">
        <v>0</v>
      </c>
      <c r="F466" s="52">
        <v>0</v>
      </c>
      <c r="G466" s="48">
        <v>0</v>
      </c>
      <c r="H466" s="45">
        <v>0</v>
      </c>
      <c r="I466" s="45">
        <v>0</v>
      </c>
      <c r="J466" s="45">
        <v>0</v>
      </c>
      <c r="K466" s="45"/>
      <c r="L466" s="45"/>
      <c r="M466" s="52">
        <v>0</v>
      </c>
      <c r="N466" s="52">
        <v>0</v>
      </c>
      <c r="O466" s="45">
        <v>0</v>
      </c>
      <c r="P466" s="45"/>
      <c r="Q466" s="52">
        <v>0</v>
      </c>
      <c r="R466" s="52">
        <v>0</v>
      </c>
    </row>
    <row r="467" spans="2:18" x14ac:dyDescent="0.2">
      <c r="B467" s="56" t="s">
        <v>64</v>
      </c>
      <c r="C467" s="45"/>
      <c r="D467" s="45">
        <v>0</v>
      </c>
      <c r="E467" s="52">
        <v>0</v>
      </c>
      <c r="F467" s="52">
        <v>0</v>
      </c>
      <c r="G467" s="48">
        <v>0</v>
      </c>
      <c r="H467" s="45">
        <v>0</v>
      </c>
      <c r="I467" s="45">
        <v>0</v>
      </c>
      <c r="J467" s="45">
        <v>0</v>
      </c>
      <c r="K467" s="45"/>
      <c r="L467" s="45"/>
      <c r="M467" s="52">
        <v>0</v>
      </c>
      <c r="N467" s="52">
        <v>0</v>
      </c>
      <c r="O467" s="45">
        <v>0</v>
      </c>
      <c r="P467" s="45"/>
      <c r="Q467" s="52">
        <v>0</v>
      </c>
      <c r="R467" s="52">
        <v>0</v>
      </c>
    </row>
    <row r="468" spans="2:18" x14ac:dyDescent="0.2">
      <c r="B468" s="56" t="s">
        <v>64</v>
      </c>
      <c r="C468" s="45"/>
      <c r="D468" s="45">
        <v>0</v>
      </c>
      <c r="E468" s="52">
        <v>0</v>
      </c>
      <c r="F468" s="52">
        <v>0</v>
      </c>
      <c r="G468" s="48">
        <v>0</v>
      </c>
      <c r="H468" s="45">
        <v>0</v>
      </c>
      <c r="I468" s="45">
        <v>0</v>
      </c>
      <c r="J468" s="45">
        <v>0</v>
      </c>
      <c r="K468" s="45"/>
      <c r="L468" s="45"/>
      <c r="M468" s="52">
        <v>0</v>
      </c>
      <c r="N468" s="52">
        <v>0</v>
      </c>
      <c r="O468" s="45">
        <v>0</v>
      </c>
      <c r="P468" s="45"/>
      <c r="Q468" s="52">
        <v>0</v>
      </c>
      <c r="R468" s="52">
        <v>0</v>
      </c>
    </row>
    <row r="469" spans="2:18" x14ac:dyDescent="0.2">
      <c r="B469" s="56" t="s">
        <v>64</v>
      </c>
      <c r="C469" s="45"/>
      <c r="D469" s="45">
        <v>0</v>
      </c>
      <c r="E469" s="52">
        <v>0</v>
      </c>
      <c r="F469" s="52">
        <v>0</v>
      </c>
      <c r="G469" s="48">
        <v>0</v>
      </c>
      <c r="H469" s="45">
        <v>0</v>
      </c>
      <c r="I469" s="45">
        <v>0</v>
      </c>
      <c r="J469" s="45">
        <v>0</v>
      </c>
      <c r="K469" s="45"/>
      <c r="L469" s="45"/>
      <c r="M469" s="52">
        <v>0</v>
      </c>
      <c r="N469" s="52">
        <v>0</v>
      </c>
      <c r="O469" s="45">
        <v>0</v>
      </c>
      <c r="P469" s="45"/>
      <c r="Q469" s="52">
        <v>0</v>
      </c>
      <c r="R469" s="52">
        <v>0</v>
      </c>
    </row>
    <row r="470" spans="2:18" x14ac:dyDescent="0.2">
      <c r="B470" s="56" t="s">
        <v>64</v>
      </c>
      <c r="C470" s="45"/>
      <c r="D470" s="45">
        <v>0</v>
      </c>
      <c r="E470" s="52">
        <v>0</v>
      </c>
      <c r="F470" s="52">
        <v>0</v>
      </c>
      <c r="G470" s="48">
        <v>0</v>
      </c>
      <c r="H470" s="45">
        <v>0</v>
      </c>
      <c r="I470" s="45">
        <v>0</v>
      </c>
      <c r="J470" s="45">
        <v>0</v>
      </c>
      <c r="K470" s="45"/>
      <c r="L470" s="45"/>
      <c r="M470" s="52">
        <v>0</v>
      </c>
      <c r="N470" s="52">
        <v>0</v>
      </c>
      <c r="O470" s="45">
        <v>0</v>
      </c>
      <c r="P470" s="45"/>
      <c r="Q470" s="52">
        <v>0</v>
      </c>
      <c r="R470" s="52">
        <v>0</v>
      </c>
    </row>
    <row r="471" spans="2:18" x14ac:dyDescent="0.2">
      <c r="B471" s="56" t="s">
        <v>64</v>
      </c>
      <c r="C471" s="45"/>
      <c r="D471" s="45">
        <v>0</v>
      </c>
      <c r="E471" s="52">
        <v>0</v>
      </c>
      <c r="F471" s="52">
        <v>0</v>
      </c>
      <c r="G471" s="48">
        <v>0</v>
      </c>
      <c r="H471" s="45">
        <v>0</v>
      </c>
      <c r="I471" s="45">
        <v>0</v>
      </c>
      <c r="J471" s="45">
        <v>0</v>
      </c>
      <c r="K471" s="45"/>
      <c r="L471" s="45"/>
      <c r="M471" s="52">
        <v>0</v>
      </c>
      <c r="N471" s="52">
        <v>0</v>
      </c>
      <c r="O471" s="45">
        <v>0</v>
      </c>
      <c r="P471" s="45"/>
      <c r="Q471" s="52">
        <v>0</v>
      </c>
      <c r="R471" s="52">
        <v>0</v>
      </c>
    </row>
    <row r="472" spans="2:18" x14ac:dyDescent="0.2">
      <c r="B472" s="56" t="s">
        <v>64</v>
      </c>
      <c r="C472" s="45"/>
      <c r="D472" s="45">
        <v>0</v>
      </c>
      <c r="E472" s="52">
        <v>0</v>
      </c>
      <c r="F472" s="52">
        <v>0</v>
      </c>
      <c r="G472" s="48">
        <v>0</v>
      </c>
      <c r="H472" s="45">
        <v>0</v>
      </c>
      <c r="I472" s="45">
        <v>0</v>
      </c>
      <c r="J472" s="45">
        <v>0</v>
      </c>
      <c r="K472" s="45"/>
      <c r="L472" s="45"/>
      <c r="M472" s="52">
        <v>0</v>
      </c>
      <c r="N472" s="52">
        <v>0</v>
      </c>
      <c r="O472" s="45">
        <v>0</v>
      </c>
      <c r="P472" s="45"/>
      <c r="Q472" s="52">
        <v>0</v>
      </c>
      <c r="R472" s="52">
        <v>0</v>
      </c>
    </row>
    <row r="473" spans="2:18" x14ac:dyDescent="0.2">
      <c r="B473" s="56" t="s">
        <v>64</v>
      </c>
      <c r="C473" s="45"/>
      <c r="D473" s="45">
        <v>0</v>
      </c>
      <c r="E473" s="52">
        <v>0</v>
      </c>
      <c r="F473" s="52">
        <v>0</v>
      </c>
      <c r="G473" s="48">
        <v>0</v>
      </c>
      <c r="H473" s="45">
        <v>0</v>
      </c>
      <c r="I473" s="45">
        <v>0</v>
      </c>
      <c r="J473" s="45">
        <v>0</v>
      </c>
      <c r="K473" s="45"/>
      <c r="L473" s="45"/>
      <c r="M473" s="52">
        <v>0</v>
      </c>
      <c r="N473" s="52">
        <v>0</v>
      </c>
      <c r="O473" s="45">
        <v>0</v>
      </c>
      <c r="P473" s="45"/>
      <c r="Q473" s="52">
        <v>0</v>
      </c>
      <c r="R473" s="52">
        <v>0</v>
      </c>
    </row>
    <row r="474" spans="2:18" x14ac:dyDescent="0.2">
      <c r="B474" s="56" t="s">
        <v>64</v>
      </c>
      <c r="C474" s="45"/>
      <c r="D474" s="45">
        <v>0</v>
      </c>
      <c r="E474" s="52">
        <v>0</v>
      </c>
      <c r="F474" s="52">
        <v>0</v>
      </c>
      <c r="G474" s="48">
        <v>0</v>
      </c>
      <c r="H474" s="45">
        <v>0</v>
      </c>
      <c r="I474" s="45">
        <v>0</v>
      </c>
      <c r="J474" s="45">
        <v>0</v>
      </c>
      <c r="K474" s="45"/>
      <c r="L474" s="45"/>
      <c r="M474" s="52">
        <v>0</v>
      </c>
      <c r="N474" s="52">
        <v>0</v>
      </c>
      <c r="O474" s="45">
        <v>0</v>
      </c>
      <c r="P474" s="45"/>
      <c r="Q474" s="52">
        <v>0</v>
      </c>
      <c r="R474" s="52">
        <v>0</v>
      </c>
    </row>
    <row r="475" spans="2:18" x14ac:dyDescent="0.2">
      <c r="B475" s="56" t="s">
        <v>64</v>
      </c>
      <c r="C475" s="45"/>
      <c r="D475" s="45">
        <v>0</v>
      </c>
      <c r="E475" s="52">
        <v>0</v>
      </c>
      <c r="F475" s="52">
        <v>0</v>
      </c>
      <c r="G475" s="48">
        <v>0</v>
      </c>
      <c r="H475" s="45">
        <v>0</v>
      </c>
      <c r="I475" s="45">
        <v>0</v>
      </c>
      <c r="J475" s="45">
        <v>0</v>
      </c>
      <c r="K475" s="45"/>
      <c r="L475" s="45"/>
      <c r="M475" s="52">
        <v>0</v>
      </c>
      <c r="N475" s="52">
        <v>0</v>
      </c>
      <c r="O475" s="45">
        <v>0</v>
      </c>
      <c r="P475" s="45"/>
      <c r="Q475" s="52">
        <v>0</v>
      </c>
      <c r="R475" s="52">
        <v>0</v>
      </c>
    </row>
    <row r="476" spans="2:18" x14ac:dyDescent="0.2">
      <c r="B476" s="56" t="s">
        <v>64</v>
      </c>
      <c r="C476" s="45"/>
      <c r="D476" s="45">
        <v>0</v>
      </c>
      <c r="E476" s="52">
        <v>0</v>
      </c>
      <c r="F476" s="52">
        <v>0</v>
      </c>
      <c r="G476" s="48">
        <v>0</v>
      </c>
      <c r="H476" s="45">
        <v>0</v>
      </c>
      <c r="I476" s="45">
        <v>0</v>
      </c>
      <c r="J476" s="45">
        <v>0</v>
      </c>
      <c r="K476" s="45"/>
      <c r="L476" s="45"/>
      <c r="M476" s="52">
        <v>0</v>
      </c>
      <c r="N476" s="52">
        <v>0</v>
      </c>
      <c r="O476" s="45">
        <v>0</v>
      </c>
      <c r="P476" s="45"/>
      <c r="Q476" s="52">
        <v>0</v>
      </c>
      <c r="R476" s="52">
        <v>0</v>
      </c>
    </row>
    <row r="477" spans="2:18" x14ac:dyDescent="0.2">
      <c r="B477" s="56" t="s">
        <v>64</v>
      </c>
      <c r="C477" s="45"/>
      <c r="D477" s="45">
        <v>0</v>
      </c>
      <c r="E477" s="52">
        <v>0</v>
      </c>
      <c r="F477" s="52">
        <v>0</v>
      </c>
      <c r="G477" s="48">
        <v>0</v>
      </c>
      <c r="H477" s="45">
        <v>0</v>
      </c>
      <c r="I477" s="45">
        <v>0</v>
      </c>
      <c r="J477" s="45">
        <v>0</v>
      </c>
      <c r="K477" s="45"/>
      <c r="L477" s="45"/>
      <c r="M477" s="52">
        <v>0</v>
      </c>
      <c r="N477" s="52">
        <v>0</v>
      </c>
      <c r="O477" s="45">
        <v>0</v>
      </c>
      <c r="P477" s="45"/>
      <c r="Q477" s="52">
        <v>0</v>
      </c>
      <c r="R477" s="52">
        <v>0</v>
      </c>
    </row>
    <row r="478" spans="2:18" x14ac:dyDescent="0.2">
      <c r="B478" s="56" t="s">
        <v>64</v>
      </c>
      <c r="C478" s="45"/>
      <c r="D478" s="45">
        <v>0</v>
      </c>
      <c r="E478" s="52">
        <v>0</v>
      </c>
      <c r="F478" s="52">
        <v>0</v>
      </c>
      <c r="G478" s="48">
        <v>0</v>
      </c>
      <c r="H478" s="45">
        <v>0</v>
      </c>
      <c r="I478" s="45">
        <v>0</v>
      </c>
      <c r="J478" s="45">
        <v>0</v>
      </c>
      <c r="K478" s="45"/>
      <c r="L478" s="45"/>
      <c r="M478" s="52">
        <v>0</v>
      </c>
      <c r="N478" s="52">
        <v>0</v>
      </c>
      <c r="O478" s="45">
        <v>0</v>
      </c>
      <c r="P478" s="45"/>
      <c r="Q478" s="52">
        <v>0</v>
      </c>
      <c r="R478" s="52">
        <v>0</v>
      </c>
    </row>
    <row r="479" spans="2:18" x14ac:dyDescent="0.2">
      <c r="B479" s="56" t="s">
        <v>64</v>
      </c>
      <c r="C479" s="45"/>
      <c r="D479" s="45">
        <v>0</v>
      </c>
      <c r="E479" s="52">
        <v>0</v>
      </c>
      <c r="F479" s="52">
        <v>0</v>
      </c>
      <c r="G479" s="48">
        <v>0</v>
      </c>
      <c r="H479" s="45">
        <v>0</v>
      </c>
      <c r="I479" s="45">
        <v>0</v>
      </c>
      <c r="J479" s="45">
        <v>0</v>
      </c>
      <c r="K479" s="45"/>
      <c r="L479" s="45"/>
      <c r="M479" s="52">
        <v>0</v>
      </c>
      <c r="N479" s="52">
        <v>0</v>
      </c>
      <c r="O479" s="45">
        <v>0</v>
      </c>
      <c r="P479" s="45"/>
      <c r="Q479" s="52">
        <v>0</v>
      </c>
      <c r="R479" s="52">
        <v>0</v>
      </c>
    </row>
    <row r="480" spans="2:18" x14ac:dyDescent="0.2">
      <c r="B480" s="56" t="s">
        <v>64</v>
      </c>
      <c r="C480" s="45"/>
      <c r="D480" s="45">
        <v>0</v>
      </c>
      <c r="E480" s="52">
        <v>0</v>
      </c>
      <c r="F480" s="52">
        <v>0</v>
      </c>
      <c r="G480" s="48">
        <v>0</v>
      </c>
      <c r="H480" s="45">
        <v>0</v>
      </c>
      <c r="I480" s="45">
        <v>0</v>
      </c>
      <c r="J480" s="45">
        <v>0</v>
      </c>
      <c r="K480" s="45"/>
      <c r="L480" s="45"/>
      <c r="M480" s="52">
        <v>0</v>
      </c>
      <c r="N480" s="52">
        <v>0</v>
      </c>
      <c r="O480" s="45">
        <v>0</v>
      </c>
      <c r="P480" s="45"/>
      <c r="Q480" s="52">
        <v>0</v>
      </c>
      <c r="R480" s="52">
        <v>0</v>
      </c>
    </row>
    <row r="481" spans="2:18" x14ac:dyDescent="0.2">
      <c r="B481" s="56" t="s">
        <v>64</v>
      </c>
      <c r="C481" s="45"/>
      <c r="D481" s="45">
        <v>0</v>
      </c>
      <c r="E481" s="52">
        <v>0</v>
      </c>
      <c r="F481" s="52">
        <v>0</v>
      </c>
      <c r="G481" s="48">
        <v>0</v>
      </c>
      <c r="H481" s="45">
        <v>0</v>
      </c>
      <c r="I481" s="45">
        <v>0</v>
      </c>
      <c r="J481" s="45">
        <v>0</v>
      </c>
      <c r="K481" s="45"/>
      <c r="L481" s="45"/>
      <c r="M481" s="52">
        <v>0</v>
      </c>
      <c r="N481" s="52">
        <v>0</v>
      </c>
      <c r="O481" s="45">
        <v>0</v>
      </c>
      <c r="P481" s="45"/>
      <c r="Q481" s="52">
        <v>0</v>
      </c>
      <c r="R481" s="52">
        <v>0</v>
      </c>
    </row>
    <row r="482" spans="2:18" x14ac:dyDescent="0.2">
      <c r="B482" s="56" t="s">
        <v>64</v>
      </c>
      <c r="C482" s="45"/>
      <c r="D482" s="45">
        <v>0</v>
      </c>
      <c r="E482" s="52">
        <v>0</v>
      </c>
      <c r="F482" s="52">
        <v>0</v>
      </c>
      <c r="G482" s="48">
        <v>0</v>
      </c>
      <c r="H482" s="45">
        <v>0</v>
      </c>
      <c r="I482" s="45">
        <v>0</v>
      </c>
      <c r="J482" s="45">
        <v>0</v>
      </c>
      <c r="K482" s="45"/>
      <c r="L482" s="45"/>
      <c r="M482" s="52">
        <v>0</v>
      </c>
      <c r="N482" s="52">
        <v>0</v>
      </c>
      <c r="O482" s="45">
        <v>0</v>
      </c>
      <c r="P482" s="45"/>
      <c r="Q482" s="52">
        <v>0</v>
      </c>
      <c r="R482" s="52">
        <v>0</v>
      </c>
    </row>
    <row r="483" spans="2:18" x14ac:dyDescent="0.2">
      <c r="B483" s="56" t="s">
        <v>64</v>
      </c>
      <c r="C483" s="45"/>
      <c r="D483" s="45">
        <v>0</v>
      </c>
      <c r="E483" s="52">
        <v>0</v>
      </c>
      <c r="F483" s="52">
        <v>0</v>
      </c>
      <c r="G483" s="48">
        <v>0</v>
      </c>
      <c r="H483" s="45">
        <v>0</v>
      </c>
      <c r="I483" s="45">
        <v>0</v>
      </c>
      <c r="J483" s="45">
        <v>0</v>
      </c>
      <c r="K483" s="45"/>
      <c r="L483" s="45"/>
      <c r="M483" s="52">
        <v>0</v>
      </c>
      <c r="N483" s="52">
        <v>0</v>
      </c>
      <c r="O483" s="45">
        <v>0</v>
      </c>
      <c r="P483" s="45"/>
      <c r="Q483" s="52">
        <v>0</v>
      </c>
      <c r="R483" s="52">
        <v>0</v>
      </c>
    </row>
    <row r="484" spans="2:18" x14ac:dyDescent="0.2">
      <c r="B484" s="56" t="s">
        <v>64</v>
      </c>
      <c r="C484" s="45"/>
      <c r="D484" s="45">
        <v>0</v>
      </c>
      <c r="E484" s="52">
        <v>0</v>
      </c>
      <c r="F484" s="52">
        <v>0</v>
      </c>
      <c r="G484" s="48">
        <v>0</v>
      </c>
      <c r="H484" s="45">
        <v>0</v>
      </c>
      <c r="I484" s="45">
        <v>0</v>
      </c>
      <c r="J484" s="45">
        <v>0</v>
      </c>
      <c r="K484" s="45"/>
      <c r="L484" s="45"/>
      <c r="M484" s="52">
        <v>0</v>
      </c>
      <c r="N484" s="52">
        <v>0</v>
      </c>
      <c r="O484" s="45">
        <v>0</v>
      </c>
      <c r="P484" s="45"/>
      <c r="Q484" s="52">
        <v>0</v>
      </c>
      <c r="R484" s="52">
        <v>0</v>
      </c>
    </row>
    <row r="485" spans="2:18" x14ac:dyDescent="0.2">
      <c r="B485" s="56" t="s">
        <v>64</v>
      </c>
      <c r="C485" s="45"/>
      <c r="D485" s="45">
        <v>0</v>
      </c>
      <c r="E485" s="52">
        <v>0</v>
      </c>
      <c r="F485" s="52">
        <v>0</v>
      </c>
      <c r="G485" s="48">
        <v>0</v>
      </c>
      <c r="H485" s="45">
        <v>0</v>
      </c>
      <c r="I485" s="45">
        <v>0</v>
      </c>
      <c r="J485" s="45">
        <v>0</v>
      </c>
      <c r="K485" s="45"/>
      <c r="L485" s="45"/>
      <c r="M485" s="52">
        <v>0</v>
      </c>
      <c r="N485" s="52">
        <v>0</v>
      </c>
      <c r="O485" s="45">
        <v>0</v>
      </c>
      <c r="P485" s="45"/>
      <c r="Q485" s="52">
        <v>0</v>
      </c>
      <c r="R485" s="52">
        <v>0</v>
      </c>
    </row>
    <row r="486" spans="2:18" x14ac:dyDescent="0.2">
      <c r="B486" s="56" t="s">
        <v>64</v>
      </c>
      <c r="C486" s="45"/>
      <c r="D486" s="45">
        <v>0</v>
      </c>
      <c r="E486" s="52">
        <v>0</v>
      </c>
      <c r="F486" s="52">
        <v>0</v>
      </c>
      <c r="G486" s="48">
        <v>0</v>
      </c>
      <c r="H486" s="45">
        <v>0</v>
      </c>
      <c r="I486" s="45">
        <v>0</v>
      </c>
      <c r="J486" s="45">
        <v>0</v>
      </c>
      <c r="K486" s="45"/>
      <c r="L486" s="45"/>
      <c r="M486" s="52">
        <v>0</v>
      </c>
      <c r="N486" s="52">
        <v>0</v>
      </c>
      <c r="O486" s="45">
        <v>0</v>
      </c>
      <c r="P486" s="45"/>
      <c r="Q486" s="52">
        <v>0</v>
      </c>
      <c r="R486" s="52">
        <v>0</v>
      </c>
    </row>
    <row r="487" spans="2:18" x14ac:dyDescent="0.2">
      <c r="B487" s="56" t="s">
        <v>64</v>
      </c>
      <c r="C487" s="45"/>
      <c r="D487" s="45">
        <v>0</v>
      </c>
      <c r="E487" s="52">
        <v>0</v>
      </c>
      <c r="F487" s="52">
        <v>0</v>
      </c>
      <c r="G487" s="48">
        <v>0</v>
      </c>
      <c r="H487" s="45">
        <v>0</v>
      </c>
      <c r="I487" s="45">
        <v>0</v>
      </c>
      <c r="J487" s="45">
        <v>0</v>
      </c>
      <c r="K487" s="45"/>
      <c r="L487" s="45"/>
      <c r="M487" s="52">
        <v>0</v>
      </c>
      <c r="N487" s="52">
        <v>0</v>
      </c>
      <c r="O487" s="45">
        <v>0</v>
      </c>
      <c r="P487" s="45"/>
      <c r="Q487" s="52">
        <v>0</v>
      </c>
      <c r="R487" s="52">
        <v>0</v>
      </c>
    </row>
    <row r="488" spans="2:18" x14ac:dyDescent="0.2">
      <c r="B488" s="56" t="s">
        <v>64</v>
      </c>
      <c r="C488" s="45"/>
      <c r="D488" s="45">
        <v>0</v>
      </c>
      <c r="E488" s="52">
        <v>0</v>
      </c>
      <c r="F488" s="52">
        <v>0</v>
      </c>
      <c r="G488" s="48">
        <v>0</v>
      </c>
      <c r="H488" s="45">
        <v>0</v>
      </c>
      <c r="I488" s="45">
        <v>0</v>
      </c>
      <c r="J488" s="45">
        <v>0</v>
      </c>
      <c r="K488" s="45"/>
      <c r="L488" s="45"/>
      <c r="M488" s="52">
        <v>0</v>
      </c>
      <c r="N488" s="52">
        <v>0</v>
      </c>
      <c r="O488" s="45">
        <v>0</v>
      </c>
      <c r="P488" s="45"/>
      <c r="Q488" s="52">
        <v>0</v>
      </c>
      <c r="R488" s="52">
        <v>0</v>
      </c>
    </row>
    <row r="489" spans="2:18" x14ac:dyDescent="0.2">
      <c r="B489" s="56" t="s">
        <v>64</v>
      </c>
      <c r="C489" s="45"/>
      <c r="D489" s="45">
        <v>0</v>
      </c>
      <c r="E489" s="52">
        <v>0</v>
      </c>
      <c r="F489" s="52">
        <v>0</v>
      </c>
      <c r="G489" s="48">
        <v>0</v>
      </c>
      <c r="H489" s="45">
        <v>0</v>
      </c>
      <c r="I489" s="45">
        <v>0</v>
      </c>
      <c r="J489" s="45">
        <v>0</v>
      </c>
      <c r="K489" s="45"/>
      <c r="L489" s="45"/>
      <c r="M489" s="52">
        <v>0</v>
      </c>
      <c r="N489" s="52">
        <v>0</v>
      </c>
      <c r="O489" s="45">
        <v>0</v>
      </c>
      <c r="P489" s="45"/>
      <c r="Q489" s="52">
        <v>0</v>
      </c>
      <c r="R489" s="52">
        <v>0</v>
      </c>
    </row>
    <row r="490" spans="2:18" x14ac:dyDescent="0.2">
      <c r="B490" s="56" t="s">
        <v>64</v>
      </c>
      <c r="C490" s="45"/>
      <c r="D490" s="45">
        <v>0</v>
      </c>
      <c r="E490" s="52">
        <v>0</v>
      </c>
      <c r="F490" s="52">
        <v>0</v>
      </c>
      <c r="G490" s="48">
        <v>0</v>
      </c>
      <c r="H490" s="45">
        <v>0</v>
      </c>
      <c r="I490" s="45">
        <v>0</v>
      </c>
      <c r="J490" s="45">
        <v>0</v>
      </c>
      <c r="K490" s="45"/>
      <c r="L490" s="45"/>
      <c r="M490" s="52">
        <v>0</v>
      </c>
      <c r="N490" s="52">
        <v>0</v>
      </c>
      <c r="O490" s="45">
        <v>0</v>
      </c>
      <c r="P490" s="45"/>
      <c r="Q490" s="52">
        <v>0</v>
      </c>
      <c r="R490" s="52">
        <v>0</v>
      </c>
    </row>
    <row r="491" spans="2:18" x14ac:dyDescent="0.2">
      <c r="B491" s="56" t="s">
        <v>64</v>
      </c>
      <c r="C491" s="45"/>
      <c r="D491" s="45">
        <v>0</v>
      </c>
      <c r="E491" s="52">
        <v>0</v>
      </c>
      <c r="F491" s="52">
        <v>0</v>
      </c>
      <c r="G491" s="48">
        <v>0</v>
      </c>
      <c r="H491" s="45">
        <v>0</v>
      </c>
      <c r="I491" s="45">
        <v>0</v>
      </c>
      <c r="J491" s="45">
        <v>0</v>
      </c>
      <c r="K491" s="45"/>
      <c r="L491" s="45"/>
      <c r="M491" s="52">
        <v>0</v>
      </c>
      <c r="N491" s="52">
        <v>0</v>
      </c>
      <c r="O491" s="45">
        <v>0</v>
      </c>
      <c r="P491" s="45"/>
      <c r="Q491" s="52">
        <v>0</v>
      </c>
      <c r="R491" s="52">
        <v>0</v>
      </c>
    </row>
    <row r="492" spans="2:18" x14ac:dyDescent="0.2">
      <c r="B492" s="56" t="s">
        <v>64</v>
      </c>
      <c r="C492" s="45"/>
      <c r="D492" s="45">
        <v>0</v>
      </c>
      <c r="E492" s="52">
        <v>0</v>
      </c>
      <c r="F492" s="52">
        <v>0</v>
      </c>
      <c r="G492" s="48">
        <v>0</v>
      </c>
      <c r="H492" s="45">
        <v>0</v>
      </c>
      <c r="I492" s="45">
        <v>0</v>
      </c>
      <c r="J492" s="45">
        <v>0</v>
      </c>
      <c r="K492" s="45"/>
      <c r="L492" s="45"/>
      <c r="M492" s="52">
        <v>0</v>
      </c>
      <c r="N492" s="52">
        <v>0</v>
      </c>
      <c r="O492" s="45">
        <v>0</v>
      </c>
      <c r="P492" s="45"/>
      <c r="Q492" s="52">
        <v>0</v>
      </c>
      <c r="R492" s="52">
        <v>0</v>
      </c>
    </row>
    <row r="493" spans="2:18" x14ac:dyDescent="0.2">
      <c r="B493" s="56" t="s">
        <v>64</v>
      </c>
      <c r="C493" s="45"/>
      <c r="D493" s="45">
        <v>0</v>
      </c>
      <c r="E493" s="52">
        <v>0</v>
      </c>
      <c r="F493" s="52">
        <v>0</v>
      </c>
      <c r="G493" s="48">
        <v>0</v>
      </c>
      <c r="H493" s="45">
        <v>0</v>
      </c>
      <c r="I493" s="45">
        <v>0</v>
      </c>
      <c r="J493" s="45">
        <v>0</v>
      </c>
      <c r="K493" s="45"/>
      <c r="L493" s="45"/>
      <c r="M493" s="52">
        <v>0</v>
      </c>
      <c r="N493" s="52">
        <v>0</v>
      </c>
      <c r="O493" s="45">
        <v>0</v>
      </c>
      <c r="P493" s="45"/>
      <c r="Q493" s="52">
        <v>0</v>
      </c>
      <c r="R493" s="52">
        <v>0</v>
      </c>
    </row>
    <row r="494" spans="2:18" x14ac:dyDescent="0.2">
      <c r="B494" s="56" t="s">
        <v>64</v>
      </c>
      <c r="C494" s="45"/>
      <c r="D494" s="45">
        <v>0</v>
      </c>
      <c r="E494" s="52">
        <v>0</v>
      </c>
      <c r="F494" s="52">
        <v>0</v>
      </c>
      <c r="G494" s="48">
        <v>0</v>
      </c>
      <c r="H494" s="45">
        <v>0</v>
      </c>
      <c r="I494" s="45">
        <v>0</v>
      </c>
      <c r="J494" s="45">
        <v>0</v>
      </c>
      <c r="K494" s="45"/>
      <c r="L494" s="45"/>
      <c r="M494" s="52">
        <v>0</v>
      </c>
      <c r="N494" s="52">
        <v>0</v>
      </c>
      <c r="O494" s="45">
        <v>0</v>
      </c>
      <c r="P494" s="45"/>
      <c r="Q494" s="52">
        <v>0</v>
      </c>
      <c r="R494" s="52">
        <v>0</v>
      </c>
    </row>
    <row r="495" spans="2:18" x14ac:dyDescent="0.2">
      <c r="B495" s="56" t="s">
        <v>64</v>
      </c>
      <c r="C495" s="45"/>
      <c r="D495" s="45">
        <v>0</v>
      </c>
      <c r="E495" s="52">
        <v>0</v>
      </c>
      <c r="F495" s="52">
        <v>0</v>
      </c>
      <c r="G495" s="48">
        <v>0</v>
      </c>
      <c r="H495" s="45">
        <v>0</v>
      </c>
      <c r="I495" s="45">
        <v>0</v>
      </c>
      <c r="J495" s="45">
        <v>0</v>
      </c>
      <c r="K495" s="45"/>
      <c r="L495" s="45"/>
      <c r="M495" s="52">
        <v>0</v>
      </c>
      <c r="N495" s="52">
        <v>0</v>
      </c>
      <c r="O495" s="45">
        <v>0</v>
      </c>
      <c r="P495" s="45"/>
      <c r="Q495" s="52">
        <v>0</v>
      </c>
      <c r="R495" s="52">
        <v>0</v>
      </c>
    </row>
    <row r="496" spans="2:18" x14ac:dyDescent="0.2">
      <c r="B496" s="56" t="s">
        <v>64</v>
      </c>
      <c r="C496" s="45"/>
      <c r="D496" s="45">
        <v>0</v>
      </c>
      <c r="E496" s="52">
        <v>0</v>
      </c>
      <c r="F496" s="52">
        <v>0</v>
      </c>
      <c r="G496" s="48">
        <v>0</v>
      </c>
      <c r="H496" s="45">
        <v>0</v>
      </c>
      <c r="I496" s="45">
        <v>0</v>
      </c>
      <c r="J496" s="45">
        <v>0</v>
      </c>
      <c r="K496" s="45"/>
      <c r="L496" s="45"/>
      <c r="M496" s="52">
        <v>0</v>
      </c>
      <c r="N496" s="52">
        <v>0</v>
      </c>
      <c r="O496" s="45">
        <v>0</v>
      </c>
      <c r="P496" s="45"/>
      <c r="Q496" s="52">
        <v>0</v>
      </c>
      <c r="R496" s="52">
        <v>0</v>
      </c>
    </row>
    <row r="497" spans="2:18" x14ac:dyDescent="0.2">
      <c r="B497" s="56" t="s">
        <v>64</v>
      </c>
      <c r="C497" s="45"/>
      <c r="D497" s="45">
        <v>0</v>
      </c>
      <c r="E497" s="52">
        <v>0</v>
      </c>
      <c r="F497" s="52">
        <v>0</v>
      </c>
      <c r="G497" s="48">
        <v>0</v>
      </c>
      <c r="H497" s="45">
        <v>0</v>
      </c>
      <c r="I497" s="45">
        <v>0</v>
      </c>
      <c r="J497" s="45">
        <v>0</v>
      </c>
      <c r="K497" s="45"/>
      <c r="L497" s="45"/>
      <c r="M497" s="52">
        <v>0</v>
      </c>
      <c r="N497" s="52">
        <v>0</v>
      </c>
      <c r="O497" s="45">
        <v>0</v>
      </c>
      <c r="P497" s="45"/>
      <c r="Q497" s="52">
        <v>0</v>
      </c>
      <c r="R497" s="52">
        <v>0</v>
      </c>
    </row>
    <row r="498" spans="2:18" x14ac:dyDescent="0.2">
      <c r="B498" s="56" t="s">
        <v>64</v>
      </c>
      <c r="C498" s="45"/>
      <c r="D498" s="45">
        <v>0</v>
      </c>
      <c r="E498" s="52">
        <v>0</v>
      </c>
      <c r="F498" s="52">
        <v>0</v>
      </c>
      <c r="G498" s="48">
        <v>0</v>
      </c>
      <c r="H498" s="45">
        <v>0</v>
      </c>
      <c r="I498" s="45">
        <v>0</v>
      </c>
      <c r="J498" s="45">
        <v>0</v>
      </c>
      <c r="K498" s="45"/>
      <c r="L498" s="45"/>
      <c r="M498" s="52">
        <v>0</v>
      </c>
      <c r="N498" s="52">
        <v>0</v>
      </c>
      <c r="O498" s="45">
        <v>0</v>
      </c>
      <c r="P498" s="45"/>
      <c r="Q498" s="52">
        <v>0</v>
      </c>
      <c r="R498" s="52">
        <v>0</v>
      </c>
    </row>
    <row r="499" spans="2:18" x14ac:dyDescent="0.2">
      <c r="B499" s="56" t="s">
        <v>64</v>
      </c>
      <c r="C499" s="45"/>
      <c r="D499" s="45">
        <v>0</v>
      </c>
      <c r="E499" s="52">
        <v>0</v>
      </c>
      <c r="F499" s="52">
        <v>0</v>
      </c>
      <c r="G499" s="48">
        <v>0</v>
      </c>
      <c r="H499" s="45">
        <v>0</v>
      </c>
      <c r="I499" s="45">
        <v>0</v>
      </c>
      <c r="J499" s="45">
        <v>0</v>
      </c>
      <c r="K499" s="45"/>
      <c r="L499" s="45"/>
      <c r="M499" s="52">
        <v>0</v>
      </c>
      <c r="N499" s="52">
        <v>0</v>
      </c>
      <c r="O499" s="45">
        <v>0</v>
      </c>
      <c r="P499" s="45"/>
      <c r="Q499" s="52">
        <v>0</v>
      </c>
      <c r="R499" s="52">
        <v>0</v>
      </c>
    </row>
    <row r="500" spans="2:18" x14ac:dyDescent="0.2">
      <c r="B500" s="56" t="s">
        <v>64</v>
      </c>
      <c r="C500" s="45"/>
      <c r="D500" s="45">
        <v>0</v>
      </c>
      <c r="E500" s="52">
        <v>0</v>
      </c>
      <c r="F500" s="52">
        <v>0</v>
      </c>
      <c r="G500" s="48">
        <v>0</v>
      </c>
      <c r="H500" s="45">
        <v>0</v>
      </c>
      <c r="I500" s="45">
        <v>0</v>
      </c>
      <c r="J500" s="45">
        <v>0</v>
      </c>
      <c r="K500" s="45"/>
      <c r="L500" s="45"/>
      <c r="M500" s="52">
        <v>0</v>
      </c>
      <c r="N500" s="52">
        <v>0</v>
      </c>
      <c r="O500" s="45">
        <v>0</v>
      </c>
      <c r="P500" s="45"/>
      <c r="Q500" s="52">
        <v>0</v>
      </c>
      <c r="R500" s="52">
        <v>0</v>
      </c>
    </row>
    <row r="501" spans="2:18" x14ac:dyDescent="0.2">
      <c r="B501" s="56" t="s">
        <v>64</v>
      </c>
      <c r="C501" s="45"/>
      <c r="D501" s="45">
        <v>0</v>
      </c>
      <c r="E501" s="52">
        <v>0</v>
      </c>
      <c r="F501" s="52">
        <v>0</v>
      </c>
      <c r="G501" s="48">
        <v>0</v>
      </c>
      <c r="H501" s="45">
        <v>0</v>
      </c>
      <c r="I501" s="45">
        <v>0</v>
      </c>
      <c r="J501" s="45">
        <v>0</v>
      </c>
      <c r="K501" s="45"/>
      <c r="L501" s="45"/>
      <c r="M501" s="52">
        <v>0</v>
      </c>
      <c r="N501" s="52">
        <v>0</v>
      </c>
      <c r="O501" s="45">
        <v>0</v>
      </c>
      <c r="P501" s="45"/>
      <c r="Q501" s="52">
        <v>0</v>
      </c>
      <c r="R501" s="52">
        <v>0</v>
      </c>
    </row>
    <row r="502" spans="2:18" x14ac:dyDescent="0.2">
      <c r="B502" s="56" t="s">
        <v>64</v>
      </c>
      <c r="C502" s="45"/>
      <c r="D502" s="45">
        <v>0</v>
      </c>
      <c r="E502" s="52">
        <v>0</v>
      </c>
      <c r="F502" s="52">
        <v>0</v>
      </c>
      <c r="G502" s="48">
        <v>0</v>
      </c>
      <c r="H502" s="45">
        <v>0</v>
      </c>
      <c r="I502" s="45">
        <v>0</v>
      </c>
      <c r="J502" s="45">
        <v>0</v>
      </c>
      <c r="K502" s="45"/>
      <c r="L502" s="45"/>
      <c r="M502" s="52">
        <v>0</v>
      </c>
      <c r="N502" s="52">
        <v>0</v>
      </c>
      <c r="O502" s="45">
        <v>0</v>
      </c>
      <c r="P502" s="45"/>
      <c r="Q502" s="52">
        <v>0</v>
      </c>
      <c r="R502" s="52">
        <v>0</v>
      </c>
    </row>
    <row r="503" spans="2:18" x14ac:dyDescent="0.2">
      <c r="B503" s="56" t="s">
        <v>64</v>
      </c>
      <c r="C503" s="45"/>
      <c r="D503" s="45">
        <v>0</v>
      </c>
      <c r="E503" s="52">
        <v>0</v>
      </c>
      <c r="F503" s="52">
        <v>0</v>
      </c>
      <c r="G503" s="48">
        <v>0</v>
      </c>
      <c r="H503" s="45">
        <v>0</v>
      </c>
      <c r="I503" s="45">
        <v>0</v>
      </c>
      <c r="J503" s="45">
        <v>0</v>
      </c>
      <c r="K503" s="45"/>
      <c r="L503" s="45"/>
      <c r="M503" s="52">
        <v>0</v>
      </c>
      <c r="N503" s="52">
        <v>0</v>
      </c>
      <c r="O503" s="45">
        <v>0</v>
      </c>
      <c r="P503" s="45"/>
      <c r="Q503" s="52">
        <v>0</v>
      </c>
      <c r="R503" s="52">
        <v>0</v>
      </c>
    </row>
    <row r="504" spans="2:18" x14ac:dyDescent="0.2">
      <c r="B504" s="56" t="s">
        <v>64</v>
      </c>
      <c r="C504" s="45"/>
      <c r="D504" s="45">
        <v>0</v>
      </c>
      <c r="E504" s="52">
        <v>0</v>
      </c>
      <c r="F504" s="52">
        <v>0</v>
      </c>
      <c r="G504" s="48">
        <v>0</v>
      </c>
      <c r="H504" s="45">
        <v>0</v>
      </c>
      <c r="I504" s="45">
        <v>0</v>
      </c>
      <c r="J504" s="45">
        <v>0</v>
      </c>
      <c r="K504" s="45"/>
      <c r="L504" s="45"/>
      <c r="M504" s="52">
        <v>0</v>
      </c>
      <c r="N504" s="52">
        <v>0</v>
      </c>
      <c r="O504" s="45">
        <v>0</v>
      </c>
      <c r="P504" s="45"/>
      <c r="Q504" s="52">
        <v>0</v>
      </c>
      <c r="R504" s="52">
        <v>0</v>
      </c>
    </row>
    <row r="505" spans="2:18" x14ac:dyDescent="0.2">
      <c r="B505" s="56" t="s">
        <v>64</v>
      </c>
      <c r="C505" s="45"/>
      <c r="D505" s="45">
        <v>0</v>
      </c>
      <c r="E505" s="52">
        <v>0</v>
      </c>
      <c r="F505" s="52">
        <v>0</v>
      </c>
      <c r="G505" s="48">
        <v>0</v>
      </c>
      <c r="H505" s="45">
        <v>0</v>
      </c>
      <c r="I505" s="45">
        <v>0</v>
      </c>
      <c r="J505" s="45">
        <v>0</v>
      </c>
      <c r="K505" s="45"/>
      <c r="L505" s="45"/>
      <c r="M505" s="52">
        <v>0</v>
      </c>
      <c r="N505" s="52">
        <v>0</v>
      </c>
      <c r="O505" s="45">
        <v>0</v>
      </c>
      <c r="P505" s="45"/>
      <c r="Q505" s="52">
        <v>0</v>
      </c>
      <c r="R505" s="52">
        <v>0</v>
      </c>
    </row>
    <row r="506" spans="2:18" x14ac:dyDescent="0.2">
      <c r="B506" s="56" t="s">
        <v>64</v>
      </c>
      <c r="C506" s="45"/>
      <c r="D506" s="45">
        <v>0</v>
      </c>
      <c r="E506" s="52">
        <v>0</v>
      </c>
      <c r="F506" s="52">
        <v>0</v>
      </c>
      <c r="G506" s="48">
        <v>0</v>
      </c>
      <c r="H506" s="45">
        <v>0</v>
      </c>
      <c r="I506" s="45">
        <v>0</v>
      </c>
      <c r="J506" s="45">
        <v>0</v>
      </c>
      <c r="K506" s="45"/>
      <c r="L506" s="45"/>
      <c r="M506" s="52">
        <v>0</v>
      </c>
      <c r="N506" s="52">
        <v>0</v>
      </c>
      <c r="O506" s="45">
        <v>0</v>
      </c>
      <c r="P506" s="45"/>
      <c r="Q506" s="52">
        <v>0</v>
      </c>
      <c r="R506" s="52">
        <v>0</v>
      </c>
    </row>
    <row r="507" spans="2:18" x14ac:dyDescent="0.2">
      <c r="B507" s="56" t="s">
        <v>64</v>
      </c>
      <c r="C507" s="45"/>
      <c r="D507" s="45">
        <v>0</v>
      </c>
      <c r="E507" s="52">
        <v>0</v>
      </c>
      <c r="F507" s="52">
        <v>0</v>
      </c>
      <c r="G507" s="48">
        <v>0</v>
      </c>
      <c r="H507" s="45">
        <v>0</v>
      </c>
      <c r="I507" s="45">
        <v>0</v>
      </c>
      <c r="J507" s="45">
        <v>0</v>
      </c>
      <c r="K507" s="45"/>
      <c r="L507" s="45"/>
      <c r="M507" s="52">
        <v>0</v>
      </c>
      <c r="N507" s="52">
        <v>0</v>
      </c>
      <c r="O507" s="45">
        <v>0</v>
      </c>
      <c r="P507" s="45"/>
      <c r="Q507" s="52">
        <v>0</v>
      </c>
      <c r="R507" s="52">
        <v>0</v>
      </c>
    </row>
    <row r="508" spans="2:18" x14ac:dyDescent="0.2">
      <c r="B508" s="56" t="s">
        <v>64</v>
      </c>
      <c r="C508" s="45"/>
      <c r="D508" s="45">
        <v>0</v>
      </c>
      <c r="E508" s="52">
        <v>0</v>
      </c>
      <c r="F508" s="52">
        <v>0</v>
      </c>
      <c r="G508" s="48">
        <v>0</v>
      </c>
      <c r="H508" s="45">
        <v>0</v>
      </c>
      <c r="I508" s="45">
        <v>0</v>
      </c>
      <c r="J508" s="45">
        <v>0</v>
      </c>
      <c r="K508" s="45"/>
      <c r="L508" s="45"/>
      <c r="M508" s="52">
        <v>0</v>
      </c>
      <c r="N508" s="52">
        <v>0</v>
      </c>
      <c r="O508" s="45">
        <v>0</v>
      </c>
      <c r="P508" s="45"/>
      <c r="Q508" s="52">
        <v>0</v>
      </c>
      <c r="R508" s="52">
        <v>0</v>
      </c>
    </row>
    <row r="509" spans="2:18" x14ac:dyDescent="0.2">
      <c r="B509" s="56" t="s">
        <v>64</v>
      </c>
      <c r="C509" s="45"/>
      <c r="D509" s="45">
        <v>0</v>
      </c>
      <c r="E509" s="52">
        <v>0</v>
      </c>
      <c r="F509" s="52">
        <v>0</v>
      </c>
      <c r="G509" s="48">
        <v>0</v>
      </c>
      <c r="H509" s="45">
        <v>0</v>
      </c>
      <c r="I509" s="45">
        <v>0</v>
      </c>
      <c r="J509" s="45">
        <v>0</v>
      </c>
      <c r="K509" s="45"/>
      <c r="L509" s="45"/>
      <c r="M509" s="52">
        <v>0</v>
      </c>
      <c r="N509" s="52">
        <v>0</v>
      </c>
      <c r="O509" s="45">
        <v>0</v>
      </c>
      <c r="P509" s="45"/>
      <c r="Q509" s="52">
        <v>0</v>
      </c>
      <c r="R509" s="52">
        <v>0</v>
      </c>
    </row>
    <row r="510" spans="2:18" x14ac:dyDescent="0.2">
      <c r="B510" s="56" t="s">
        <v>64</v>
      </c>
      <c r="C510" s="45"/>
      <c r="D510" s="45">
        <v>0</v>
      </c>
      <c r="E510" s="52">
        <v>0</v>
      </c>
      <c r="F510" s="52">
        <v>0</v>
      </c>
      <c r="G510" s="48">
        <v>0</v>
      </c>
      <c r="H510" s="45">
        <v>0</v>
      </c>
      <c r="I510" s="45">
        <v>0</v>
      </c>
      <c r="J510" s="45">
        <v>0</v>
      </c>
      <c r="K510" s="45"/>
      <c r="L510" s="45"/>
      <c r="M510" s="52">
        <v>0</v>
      </c>
      <c r="N510" s="52">
        <v>0</v>
      </c>
      <c r="O510" s="45">
        <v>0</v>
      </c>
      <c r="P510" s="45"/>
      <c r="Q510" s="52">
        <v>0</v>
      </c>
      <c r="R510" s="52">
        <v>0</v>
      </c>
    </row>
    <row r="511" spans="2:18" x14ac:dyDescent="0.2">
      <c r="B511" s="56" t="s">
        <v>64</v>
      </c>
      <c r="C511" s="45"/>
      <c r="D511" s="45">
        <v>0</v>
      </c>
      <c r="E511" s="52">
        <v>0</v>
      </c>
      <c r="F511" s="52">
        <v>0</v>
      </c>
      <c r="G511" s="48">
        <v>0</v>
      </c>
      <c r="H511" s="45">
        <v>0</v>
      </c>
      <c r="I511" s="45">
        <v>0</v>
      </c>
      <c r="J511" s="45">
        <v>0</v>
      </c>
      <c r="K511" s="45"/>
      <c r="L511" s="45"/>
      <c r="M511" s="52">
        <v>0</v>
      </c>
      <c r="N511" s="52">
        <v>0</v>
      </c>
      <c r="O511" s="45">
        <v>0</v>
      </c>
      <c r="P511" s="45"/>
      <c r="Q511" s="52">
        <v>0</v>
      </c>
      <c r="R511" s="52">
        <v>0</v>
      </c>
    </row>
    <row r="512" spans="2:18" x14ac:dyDescent="0.2">
      <c r="B512" s="56" t="s">
        <v>64</v>
      </c>
      <c r="C512" s="45"/>
      <c r="D512" s="45">
        <v>0</v>
      </c>
      <c r="E512" s="52">
        <v>0</v>
      </c>
      <c r="F512" s="52">
        <v>0</v>
      </c>
      <c r="G512" s="48">
        <v>0</v>
      </c>
      <c r="H512" s="45">
        <v>0</v>
      </c>
      <c r="I512" s="45">
        <v>0</v>
      </c>
      <c r="J512" s="45">
        <v>0</v>
      </c>
      <c r="K512" s="45"/>
      <c r="L512" s="45"/>
      <c r="M512" s="52">
        <v>0</v>
      </c>
      <c r="N512" s="52">
        <v>0</v>
      </c>
      <c r="O512" s="45">
        <v>0</v>
      </c>
      <c r="P512" s="45"/>
      <c r="Q512" s="52">
        <v>0</v>
      </c>
      <c r="R512" s="52">
        <v>0</v>
      </c>
    </row>
    <row r="513" spans="2:18" x14ac:dyDescent="0.2">
      <c r="B513" s="56" t="s">
        <v>64</v>
      </c>
      <c r="C513" s="45"/>
      <c r="D513" s="45">
        <v>0</v>
      </c>
      <c r="E513" s="52">
        <v>0</v>
      </c>
      <c r="F513" s="52">
        <v>0</v>
      </c>
      <c r="G513" s="48">
        <v>0</v>
      </c>
      <c r="H513" s="45">
        <v>0</v>
      </c>
      <c r="I513" s="45">
        <v>0</v>
      </c>
      <c r="J513" s="45">
        <v>0</v>
      </c>
      <c r="K513" s="45"/>
      <c r="L513" s="45"/>
      <c r="M513" s="52">
        <v>0</v>
      </c>
      <c r="N513" s="52">
        <v>0</v>
      </c>
      <c r="O513" s="45">
        <v>0</v>
      </c>
      <c r="P513" s="45"/>
      <c r="Q513" s="52">
        <v>0</v>
      </c>
      <c r="R513" s="52">
        <v>0</v>
      </c>
    </row>
    <row r="514" spans="2:18" x14ac:dyDescent="0.2">
      <c r="B514" s="56" t="s">
        <v>64</v>
      </c>
      <c r="C514" s="45"/>
      <c r="D514" s="45">
        <v>0</v>
      </c>
      <c r="E514" s="52">
        <v>0</v>
      </c>
      <c r="F514" s="52">
        <v>0</v>
      </c>
      <c r="G514" s="48">
        <v>0</v>
      </c>
      <c r="H514" s="45">
        <v>0</v>
      </c>
      <c r="I514" s="45">
        <v>0</v>
      </c>
      <c r="J514" s="45">
        <v>0</v>
      </c>
      <c r="K514" s="45"/>
      <c r="L514" s="45"/>
      <c r="M514" s="52">
        <v>0</v>
      </c>
      <c r="N514" s="52">
        <v>0</v>
      </c>
      <c r="O514" s="45">
        <v>0</v>
      </c>
      <c r="P514" s="45"/>
      <c r="Q514" s="52">
        <v>0</v>
      </c>
      <c r="R514" s="52">
        <v>0</v>
      </c>
    </row>
    <row r="515" spans="2:18" x14ac:dyDescent="0.2">
      <c r="B515" s="56" t="s">
        <v>64</v>
      </c>
      <c r="C515" s="45"/>
      <c r="D515" s="45">
        <v>0</v>
      </c>
      <c r="E515" s="52">
        <v>0</v>
      </c>
      <c r="F515" s="52">
        <v>0</v>
      </c>
      <c r="G515" s="48">
        <v>0</v>
      </c>
      <c r="H515" s="45">
        <v>0</v>
      </c>
      <c r="I515" s="45">
        <v>0</v>
      </c>
      <c r="J515" s="45">
        <v>0</v>
      </c>
      <c r="K515" s="45"/>
      <c r="L515" s="45"/>
      <c r="M515" s="52">
        <v>0</v>
      </c>
      <c r="N515" s="52">
        <v>0</v>
      </c>
      <c r="O515" s="45">
        <v>0</v>
      </c>
      <c r="P515" s="45"/>
      <c r="Q515" s="52">
        <v>0</v>
      </c>
      <c r="R515" s="52">
        <v>0</v>
      </c>
    </row>
    <row r="516" spans="2:18" x14ac:dyDescent="0.2">
      <c r="B516" s="56" t="s">
        <v>64</v>
      </c>
      <c r="C516" s="45"/>
      <c r="D516" s="45">
        <v>0</v>
      </c>
      <c r="E516" s="52">
        <v>0</v>
      </c>
      <c r="F516" s="52">
        <v>0</v>
      </c>
      <c r="G516" s="48">
        <v>0</v>
      </c>
      <c r="H516" s="45">
        <v>0</v>
      </c>
      <c r="I516" s="45">
        <v>0</v>
      </c>
      <c r="J516" s="45">
        <v>0</v>
      </c>
      <c r="K516" s="45"/>
      <c r="L516" s="45"/>
      <c r="M516" s="52">
        <v>0</v>
      </c>
      <c r="N516" s="52">
        <v>0</v>
      </c>
      <c r="O516" s="45">
        <v>0</v>
      </c>
      <c r="P516" s="45"/>
      <c r="Q516" s="52">
        <v>0</v>
      </c>
      <c r="R516" s="52">
        <v>0</v>
      </c>
    </row>
    <row r="517" spans="2:18" x14ac:dyDescent="0.2">
      <c r="B517" s="56" t="s">
        <v>64</v>
      </c>
      <c r="C517" s="45"/>
      <c r="D517" s="45">
        <v>0</v>
      </c>
      <c r="E517" s="52">
        <v>0</v>
      </c>
      <c r="F517" s="52">
        <v>0</v>
      </c>
      <c r="G517" s="48">
        <v>0</v>
      </c>
      <c r="H517" s="45">
        <v>0</v>
      </c>
      <c r="I517" s="45">
        <v>0</v>
      </c>
      <c r="J517" s="45">
        <v>0</v>
      </c>
      <c r="K517" s="45"/>
      <c r="L517" s="45"/>
      <c r="M517" s="52">
        <v>0</v>
      </c>
      <c r="N517" s="52">
        <v>0</v>
      </c>
      <c r="O517" s="45">
        <v>0</v>
      </c>
      <c r="P517" s="45"/>
      <c r="Q517" s="52">
        <v>0</v>
      </c>
      <c r="R517" s="52">
        <v>0</v>
      </c>
    </row>
    <row r="518" spans="2:18" x14ac:dyDescent="0.2">
      <c r="B518" s="56" t="s">
        <v>64</v>
      </c>
      <c r="C518" s="45"/>
      <c r="D518" s="45">
        <v>0</v>
      </c>
      <c r="E518" s="52">
        <v>0</v>
      </c>
      <c r="F518" s="52">
        <v>0</v>
      </c>
      <c r="G518" s="48">
        <v>0</v>
      </c>
      <c r="H518" s="45">
        <v>0</v>
      </c>
      <c r="I518" s="45">
        <v>0</v>
      </c>
      <c r="J518" s="45">
        <v>0</v>
      </c>
      <c r="K518" s="45"/>
      <c r="L518" s="45"/>
      <c r="M518" s="52">
        <v>0</v>
      </c>
      <c r="N518" s="52">
        <v>0</v>
      </c>
      <c r="O518" s="45">
        <v>0</v>
      </c>
      <c r="P518" s="45"/>
      <c r="Q518" s="52">
        <v>0</v>
      </c>
      <c r="R518" s="52">
        <v>0</v>
      </c>
    </row>
    <row r="519" spans="2:18" x14ac:dyDescent="0.2">
      <c r="B519" s="56" t="s">
        <v>64</v>
      </c>
      <c r="C519" s="45"/>
      <c r="D519" s="45">
        <v>0</v>
      </c>
      <c r="E519" s="52">
        <v>0</v>
      </c>
      <c r="F519" s="52">
        <v>0</v>
      </c>
      <c r="G519" s="48">
        <v>0</v>
      </c>
      <c r="H519" s="45">
        <v>0</v>
      </c>
      <c r="I519" s="45">
        <v>0</v>
      </c>
      <c r="J519" s="45">
        <v>0</v>
      </c>
      <c r="K519" s="45"/>
      <c r="L519" s="45"/>
      <c r="M519" s="52">
        <v>0</v>
      </c>
      <c r="N519" s="52">
        <v>0</v>
      </c>
      <c r="O519" s="45">
        <v>0</v>
      </c>
      <c r="P519" s="45"/>
      <c r="Q519" s="52">
        <v>0</v>
      </c>
      <c r="R519" s="52">
        <v>0</v>
      </c>
    </row>
    <row r="520" spans="2:18" x14ac:dyDescent="0.2">
      <c r="B520" s="56" t="s">
        <v>64</v>
      </c>
      <c r="C520" s="45"/>
      <c r="D520" s="45">
        <v>0</v>
      </c>
      <c r="E520" s="52">
        <v>0</v>
      </c>
      <c r="F520" s="52">
        <v>0</v>
      </c>
      <c r="G520" s="48">
        <v>0</v>
      </c>
      <c r="H520" s="45">
        <v>0</v>
      </c>
      <c r="I520" s="45">
        <v>0</v>
      </c>
      <c r="J520" s="45">
        <v>0</v>
      </c>
      <c r="K520" s="45"/>
      <c r="L520" s="45"/>
      <c r="M520" s="52">
        <v>0</v>
      </c>
      <c r="N520" s="52">
        <v>0</v>
      </c>
      <c r="O520" s="45">
        <v>0</v>
      </c>
      <c r="P520" s="45"/>
      <c r="Q520" s="52">
        <v>0</v>
      </c>
      <c r="R520" s="52">
        <v>0</v>
      </c>
    </row>
    <row r="521" spans="2:18" x14ac:dyDescent="0.2">
      <c r="B521" s="56" t="s">
        <v>64</v>
      </c>
      <c r="C521" s="45"/>
      <c r="D521" s="45">
        <v>0</v>
      </c>
      <c r="E521" s="52">
        <v>0</v>
      </c>
      <c r="F521" s="52">
        <v>0</v>
      </c>
      <c r="G521" s="48">
        <v>0</v>
      </c>
      <c r="H521" s="45">
        <v>0</v>
      </c>
      <c r="I521" s="45">
        <v>0</v>
      </c>
      <c r="J521" s="45">
        <v>0</v>
      </c>
      <c r="K521" s="45"/>
      <c r="L521" s="45"/>
      <c r="M521" s="52">
        <v>0</v>
      </c>
      <c r="N521" s="52">
        <v>0</v>
      </c>
      <c r="O521" s="45">
        <v>0</v>
      </c>
      <c r="P521" s="45"/>
      <c r="Q521" s="52">
        <v>0</v>
      </c>
      <c r="R521" s="52">
        <v>0</v>
      </c>
    </row>
    <row r="522" spans="2:18" x14ac:dyDescent="0.2">
      <c r="B522" s="56" t="s">
        <v>64</v>
      </c>
      <c r="C522" s="45"/>
      <c r="D522" s="45">
        <v>0</v>
      </c>
      <c r="E522" s="52">
        <v>0</v>
      </c>
      <c r="F522" s="52">
        <v>0</v>
      </c>
      <c r="G522" s="48">
        <v>0</v>
      </c>
      <c r="H522" s="45">
        <v>0</v>
      </c>
      <c r="I522" s="45">
        <v>0</v>
      </c>
      <c r="J522" s="45">
        <v>0</v>
      </c>
      <c r="K522" s="45"/>
      <c r="L522" s="45"/>
      <c r="M522" s="52">
        <v>0</v>
      </c>
      <c r="N522" s="52">
        <v>0</v>
      </c>
      <c r="O522" s="45">
        <v>0</v>
      </c>
      <c r="P522" s="45"/>
      <c r="Q522" s="52">
        <v>0</v>
      </c>
      <c r="R522" s="52">
        <v>0</v>
      </c>
    </row>
    <row r="523" spans="2:18" x14ac:dyDescent="0.2">
      <c r="B523" s="56" t="s">
        <v>64</v>
      </c>
      <c r="C523" s="45"/>
      <c r="D523" s="45">
        <v>0</v>
      </c>
      <c r="E523" s="52">
        <v>0</v>
      </c>
      <c r="F523" s="52">
        <v>0</v>
      </c>
      <c r="G523" s="48">
        <v>0</v>
      </c>
      <c r="H523" s="45">
        <v>0</v>
      </c>
      <c r="I523" s="45">
        <v>0</v>
      </c>
      <c r="J523" s="45">
        <v>0</v>
      </c>
      <c r="K523" s="45"/>
      <c r="L523" s="45"/>
      <c r="M523" s="52">
        <v>0</v>
      </c>
      <c r="N523" s="52">
        <v>0</v>
      </c>
      <c r="O523" s="45">
        <v>0</v>
      </c>
      <c r="P523" s="45"/>
      <c r="Q523" s="52">
        <v>0</v>
      </c>
      <c r="R523" s="52">
        <v>0</v>
      </c>
    </row>
    <row r="524" spans="2:18" x14ac:dyDescent="0.2">
      <c r="B524" s="56" t="s">
        <v>64</v>
      </c>
      <c r="C524" s="45"/>
      <c r="D524" s="45">
        <v>0</v>
      </c>
      <c r="E524" s="52">
        <v>0</v>
      </c>
      <c r="F524" s="52">
        <v>0</v>
      </c>
      <c r="G524" s="48">
        <v>0</v>
      </c>
      <c r="H524" s="45">
        <v>0</v>
      </c>
      <c r="I524" s="45">
        <v>0</v>
      </c>
      <c r="J524" s="45">
        <v>0</v>
      </c>
      <c r="K524" s="45"/>
      <c r="L524" s="45"/>
      <c r="M524" s="52">
        <v>0</v>
      </c>
      <c r="N524" s="52">
        <v>0</v>
      </c>
      <c r="O524" s="45">
        <v>0</v>
      </c>
      <c r="P524" s="45"/>
      <c r="Q524" s="52">
        <v>0</v>
      </c>
      <c r="R524" s="52">
        <v>0</v>
      </c>
    </row>
    <row r="525" spans="2:18" x14ac:dyDescent="0.2">
      <c r="B525" s="56" t="s">
        <v>64</v>
      </c>
      <c r="C525" s="45"/>
      <c r="D525" s="45">
        <v>0</v>
      </c>
      <c r="E525" s="52">
        <v>0</v>
      </c>
      <c r="F525" s="52">
        <v>0</v>
      </c>
      <c r="G525" s="48">
        <v>0</v>
      </c>
      <c r="H525" s="45">
        <v>0</v>
      </c>
      <c r="I525" s="45">
        <v>0</v>
      </c>
      <c r="J525" s="45">
        <v>0</v>
      </c>
      <c r="K525" s="45"/>
      <c r="L525" s="45"/>
      <c r="M525" s="52">
        <v>0</v>
      </c>
      <c r="N525" s="52">
        <v>0</v>
      </c>
      <c r="O525" s="45">
        <v>0</v>
      </c>
      <c r="P525" s="45"/>
      <c r="Q525" s="52">
        <v>0</v>
      </c>
      <c r="R525" s="52">
        <v>0</v>
      </c>
    </row>
    <row r="526" spans="2:18" x14ac:dyDescent="0.2">
      <c r="B526" s="56" t="s">
        <v>64</v>
      </c>
      <c r="C526" s="45"/>
      <c r="D526" s="45">
        <v>0</v>
      </c>
      <c r="E526" s="52">
        <v>0</v>
      </c>
      <c r="F526" s="52">
        <v>0</v>
      </c>
      <c r="G526" s="48">
        <v>0</v>
      </c>
      <c r="H526" s="45">
        <v>0</v>
      </c>
      <c r="I526" s="45">
        <v>0</v>
      </c>
      <c r="J526" s="45">
        <v>0</v>
      </c>
      <c r="K526" s="45"/>
      <c r="L526" s="45"/>
      <c r="M526" s="52">
        <v>0</v>
      </c>
      <c r="N526" s="52">
        <v>0</v>
      </c>
      <c r="O526" s="45">
        <v>0</v>
      </c>
      <c r="P526" s="45"/>
      <c r="Q526" s="52">
        <v>0</v>
      </c>
      <c r="R526" s="52">
        <v>0</v>
      </c>
    </row>
    <row r="527" spans="2:18" x14ac:dyDescent="0.2">
      <c r="B527" s="56" t="s">
        <v>64</v>
      </c>
      <c r="C527" s="45"/>
      <c r="D527" s="45">
        <v>0</v>
      </c>
      <c r="E527" s="52">
        <v>0</v>
      </c>
      <c r="F527" s="52">
        <v>0</v>
      </c>
      <c r="G527" s="48">
        <v>0</v>
      </c>
      <c r="H527" s="45">
        <v>0</v>
      </c>
      <c r="I527" s="45">
        <v>0</v>
      </c>
      <c r="J527" s="45">
        <v>0</v>
      </c>
      <c r="K527" s="45"/>
      <c r="L527" s="45"/>
      <c r="M527" s="52">
        <v>0</v>
      </c>
      <c r="N527" s="52">
        <v>0</v>
      </c>
      <c r="O527" s="45">
        <v>0</v>
      </c>
      <c r="P527" s="45"/>
      <c r="Q527" s="52">
        <v>0</v>
      </c>
      <c r="R527" s="52">
        <v>0</v>
      </c>
    </row>
    <row r="528" spans="2:18" x14ac:dyDescent="0.2">
      <c r="B528" s="56" t="s">
        <v>64</v>
      </c>
      <c r="C528" s="45"/>
      <c r="D528" s="45">
        <v>0</v>
      </c>
      <c r="E528" s="52">
        <v>0</v>
      </c>
      <c r="F528" s="52">
        <v>0</v>
      </c>
      <c r="G528" s="48">
        <v>0</v>
      </c>
      <c r="H528" s="45">
        <v>0</v>
      </c>
      <c r="I528" s="45">
        <v>0</v>
      </c>
      <c r="J528" s="45">
        <v>0</v>
      </c>
      <c r="K528" s="45"/>
      <c r="L528" s="45"/>
      <c r="M528" s="52">
        <v>0</v>
      </c>
      <c r="N528" s="52">
        <v>0</v>
      </c>
      <c r="O528" s="45">
        <v>0</v>
      </c>
      <c r="P528" s="45"/>
      <c r="Q528" s="52">
        <v>0</v>
      </c>
      <c r="R528" s="52">
        <v>0</v>
      </c>
    </row>
    <row r="529" spans="2:18" x14ac:dyDescent="0.2">
      <c r="B529" s="56" t="s">
        <v>64</v>
      </c>
      <c r="C529" s="45"/>
      <c r="D529" s="45">
        <v>0</v>
      </c>
      <c r="E529" s="52">
        <v>0</v>
      </c>
      <c r="F529" s="52">
        <v>0</v>
      </c>
      <c r="G529" s="48">
        <v>0</v>
      </c>
      <c r="H529" s="45">
        <v>0</v>
      </c>
      <c r="I529" s="45">
        <v>0</v>
      </c>
      <c r="J529" s="45">
        <v>0</v>
      </c>
      <c r="K529" s="45"/>
      <c r="L529" s="45"/>
      <c r="M529" s="52">
        <v>0</v>
      </c>
      <c r="N529" s="52">
        <v>0</v>
      </c>
      <c r="O529" s="45">
        <v>0</v>
      </c>
      <c r="P529" s="45"/>
      <c r="Q529" s="52">
        <v>0</v>
      </c>
      <c r="R529" s="52">
        <v>0</v>
      </c>
    </row>
    <row r="530" spans="2:18" x14ac:dyDescent="0.2">
      <c r="B530" s="56" t="s">
        <v>64</v>
      </c>
      <c r="C530" s="45"/>
      <c r="D530" s="45">
        <v>0</v>
      </c>
      <c r="E530" s="52">
        <v>0</v>
      </c>
      <c r="F530" s="52">
        <v>0</v>
      </c>
      <c r="G530" s="48">
        <v>0</v>
      </c>
      <c r="H530" s="45">
        <v>0</v>
      </c>
      <c r="I530" s="45">
        <v>0</v>
      </c>
      <c r="J530" s="45">
        <v>0</v>
      </c>
      <c r="K530" s="45"/>
      <c r="L530" s="45"/>
      <c r="M530" s="52">
        <v>0</v>
      </c>
      <c r="N530" s="52">
        <v>0</v>
      </c>
      <c r="O530" s="45">
        <v>0</v>
      </c>
      <c r="P530" s="45"/>
      <c r="Q530" s="52">
        <v>0</v>
      </c>
      <c r="R530" s="52">
        <v>0</v>
      </c>
    </row>
    <row r="531" spans="2:18" x14ac:dyDescent="0.2">
      <c r="B531" s="56" t="s">
        <v>64</v>
      </c>
      <c r="C531" s="45"/>
      <c r="D531" s="45">
        <v>0</v>
      </c>
      <c r="E531" s="52">
        <v>0</v>
      </c>
      <c r="F531" s="52">
        <v>0</v>
      </c>
      <c r="G531" s="48">
        <v>0</v>
      </c>
      <c r="H531" s="45">
        <v>0</v>
      </c>
      <c r="I531" s="45">
        <v>0</v>
      </c>
      <c r="J531" s="45">
        <v>0</v>
      </c>
      <c r="K531" s="45"/>
      <c r="L531" s="45"/>
      <c r="M531" s="52">
        <v>0</v>
      </c>
      <c r="N531" s="52">
        <v>0</v>
      </c>
      <c r="O531" s="45">
        <v>0</v>
      </c>
      <c r="P531" s="45"/>
      <c r="Q531" s="52">
        <v>0</v>
      </c>
      <c r="R531" s="52">
        <v>0</v>
      </c>
    </row>
    <row r="532" spans="2:18" x14ac:dyDescent="0.2">
      <c r="B532" s="56" t="s">
        <v>64</v>
      </c>
      <c r="C532" s="45"/>
      <c r="D532" s="45">
        <v>0</v>
      </c>
      <c r="E532" s="52">
        <v>0</v>
      </c>
      <c r="F532" s="52">
        <v>0</v>
      </c>
      <c r="G532" s="48">
        <v>0</v>
      </c>
      <c r="H532" s="45">
        <v>0</v>
      </c>
      <c r="I532" s="45">
        <v>0</v>
      </c>
      <c r="J532" s="45">
        <v>0</v>
      </c>
      <c r="K532" s="45"/>
      <c r="L532" s="45"/>
      <c r="M532" s="52">
        <v>0</v>
      </c>
      <c r="N532" s="52">
        <v>0</v>
      </c>
      <c r="O532" s="45">
        <v>0</v>
      </c>
      <c r="P532" s="45"/>
      <c r="Q532" s="52">
        <v>0</v>
      </c>
      <c r="R532" s="52">
        <v>0</v>
      </c>
    </row>
    <row r="533" spans="2:18" x14ac:dyDescent="0.2">
      <c r="B533" s="56" t="s">
        <v>64</v>
      </c>
      <c r="C533" s="45"/>
      <c r="D533" s="45">
        <v>0</v>
      </c>
      <c r="E533" s="52">
        <v>0</v>
      </c>
      <c r="F533" s="52">
        <v>0</v>
      </c>
      <c r="G533" s="48">
        <v>0</v>
      </c>
      <c r="H533" s="45">
        <v>0</v>
      </c>
      <c r="I533" s="45">
        <v>0</v>
      </c>
      <c r="J533" s="45">
        <v>0</v>
      </c>
      <c r="K533" s="45"/>
      <c r="L533" s="45"/>
      <c r="M533" s="52">
        <v>0</v>
      </c>
      <c r="N533" s="52">
        <v>0</v>
      </c>
      <c r="O533" s="45">
        <v>0</v>
      </c>
      <c r="P533" s="45"/>
      <c r="Q533" s="52">
        <v>0</v>
      </c>
      <c r="R533" s="52">
        <v>0</v>
      </c>
    </row>
    <row r="534" spans="2:18" x14ac:dyDescent="0.2">
      <c r="B534" s="56" t="s">
        <v>64</v>
      </c>
      <c r="C534" s="45"/>
      <c r="D534" s="45">
        <v>0</v>
      </c>
      <c r="E534" s="52">
        <v>0</v>
      </c>
      <c r="F534" s="52">
        <v>0</v>
      </c>
      <c r="G534" s="48">
        <v>0</v>
      </c>
      <c r="H534" s="45">
        <v>0</v>
      </c>
      <c r="I534" s="45">
        <v>0</v>
      </c>
      <c r="J534" s="45">
        <v>0</v>
      </c>
      <c r="K534" s="45"/>
      <c r="L534" s="45"/>
      <c r="M534" s="52">
        <v>0</v>
      </c>
      <c r="N534" s="52">
        <v>0</v>
      </c>
      <c r="O534" s="45">
        <v>0</v>
      </c>
      <c r="P534" s="45"/>
      <c r="Q534" s="52">
        <v>0</v>
      </c>
      <c r="R534" s="52">
        <v>0</v>
      </c>
    </row>
    <row r="535" spans="2:18" x14ac:dyDescent="0.2">
      <c r="B535" s="56" t="s">
        <v>64</v>
      </c>
      <c r="C535" s="45"/>
      <c r="D535" s="45">
        <v>0</v>
      </c>
      <c r="E535" s="52">
        <v>0</v>
      </c>
      <c r="F535" s="52">
        <v>0</v>
      </c>
      <c r="G535" s="48">
        <v>0</v>
      </c>
      <c r="H535" s="45">
        <v>0</v>
      </c>
      <c r="I535" s="45">
        <v>0</v>
      </c>
      <c r="J535" s="45">
        <v>0</v>
      </c>
      <c r="K535" s="45"/>
      <c r="L535" s="45"/>
      <c r="M535" s="52">
        <v>0</v>
      </c>
      <c r="N535" s="52">
        <v>0</v>
      </c>
      <c r="O535" s="45">
        <v>0</v>
      </c>
      <c r="P535" s="45"/>
      <c r="Q535" s="52">
        <v>0</v>
      </c>
      <c r="R535" s="52">
        <v>0</v>
      </c>
    </row>
    <row r="536" spans="2:18" x14ac:dyDescent="0.2">
      <c r="B536" s="56" t="s">
        <v>64</v>
      </c>
      <c r="C536" s="45"/>
      <c r="D536" s="45">
        <v>0</v>
      </c>
      <c r="E536" s="52">
        <v>0</v>
      </c>
      <c r="F536" s="52">
        <v>0</v>
      </c>
      <c r="G536" s="48">
        <v>0</v>
      </c>
      <c r="H536" s="45">
        <v>0</v>
      </c>
      <c r="I536" s="45">
        <v>0</v>
      </c>
      <c r="J536" s="45">
        <v>0</v>
      </c>
      <c r="K536" s="45"/>
      <c r="L536" s="45"/>
      <c r="M536" s="52">
        <v>0</v>
      </c>
      <c r="N536" s="52">
        <v>0</v>
      </c>
      <c r="O536" s="45">
        <v>0</v>
      </c>
      <c r="P536" s="45"/>
      <c r="Q536" s="52">
        <v>0</v>
      </c>
      <c r="R536" s="52">
        <v>0</v>
      </c>
    </row>
    <row r="537" spans="2:18" x14ac:dyDescent="0.2">
      <c r="B537" s="56" t="s">
        <v>64</v>
      </c>
      <c r="C537" s="45"/>
      <c r="D537" s="45">
        <v>0</v>
      </c>
      <c r="E537" s="52">
        <v>0</v>
      </c>
      <c r="F537" s="52">
        <v>0</v>
      </c>
      <c r="G537" s="48">
        <v>0</v>
      </c>
      <c r="H537" s="45">
        <v>0</v>
      </c>
      <c r="I537" s="45">
        <v>0</v>
      </c>
      <c r="J537" s="45">
        <v>0</v>
      </c>
      <c r="K537" s="45"/>
      <c r="L537" s="45"/>
      <c r="M537" s="52">
        <v>0</v>
      </c>
      <c r="N537" s="52">
        <v>0</v>
      </c>
      <c r="O537" s="45">
        <v>0</v>
      </c>
      <c r="P537" s="45"/>
      <c r="Q537" s="52">
        <v>0</v>
      </c>
      <c r="R537" s="52">
        <v>0</v>
      </c>
    </row>
    <row r="538" spans="2:18" x14ac:dyDescent="0.2">
      <c r="B538" s="56" t="s">
        <v>64</v>
      </c>
      <c r="C538" s="45"/>
      <c r="D538" s="45">
        <v>0</v>
      </c>
      <c r="E538" s="52">
        <v>0</v>
      </c>
      <c r="F538" s="52">
        <v>0</v>
      </c>
      <c r="G538" s="48">
        <v>0</v>
      </c>
      <c r="H538" s="45">
        <v>0</v>
      </c>
      <c r="I538" s="45">
        <v>0</v>
      </c>
      <c r="J538" s="45">
        <v>0</v>
      </c>
      <c r="K538" s="45"/>
      <c r="L538" s="45"/>
      <c r="M538" s="52">
        <v>0</v>
      </c>
      <c r="N538" s="52">
        <v>0</v>
      </c>
      <c r="O538" s="45">
        <v>0</v>
      </c>
      <c r="P538" s="45"/>
      <c r="Q538" s="52">
        <v>0</v>
      </c>
      <c r="R538" s="52">
        <v>0</v>
      </c>
    </row>
    <row r="539" spans="2:18" x14ac:dyDescent="0.2">
      <c r="B539" s="56" t="s">
        <v>64</v>
      </c>
      <c r="C539" s="45"/>
      <c r="D539" s="45">
        <v>0</v>
      </c>
      <c r="E539" s="52">
        <v>0</v>
      </c>
      <c r="F539" s="52">
        <v>0</v>
      </c>
      <c r="G539" s="48">
        <v>0</v>
      </c>
      <c r="H539" s="45">
        <v>0</v>
      </c>
      <c r="I539" s="45">
        <v>0</v>
      </c>
      <c r="J539" s="45">
        <v>0</v>
      </c>
      <c r="K539" s="45"/>
      <c r="L539" s="45"/>
      <c r="M539" s="52">
        <v>0</v>
      </c>
      <c r="N539" s="52">
        <v>0</v>
      </c>
      <c r="O539" s="45">
        <v>0</v>
      </c>
      <c r="P539" s="45"/>
      <c r="Q539" s="52">
        <v>0</v>
      </c>
      <c r="R539" s="52">
        <v>0</v>
      </c>
    </row>
    <row r="540" spans="2:18" x14ac:dyDescent="0.2">
      <c r="B540" s="56" t="s">
        <v>64</v>
      </c>
      <c r="C540" s="45"/>
      <c r="D540" s="45">
        <v>0</v>
      </c>
      <c r="E540" s="52">
        <v>0</v>
      </c>
      <c r="F540" s="52">
        <v>0</v>
      </c>
      <c r="G540" s="48">
        <v>0</v>
      </c>
      <c r="H540" s="45">
        <v>0</v>
      </c>
      <c r="I540" s="45">
        <v>0</v>
      </c>
      <c r="J540" s="45">
        <v>0</v>
      </c>
      <c r="K540" s="45"/>
      <c r="L540" s="45"/>
      <c r="M540" s="52">
        <v>0</v>
      </c>
      <c r="N540" s="52">
        <v>0</v>
      </c>
      <c r="O540" s="45">
        <v>0</v>
      </c>
      <c r="P540" s="45"/>
      <c r="Q540" s="52">
        <v>0</v>
      </c>
      <c r="R540" s="52">
        <v>0</v>
      </c>
    </row>
    <row r="541" spans="2:18" x14ac:dyDescent="0.2">
      <c r="B541" s="56" t="s">
        <v>64</v>
      </c>
      <c r="C541" s="45"/>
      <c r="D541" s="45">
        <v>0</v>
      </c>
      <c r="E541" s="52">
        <v>0</v>
      </c>
      <c r="F541" s="52">
        <v>0</v>
      </c>
      <c r="G541" s="48">
        <v>0</v>
      </c>
      <c r="H541" s="45">
        <v>0</v>
      </c>
      <c r="I541" s="45">
        <v>0</v>
      </c>
      <c r="J541" s="45">
        <v>0</v>
      </c>
      <c r="K541" s="45"/>
      <c r="L541" s="45"/>
      <c r="M541" s="52">
        <v>0</v>
      </c>
      <c r="N541" s="52">
        <v>0</v>
      </c>
      <c r="O541" s="45">
        <v>0</v>
      </c>
      <c r="P541" s="45"/>
      <c r="Q541" s="52">
        <v>0</v>
      </c>
      <c r="R541" s="52">
        <v>0</v>
      </c>
    </row>
    <row r="542" spans="2:18" x14ac:dyDescent="0.2">
      <c r="B542" s="56" t="s">
        <v>64</v>
      </c>
      <c r="C542" s="45"/>
      <c r="D542" s="45">
        <v>0</v>
      </c>
      <c r="E542" s="52">
        <v>0</v>
      </c>
      <c r="F542" s="52">
        <v>0</v>
      </c>
      <c r="G542" s="48">
        <v>0</v>
      </c>
      <c r="H542" s="45">
        <v>0</v>
      </c>
      <c r="I542" s="45">
        <v>0</v>
      </c>
      <c r="J542" s="45">
        <v>0</v>
      </c>
      <c r="K542" s="45"/>
      <c r="L542" s="45"/>
      <c r="M542" s="52">
        <v>0</v>
      </c>
      <c r="N542" s="52">
        <v>0</v>
      </c>
      <c r="O542" s="45">
        <v>0</v>
      </c>
      <c r="P542" s="45"/>
      <c r="Q542" s="52">
        <v>0</v>
      </c>
      <c r="R542" s="52">
        <v>0</v>
      </c>
    </row>
    <row r="543" spans="2:18" x14ac:dyDescent="0.2">
      <c r="B543" s="56" t="s">
        <v>64</v>
      </c>
      <c r="C543" s="45"/>
      <c r="D543" s="45">
        <v>0</v>
      </c>
      <c r="E543" s="52">
        <v>0</v>
      </c>
      <c r="F543" s="52">
        <v>0</v>
      </c>
      <c r="G543" s="48">
        <v>0</v>
      </c>
      <c r="H543" s="45">
        <v>0</v>
      </c>
      <c r="I543" s="45">
        <v>0</v>
      </c>
      <c r="J543" s="45">
        <v>0</v>
      </c>
      <c r="K543" s="45"/>
      <c r="L543" s="45"/>
      <c r="M543" s="52">
        <v>0</v>
      </c>
      <c r="N543" s="52">
        <v>0</v>
      </c>
      <c r="O543" s="45">
        <v>0</v>
      </c>
      <c r="P543" s="45"/>
      <c r="Q543" s="52">
        <v>0</v>
      </c>
      <c r="R543" s="52">
        <v>0</v>
      </c>
    </row>
    <row r="544" spans="2:18" x14ac:dyDescent="0.2">
      <c r="B544" s="56" t="s">
        <v>64</v>
      </c>
      <c r="C544" s="45"/>
      <c r="D544" s="45">
        <v>0</v>
      </c>
      <c r="E544" s="52">
        <v>0</v>
      </c>
      <c r="F544" s="52">
        <v>0</v>
      </c>
      <c r="G544" s="48">
        <v>0</v>
      </c>
      <c r="H544" s="45">
        <v>0</v>
      </c>
      <c r="I544" s="45">
        <v>0</v>
      </c>
      <c r="J544" s="45">
        <v>0</v>
      </c>
      <c r="K544" s="45"/>
      <c r="L544" s="45"/>
      <c r="M544" s="52">
        <v>0</v>
      </c>
      <c r="N544" s="52">
        <v>0</v>
      </c>
      <c r="O544" s="45">
        <v>0</v>
      </c>
      <c r="P544" s="45"/>
      <c r="Q544" s="52">
        <v>0</v>
      </c>
      <c r="R544" s="52">
        <v>0</v>
      </c>
    </row>
    <row r="545" spans="2:18" x14ac:dyDescent="0.2">
      <c r="B545" s="56" t="s">
        <v>64</v>
      </c>
      <c r="C545" s="45"/>
      <c r="D545" s="45">
        <v>0</v>
      </c>
      <c r="E545" s="52">
        <v>0</v>
      </c>
      <c r="F545" s="52">
        <v>0</v>
      </c>
      <c r="G545" s="48">
        <v>0</v>
      </c>
      <c r="H545" s="45">
        <v>0</v>
      </c>
      <c r="I545" s="45">
        <v>0</v>
      </c>
      <c r="J545" s="45">
        <v>0</v>
      </c>
      <c r="K545" s="45"/>
      <c r="L545" s="45"/>
      <c r="M545" s="52">
        <v>0</v>
      </c>
      <c r="N545" s="52">
        <v>0</v>
      </c>
      <c r="O545" s="45">
        <v>0</v>
      </c>
      <c r="P545" s="45"/>
      <c r="Q545" s="52">
        <v>0</v>
      </c>
      <c r="R545" s="52">
        <v>0</v>
      </c>
    </row>
    <row r="546" spans="2:18" x14ac:dyDescent="0.2">
      <c r="B546" s="56" t="s">
        <v>64</v>
      </c>
      <c r="C546" s="45"/>
      <c r="D546" s="45">
        <v>0</v>
      </c>
      <c r="E546" s="52">
        <v>0</v>
      </c>
      <c r="F546" s="52">
        <v>0</v>
      </c>
      <c r="G546" s="48">
        <v>0</v>
      </c>
      <c r="H546" s="45">
        <v>0</v>
      </c>
      <c r="I546" s="45">
        <v>0</v>
      </c>
      <c r="J546" s="45">
        <v>0</v>
      </c>
      <c r="K546" s="45"/>
      <c r="L546" s="45"/>
      <c r="M546" s="52">
        <v>0</v>
      </c>
      <c r="N546" s="52">
        <v>0</v>
      </c>
      <c r="O546" s="45">
        <v>0</v>
      </c>
      <c r="P546" s="45"/>
      <c r="Q546" s="52">
        <v>0</v>
      </c>
      <c r="R546" s="52">
        <v>0</v>
      </c>
    </row>
    <row r="547" spans="2:18" x14ac:dyDescent="0.2">
      <c r="B547" s="56" t="s">
        <v>64</v>
      </c>
      <c r="C547" s="45"/>
      <c r="D547" s="45">
        <v>0</v>
      </c>
      <c r="E547" s="52">
        <v>0</v>
      </c>
      <c r="F547" s="52">
        <v>0</v>
      </c>
      <c r="G547" s="48">
        <v>0</v>
      </c>
      <c r="H547" s="45">
        <v>0</v>
      </c>
      <c r="I547" s="45">
        <v>0</v>
      </c>
      <c r="J547" s="45">
        <v>0</v>
      </c>
      <c r="K547" s="45"/>
      <c r="L547" s="45"/>
      <c r="M547" s="52">
        <v>0</v>
      </c>
      <c r="N547" s="52">
        <v>0</v>
      </c>
      <c r="O547" s="45">
        <v>0</v>
      </c>
      <c r="P547" s="45"/>
      <c r="Q547" s="52">
        <v>0</v>
      </c>
      <c r="R547" s="52">
        <v>0</v>
      </c>
    </row>
    <row r="548" spans="2:18" x14ac:dyDescent="0.2">
      <c r="B548" s="56" t="s">
        <v>64</v>
      </c>
      <c r="C548" s="45"/>
      <c r="D548" s="45">
        <v>0</v>
      </c>
      <c r="E548" s="52">
        <v>0</v>
      </c>
      <c r="F548" s="52">
        <v>0</v>
      </c>
      <c r="G548" s="48">
        <v>0</v>
      </c>
      <c r="H548" s="45">
        <v>0</v>
      </c>
      <c r="I548" s="45">
        <v>0</v>
      </c>
      <c r="J548" s="45">
        <v>0</v>
      </c>
      <c r="K548" s="45"/>
      <c r="L548" s="45"/>
      <c r="M548" s="52">
        <v>0</v>
      </c>
      <c r="N548" s="52">
        <v>0</v>
      </c>
      <c r="O548" s="45">
        <v>0</v>
      </c>
      <c r="P548" s="45"/>
      <c r="Q548" s="52">
        <v>0</v>
      </c>
      <c r="R548" s="52">
        <v>0</v>
      </c>
    </row>
    <row r="549" spans="2:18" x14ac:dyDescent="0.2">
      <c r="B549" s="56" t="s">
        <v>64</v>
      </c>
      <c r="C549" s="45"/>
      <c r="D549" s="45">
        <v>0</v>
      </c>
      <c r="E549" s="52">
        <v>0</v>
      </c>
      <c r="F549" s="52">
        <v>0</v>
      </c>
      <c r="G549" s="48">
        <v>0</v>
      </c>
      <c r="H549" s="45">
        <v>0</v>
      </c>
      <c r="I549" s="45">
        <v>0</v>
      </c>
      <c r="J549" s="45">
        <v>0</v>
      </c>
      <c r="K549" s="45"/>
      <c r="L549" s="45"/>
      <c r="M549" s="52">
        <v>0</v>
      </c>
      <c r="N549" s="52">
        <v>0</v>
      </c>
      <c r="O549" s="45">
        <v>0</v>
      </c>
      <c r="P549" s="45"/>
      <c r="Q549" s="52">
        <v>0</v>
      </c>
      <c r="R549" s="52">
        <v>0</v>
      </c>
    </row>
    <row r="550" spans="2:18" x14ac:dyDescent="0.2">
      <c r="B550" s="56" t="s">
        <v>64</v>
      </c>
      <c r="C550" s="45"/>
      <c r="D550" s="45">
        <v>0</v>
      </c>
      <c r="E550" s="52">
        <v>0</v>
      </c>
      <c r="F550" s="52">
        <v>0</v>
      </c>
      <c r="G550" s="48">
        <v>0</v>
      </c>
      <c r="H550" s="45">
        <v>0</v>
      </c>
      <c r="I550" s="45">
        <v>0</v>
      </c>
      <c r="J550" s="45">
        <v>0</v>
      </c>
      <c r="K550" s="45"/>
      <c r="L550" s="45"/>
      <c r="M550" s="52">
        <v>0</v>
      </c>
      <c r="N550" s="52">
        <v>0</v>
      </c>
      <c r="O550" s="45">
        <v>0</v>
      </c>
      <c r="P550" s="45"/>
      <c r="Q550" s="52">
        <v>0</v>
      </c>
      <c r="R550" s="52">
        <v>0</v>
      </c>
    </row>
    <row r="551" spans="2:18" x14ac:dyDescent="0.2">
      <c r="B551" s="56" t="s">
        <v>64</v>
      </c>
      <c r="C551" s="45"/>
      <c r="D551" s="45">
        <v>0</v>
      </c>
      <c r="E551" s="52">
        <v>0</v>
      </c>
      <c r="F551" s="52">
        <v>0</v>
      </c>
      <c r="G551" s="48">
        <v>0</v>
      </c>
      <c r="H551" s="45">
        <v>0</v>
      </c>
      <c r="I551" s="45">
        <v>0</v>
      </c>
      <c r="J551" s="45">
        <v>0</v>
      </c>
      <c r="K551" s="45"/>
      <c r="L551" s="45"/>
      <c r="M551" s="52">
        <v>0</v>
      </c>
      <c r="N551" s="52">
        <v>0</v>
      </c>
      <c r="O551" s="45">
        <v>0</v>
      </c>
      <c r="P551" s="45"/>
      <c r="Q551" s="52">
        <v>0</v>
      </c>
      <c r="R551" s="52">
        <v>0</v>
      </c>
    </row>
    <row r="552" spans="2:18" x14ac:dyDescent="0.2">
      <c r="B552" s="56" t="s">
        <v>64</v>
      </c>
      <c r="C552" s="45"/>
      <c r="D552" s="45">
        <v>0</v>
      </c>
      <c r="E552" s="52">
        <v>0</v>
      </c>
      <c r="F552" s="52">
        <v>0</v>
      </c>
      <c r="G552" s="48">
        <v>0</v>
      </c>
      <c r="H552" s="45">
        <v>0</v>
      </c>
      <c r="I552" s="45">
        <v>0</v>
      </c>
      <c r="J552" s="45">
        <v>0</v>
      </c>
      <c r="K552" s="45"/>
      <c r="L552" s="45"/>
      <c r="M552" s="52">
        <v>0</v>
      </c>
      <c r="N552" s="52">
        <v>0</v>
      </c>
      <c r="O552" s="45">
        <v>0</v>
      </c>
      <c r="P552" s="45"/>
      <c r="Q552" s="52">
        <v>0</v>
      </c>
      <c r="R552" s="52">
        <v>0</v>
      </c>
    </row>
    <row r="553" spans="2:18" x14ac:dyDescent="0.2">
      <c r="B553" s="56" t="s">
        <v>64</v>
      </c>
      <c r="C553" s="45"/>
      <c r="D553" s="45">
        <v>0</v>
      </c>
      <c r="E553" s="52">
        <v>0</v>
      </c>
      <c r="F553" s="52">
        <v>0</v>
      </c>
      <c r="G553" s="48">
        <v>0</v>
      </c>
      <c r="H553" s="45">
        <v>0</v>
      </c>
      <c r="I553" s="45">
        <v>0</v>
      </c>
      <c r="J553" s="45">
        <v>0</v>
      </c>
      <c r="K553" s="45"/>
      <c r="L553" s="45"/>
      <c r="M553" s="52">
        <v>0</v>
      </c>
      <c r="N553" s="52">
        <v>0</v>
      </c>
      <c r="O553" s="45">
        <v>0</v>
      </c>
      <c r="P553" s="45"/>
      <c r="Q553" s="52">
        <v>0</v>
      </c>
      <c r="R553" s="52">
        <v>0</v>
      </c>
    </row>
    <row r="554" spans="2:18" x14ac:dyDescent="0.2">
      <c r="B554" s="56" t="s">
        <v>64</v>
      </c>
      <c r="C554" s="45"/>
      <c r="D554" s="45">
        <v>0</v>
      </c>
      <c r="E554" s="52">
        <v>0</v>
      </c>
      <c r="F554" s="52">
        <v>0</v>
      </c>
      <c r="G554" s="48">
        <v>0</v>
      </c>
      <c r="H554" s="45">
        <v>0</v>
      </c>
      <c r="I554" s="45">
        <v>0</v>
      </c>
      <c r="J554" s="45">
        <v>0</v>
      </c>
      <c r="K554" s="45"/>
      <c r="L554" s="45"/>
      <c r="M554" s="52">
        <v>0</v>
      </c>
      <c r="N554" s="52">
        <v>0</v>
      </c>
      <c r="O554" s="45">
        <v>0</v>
      </c>
      <c r="P554" s="45"/>
      <c r="Q554" s="52">
        <v>0</v>
      </c>
      <c r="R554" s="52">
        <v>0</v>
      </c>
    </row>
    <row r="555" spans="2:18" x14ac:dyDescent="0.2">
      <c r="B555" s="56" t="s">
        <v>64</v>
      </c>
      <c r="C555" s="45"/>
      <c r="D555" s="45">
        <v>0</v>
      </c>
      <c r="E555" s="52">
        <v>0</v>
      </c>
      <c r="F555" s="52">
        <v>0</v>
      </c>
      <c r="G555" s="48">
        <v>0</v>
      </c>
      <c r="H555" s="45">
        <v>0</v>
      </c>
      <c r="I555" s="45">
        <v>0</v>
      </c>
      <c r="J555" s="45">
        <v>0</v>
      </c>
      <c r="K555" s="45"/>
      <c r="L555" s="45"/>
      <c r="M555" s="52">
        <v>0</v>
      </c>
      <c r="N555" s="52">
        <v>0</v>
      </c>
      <c r="O555" s="45">
        <v>0</v>
      </c>
      <c r="P555" s="45"/>
      <c r="Q555" s="52">
        <v>0</v>
      </c>
      <c r="R555" s="52">
        <v>0</v>
      </c>
    </row>
    <row r="556" spans="2:18" x14ac:dyDescent="0.2">
      <c r="B556" s="56" t="s">
        <v>64</v>
      </c>
      <c r="C556" s="45"/>
      <c r="D556" s="45">
        <v>0</v>
      </c>
      <c r="E556" s="52">
        <v>0</v>
      </c>
      <c r="F556" s="52">
        <v>0</v>
      </c>
      <c r="G556" s="48">
        <v>0</v>
      </c>
      <c r="H556" s="45">
        <v>0</v>
      </c>
      <c r="I556" s="45">
        <v>0</v>
      </c>
      <c r="J556" s="45">
        <v>0</v>
      </c>
      <c r="K556" s="45"/>
      <c r="L556" s="45"/>
      <c r="M556" s="52">
        <v>0</v>
      </c>
      <c r="N556" s="52">
        <v>0</v>
      </c>
      <c r="O556" s="45">
        <v>0</v>
      </c>
      <c r="P556" s="45"/>
      <c r="Q556" s="52">
        <v>0</v>
      </c>
      <c r="R556" s="52">
        <v>0</v>
      </c>
    </row>
    <row r="557" spans="2:18" x14ac:dyDescent="0.2">
      <c r="B557" s="56" t="s">
        <v>64</v>
      </c>
      <c r="C557" s="45"/>
      <c r="D557" s="45">
        <v>0</v>
      </c>
      <c r="E557" s="52">
        <v>0</v>
      </c>
      <c r="F557" s="52">
        <v>0</v>
      </c>
      <c r="G557" s="48">
        <v>0</v>
      </c>
      <c r="H557" s="45">
        <v>0</v>
      </c>
      <c r="I557" s="45">
        <v>0</v>
      </c>
      <c r="J557" s="45">
        <v>0</v>
      </c>
      <c r="K557" s="45"/>
      <c r="L557" s="45"/>
      <c r="M557" s="52">
        <v>0</v>
      </c>
      <c r="N557" s="52">
        <v>0</v>
      </c>
      <c r="O557" s="45">
        <v>0</v>
      </c>
      <c r="P557" s="45"/>
      <c r="Q557" s="52">
        <v>0</v>
      </c>
      <c r="R557" s="52">
        <v>0</v>
      </c>
    </row>
    <row r="558" spans="2:18" x14ac:dyDescent="0.2">
      <c r="B558" s="56" t="s">
        <v>64</v>
      </c>
      <c r="C558" s="45"/>
      <c r="D558" s="45">
        <v>0</v>
      </c>
      <c r="E558" s="52">
        <v>0</v>
      </c>
      <c r="F558" s="52">
        <v>0</v>
      </c>
      <c r="G558" s="48">
        <v>0</v>
      </c>
      <c r="H558" s="45">
        <v>0</v>
      </c>
      <c r="I558" s="45">
        <v>0</v>
      </c>
      <c r="J558" s="45">
        <v>0</v>
      </c>
      <c r="K558" s="45"/>
      <c r="L558" s="45"/>
      <c r="M558" s="52">
        <v>0</v>
      </c>
      <c r="N558" s="52">
        <v>0</v>
      </c>
      <c r="O558" s="45">
        <v>0</v>
      </c>
      <c r="P558" s="45"/>
      <c r="Q558" s="52">
        <v>0</v>
      </c>
      <c r="R558" s="52">
        <v>0</v>
      </c>
    </row>
    <row r="559" spans="2:18" x14ac:dyDescent="0.2">
      <c r="B559" s="56" t="s">
        <v>64</v>
      </c>
      <c r="C559" s="45"/>
      <c r="D559" s="45">
        <v>0</v>
      </c>
      <c r="E559" s="52">
        <v>0</v>
      </c>
      <c r="F559" s="52">
        <v>0</v>
      </c>
      <c r="G559" s="48">
        <v>0</v>
      </c>
      <c r="H559" s="45">
        <v>0</v>
      </c>
      <c r="I559" s="45">
        <v>0</v>
      </c>
      <c r="J559" s="45">
        <v>0</v>
      </c>
      <c r="K559" s="45"/>
      <c r="L559" s="45"/>
      <c r="M559" s="52">
        <v>0</v>
      </c>
      <c r="N559" s="52">
        <v>0</v>
      </c>
      <c r="O559" s="45">
        <v>0</v>
      </c>
      <c r="P559" s="45"/>
      <c r="Q559" s="52">
        <v>0</v>
      </c>
      <c r="R559" s="52">
        <v>0</v>
      </c>
    </row>
    <row r="560" spans="2:18" x14ac:dyDescent="0.2">
      <c r="B560" s="56" t="s">
        <v>64</v>
      </c>
      <c r="C560" s="45"/>
      <c r="D560" s="45">
        <v>0</v>
      </c>
      <c r="E560" s="52">
        <v>0</v>
      </c>
      <c r="F560" s="52">
        <v>0</v>
      </c>
      <c r="G560" s="48">
        <v>0</v>
      </c>
      <c r="H560" s="45">
        <v>0</v>
      </c>
      <c r="I560" s="45">
        <v>0</v>
      </c>
      <c r="J560" s="45">
        <v>0</v>
      </c>
      <c r="K560" s="45"/>
      <c r="L560" s="45"/>
      <c r="M560" s="52">
        <v>0</v>
      </c>
      <c r="N560" s="52">
        <v>0</v>
      </c>
      <c r="O560" s="45">
        <v>0</v>
      </c>
      <c r="P560" s="45"/>
      <c r="Q560" s="52">
        <v>0</v>
      </c>
      <c r="R560" s="52">
        <v>0</v>
      </c>
    </row>
    <row r="561" spans="2:18" x14ac:dyDescent="0.2">
      <c r="B561" s="56" t="s">
        <v>64</v>
      </c>
      <c r="C561" s="45"/>
      <c r="D561" s="45">
        <v>0</v>
      </c>
      <c r="E561" s="52">
        <v>0</v>
      </c>
      <c r="F561" s="52">
        <v>0</v>
      </c>
      <c r="G561" s="48">
        <v>0</v>
      </c>
      <c r="H561" s="45">
        <v>0</v>
      </c>
      <c r="I561" s="45">
        <v>0</v>
      </c>
      <c r="J561" s="45">
        <v>0</v>
      </c>
      <c r="K561" s="45"/>
      <c r="L561" s="45"/>
      <c r="M561" s="52">
        <v>0</v>
      </c>
      <c r="N561" s="52">
        <v>0</v>
      </c>
      <c r="O561" s="45">
        <v>0</v>
      </c>
      <c r="P561" s="45"/>
      <c r="Q561" s="52">
        <v>0</v>
      </c>
      <c r="R561" s="52">
        <v>0</v>
      </c>
    </row>
    <row r="562" spans="2:18" x14ac:dyDescent="0.2">
      <c r="B562" s="56" t="s">
        <v>64</v>
      </c>
      <c r="C562" s="45"/>
      <c r="D562" s="45">
        <v>0</v>
      </c>
      <c r="E562" s="52">
        <v>0</v>
      </c>
      <c r="F562" s="52">
        <v>0</v>
      </c>
      <c r="G562" s="48">
        <v>0</v>
      </c>
      <c r="H562" s="45">
        <v>0</v>
      </c>
      <c r="I562" s="45">
        <v>0</v>
      </c>
      <c r="J562" s="45">
        <v>0</v>
      </c>
      <c r="K562" s="45"/>
      <c r="L562" s="45"/>
      <c r="M562" s="52">
        <v>0</v>
      </c>
      <c r="N562" s="52">
        <v>0</v>
      </c>
      <c r="O562" s="45">
        <v>0</v>
      </c>
      <c r="P562" s="45"/>
      <c r="Q562" s="52">
        <v>0</v>
      </c>
      <c r="R562" s="52">
        <v>0</v>
      </c>
    </row>
    <row r="563" spans="2:18" x14ac:dyDescent="0.2">
      <c r="B563" s="56" t="s">
        <v>64</v>
      </c>
      <c r="C563" s="45"/>
      <c r="D563" s="45">
        <v>0</v>
      </c>
      <c r="E563" s="52">
        <v>0</v>
      </c>
      <c r="F563" s="52">
        <v>0</v>
      </c>
      <c r="G563" s="48">
        <v>0</v>
      </c>
      <c r="H563" s="45">
        <v>0</v>
      </c>
      <c r="I563" s="45">
        <v>0</v>
      </c>
      <c r="J563" s="45">
        <v>0</v>
      </c>
      <c r="K563" s="45"/>
      <c r="L563" s="45"/>
      <c r="M563" s="52">
        <v>0</v>
      </c>
      <c r="N563" s="52">
        <v>0</v>
      </c>
      <c r="O563" s="45">
        <v>0</v>
      </c>
      <c r="P563" s="45"/>
      <c r="Q563" s="52">
        <v>0</v>
      </c>
      <c r="R563" s="52">
        <v>0</v>
      </c>
    </row>
    <row r="564" spans="2:18" x14ac:dyDescent="0.2">
      <c r="B564" s="56" t="s">
        <v>64</v>
      </c>
      <c r="C564" s="45"/>
      <c r="D564" s="45">
        <v>0</v>
      </c>
      <c r="E564" s="52">
        <v>0</v>
      </c>
      <c r="F564" s="52">
        <v>0</v>
      </c>
      <c r="G564" s="48">
        <v>0</v>
      </c>
      <c r="H564" s="45">
        <v>0</v>
      </c>
      <c r="I564" s="45">
        <v>0</v>
      </c>
      <c r="J564" s="45">
        <v>0</v>
      </c>
      <c r="K564" s="45"/>
      <c r="L564" s="45"/>
      <c r="M564" s="52">
        <v>0</v>
      </c>
      <c r="N564" s="52">
        <v>0</v>
      </c>
      <c r="O564" s="45">
        <v>0</v>
      </c>
      <c r="P564" s="45"/>
      <c r="Q564" s="52">
        <v>0</v>
      </c>
      <c r="R564" s="52">
        <v>0</v>
      </c>
    </row>
  </sheetData>
  <autoFilter ref="A6:B564" xr:uid="{00000000-0009-0000-0000-000001000000}"/>
  <sortState xmlns:xlrd2="http://schemas.microsoft.com/office/spreadsheetml/2017/richdata2" ref="D232:Q241">
    <sortCondition ref="D232:D241"/>
  </sortState>
  <mergeCells count="1">
    <mergeCell ref="C5:S5"/>
  </mergeCells>
  <phoneticPr fontId="36" type="noConversion"/>
  <conditionalFormatting sqref="A7:B1000">
    <cfRule type="expression" dxfId="77" priority="9">
      <formula>IF($B7="total",TRUE,FALSE)</formula>
    </cfRule>
    <cfRule type="expression" dxfId="76" priority="10">
      <formula>IF(AND($A7&gt;0,ISEVEN($A7)),TRUE,FALSE)</formula>
    </cfRule>
    <cfRule type="expression" dxfId="75" priority="11">
      <formula>IF(AND($A7&gt;0,ISODD($A7)),TRUE,FALSE)</formula>
    </cfRule>
  </conditionalFormatting>
  <conditionalFormatting sqref="A7:S1000">
    <cfRule type="cellIs" dxfId="74" priority="1" operator="equal">
      <formula>0</formula>
    </cfRule>
    <cfRule type="expression" dxfId="73" priority="2">
      <formula>IF($B7="total",TRUE,FALSE)</formula>
    </cfRule>
  </conditionalFormatting>
  <conditionalFormatting sqref="C7:S1000">
    <cfRule type="cellIs" dxfId="72" priority="5" operator="between">
      <formula>0.0000000000001</formula>
      <formula>0.499999999999</formula>
    </cfRule>
    <cfRule type="cellIs" dxfId="71" priority="6" operator="between">
      <formula>-0.0000000000000001</formula>
      <formula>-0.49999999999999</formula>
    </cfRule>
  </conditionalFormatting>
  <conditionalFormatting sqref="Q7:Q1000">
    <cfRule type="expression" dxfId="70" priority="14">
      <formula>IF(AND($A7&gt;0,ISEVEN($A7)),TRUE,FALSE)</formula>
    </cfRule>
    <cfRule type="expression" dxfId="69" priority="15">
      <formula>IF(AND($A7&gt;0,ISODD($A7)),TRUE,FALSE)</formula>
    </cfRule>
  </conditionalFormatting>
  <conditionalFormatting sqref="R6:S6">
    <cfRule type="expression" dxfId="68" priority="163">
      <formula>IF($B6="total",TRUE,FALSE)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theme="6"/>
  </sheetPr>
  <dimension ref="A2:BK533"/>
  <sheetViews>
    <sheetView zoomScaleNormal="100" workbookViewId="0">
      <pane xSplit="2" ySplit="6" topLeftCell="C270" activePane="bottomRight" state="frozen"/>
      <selection activeCell="A280" sqref="A280"/>
      <selection pane="topRight" activeCell="A280" sqref="A280"/>
      <selection pane="bottomLeft" activeCell="A280" sqref="A280"/>
      <selection pane="bottomRight" activeCell="A293" sqref="A293"/>
    </sheetView>
  </sheetViews>
  <sheetFormatPr baseColWidth="10" defaultRowHeight="15" x14ac:dyDescent="0.25"/>
  <cols>
    <col min="1" max="3" width="10.85546875" customWidth="1"/>
    <col min="4" max="6" width="9.42578125" customWidth="1"/>
    <col min="7" max="7" width="10.85546875" customWidth="1"/>
    <col min="8" max="13" width="9.42578125" customWidth="1"/>
    <col min="14" max="14" width="10.85546875" customWidth="1"/>
    <col min="15" max="15" width="1.85546875" customWidth="1"/>
    <col min="16" max="16" width="12.85546875" customWidth="1"/>
    <col min="17" max="17" width="12.42578125" bestFit="1" customWidth="1"/>
  </cols>
  <sheetData>
    <row r="2" spans="1:63" ht="22.5" customHeight="1" x14ac:dyDescent="0.25"/>
    <row r="3" spans="1:63" ht="24.6" customHeight="1" x14ac:dyDescent="0.25">
      <c r="B3" s="3"/>
      <c r="C3" s="3"/>
      <c r="D3" s="39" t="str">
        <f>Inicio!C4</f>
        <v>Importaciones de gas natural por áreas geográficas y países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5"/>
    </row>
    <row r="4" spans="1:63" ht="15" customHeight="1" x14ac:dyDescent="0.25">
      <c r="A4" s="23" t="str">
        <f>Inicio!$A$16</f>
        <v>Actualizado el 14-09-2026</v>
      </c>
      <c r="B4" s="5"/>
      <c r="C4" s="5"/>
      <c r="D4" s="5"/>
      <c r="E4" s="5"/>
      <c r="F4" s="5"/>
      <c r="G4" s="5"/>
      <c r="I4" s="14" t="s">
        <v>30</v>
      </c>
      <c r="J4" s="5"/>
      <c r="K4" s="5"/>
      <c r="L4" s="5"/>
      <c r="O4" s="5"/>
    </row>
    <row r="5" spans="1:63" ht="18.75" customHeight="1" thickBot="1" x14ac:dyDescent="0.3">
      <c r="A5" s="20"/>
      <c r="B5" s="19"/>
      <c r="C5" s="110" t="s">
        <v>19</v>
      </c>
      <c r="D5" s="110"/>
      <c r="E5" s="110"/>
      <c r="F5" s="110"/>
      <c r="G5" s="110"/>
      <c r="H5" s="110"/>
      <c r="I5" s="110"/>
      <c r="J5" s="40"/>
      <c r="K5" s="40"/>
      <c r="L5" s="40"/>
      <c r="M5" s="40"/>
      <c r="N5" s="40"/>
    </row>
    <row r="6" spans="1:63" ht="44.25" customHeight="1" thickTop="1" x14ac:dyDescent="0.25">
      <c r="A6" s="21" t="s">
        <v>1</v>
      </c>
      <c r="B6" s="22" t="s">
        <v>2</v>
      </c>
      <c r="C6" s="42" t="s">
        <v>83</v>
      </c>
      <c r="D6" s="42" t="s">
        <v>69</v>
      </c>
      <c r="E6" s="42" t="s">
        <v>95</v>
      </c>
      <c r="F6" s="42" t="s">
        <v>97</v>
      </c>
      <c r="G6" s="18" t="s">
        <v>37</v>
      </c>
      <c r="H6" s="42" t="s">
        <v>38</v>
      </c>
      <c r="I6" s="13" t="s">
        <v>57</v>
      </c>
      <c r="J6" s="41"/>
      <c r="K6" s="41"/>
      <c r="L6" s="41"/>
      <c r="M6" s="41"/>
      <c r="N6" s="41"/>
    </row>
    <row r="7" spans="1:63" ht="12" customHeight="1" x14ac:dyDescent="0.25">
      <c r="A7" s="55">
        <v>2004</v>
      </c>
      <c r="B7" s="55" t="s">
        <v>3</v>
      </c>
      <c r="C7" s="73"/>
      <c r="D7" s="73"/>
      <c r="E7" s="73"/>
      <c r="F7" s="73"/>
      <c r="G7" s="57"/>
      <c r="H7" s="57"/>
      <c r="I7" s="57"/>
      <c r="J7" s="57"/>
      <c r="K7" s="57"/>
      <c r="L7" s="57"/>
      <c r="M7" s="57"/>
      <c r="N7" s="57"/>
      <c r="O7" s="57"/>
      <c r="P7" s="57"/>
      <c r="Q7" s="73"/>
      <c r="R7" s="57"/>
      <c r="S7" s="57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</row>
    <row r="8" spans="1:63" ht="12" customHeight="1" x14ac:dyDescent="0.25">
      <c r="A8" s="55">
        <v>2004</v>
      </c>
      <c r="B8" s="55" t="s">
        <v>4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73"/>
      <c r="R8" s="57"/>
      <c r="S8" s="57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</row>
    <row r="9" spans="1:63" ht="12" customHeight="1" x14ac:dyDescent="0.25">
      <c r="A9" s="55">
        <v>2004</v>
      </c>
      <c r="B9" s="55" t="s">
        <v>5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73"/>
      <c r="R9" s="57"/>
      <c r="S9" s="57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</row>
    <row r="10" spans="1:63" ht="12" customHeight="1" x14ac:dyDescent="0.25">
      <c r="A10" s="55">
        <v>2004</v>
      </c>
      <c r="B10" s="55" t="s">
        <v>6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73"/>
      <c r="R10" s="57"/>
      <c r="S10" s="57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</row>
    <row r="11" spans="1:63" ht="12" customHeight="1" x14ac:dyDescent="0.25">
      <c r="A11" s="55">
        <v>2004</v>
      </c>
      <c r="B11" s="55" t="s">
        <v>7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73"/>
      <c r="R11" s="57"/>
      <c r="S11" s="57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</row>
    <row r="12" spans="1:63" ht="12" customHeight="1" x14ac:dyDescent="0.25">
      <c r="A12" s="55">
        <v>2004</v>
      </c>
      <c r="B12" s="55" t="s">
        <v>8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73"/>
      <c r="R12" s="57"/>
      <c r="S12" s="57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</row>
    <row r="13" spans="1:63" ht="12" customHeight="1" x14ac:dyDescent="0.25">
      <c r="A13" s="55">
        <v>2004</v>
      </c>
      <c r="B13" s="55" t="s">
        <v>9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73"/>
      <c r="R13" s="57"/>
      <c r="S13" s="57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</row>
    <row r="14" spans="1:63" ht="12" customHeight="1" x14ac:dyDescent="0.25">
      <c r="A14" s="55">
        <v>2004</v>
      </c>
      <c r="B14" s="55" t="s">
        <v>10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73"/>
      <c r="R14" s="57"/>
      <c r="S14" s="57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</row>
    <row r="15" spans="1:63" ht="12" customHeight="1" x14ac:dyDescent="0.25">
      <c r="A15" s="55">
        <v>2004</v>
      </c>
      <c r="B15" s="55" t="s">
        <v>11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73"/>
      <c r="R15" s="57"/>
      <c r="S15" s="57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</row>
    <row r="16" spans="1:63" ht="12" customHeight="1" x14ac:dyDescent="0.25">
      <c r="A16" s="55">
        <v>2004</v>
      </c>
      <c r="B16" s="55" t="s">
        <v>12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73"/>
      <c r="R16" s="57"/>
      <c r="S16" s="57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</row>
    <row r="17" spans="1:16" ht="12" customHeight="1" x14ac:dyDescent="0.25">
      <c r="A17" s="55">
        <v>2004</v>
      </c>
      <c r="B17" s="55" t="s">
        <v>13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</row>
    <row r="18" spans="1:16" ht="12" customHeight="1" x14ac:dyDescent="0.25">
      <c r="A18" s="55">
        <v>2004</v>
      </c>
      <c r="B18" s="55" t="s">
        <v>14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</row>
    <row r="19" spans="1:16" ht="12" customHeight="1" x14ac:dyDescent="0.25">
      <c r="A19" s="55">
        <v>2004</v>
      </c>
      <c r="B19" s="55" t="s">
        <v>15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</row>
    <row r="20" spans="1:16" ht="12" customHeight="1" x14ac:dyDescent="0.25">
      <c r="A20" s="55">
        <v>2005</v>
      </c>
      <c r="B20" s="55" t="s">
        <v>3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</row>
    <row r="21" spans="1:16" ht="12" customHeight="1" x14ac:dyDescent="0.25">
      <c r="A21" s="55">
        <v>2005</v>
      </c>
      <c r="B21" s="55" t="s">
        <v>4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</row>
    <row r="22" spans="1:16" ht="12" customHeight="1" x14ac:dyDescent="0.25">
      <c r="A22" s="55">
        <v>2005</v>
      </c>
      <c r="B22" s="55" t="s">
        <v>5</v>
      </c>
      <c r="C22" s="57"/>
      <c r="D22" s="57"/>
      <c r="E22" s="57"/>
      <c r="F22" s="57"/>
      <c r="G22" s="57"/>
      <c r="H22" s="57">
        <v>1499.849892</v>
      </c>
      <c r="I22" s="57">
        <v>1499.849892</v>
      </c>
      <c r="J22" s="57"/>
      <c r="K22" s="57"/>
      <c r="L22" s="57"/>
      <c r="M22" s="57"/>
      <c r="N22" s="57"/>
      <c r="O22" s="57"/>
      <c r="P22" s="57"/>
    </row>
    <row r="23" spans="1:16" ht="12" customHeight="1" x14ac:dyDescent="0.25">
      <c r="A23" s="55">
        <v>2005</v>
      </c>
      <c r="B23" s="55" t="s">
        <v>6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</row>
    <row r="24" spans="1:16" ht="12" customHeight="1" x14ac:dyDescent="0.25">
      <c r="A24" s="55">
        <v>2005</v>
      </c>
      <c r="B24" s="55" t="s">
        <v>7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</row>
    <row r="25" spans="1:16" ht="12" customHeight="1" x14ac:dyDescent="0.25">
      <c r="A25" s="55">
        <v>2005</v>
      </c>
      <c r="B25" s="55" t="s">
        <v>8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</row>
    <row r="26" spans="1:16" ht="12" customHeight="1" x14ac:dyDescent="0.25">
      <c r="A26" s="55">
        <v>2005</v>
      </c>
      <c r="B26" s="55" t="s">
        <v>9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</row>
    <row r="27" spans="1:16" ht="12" customHeight="1" x14ac:dyDescent="0.25">
      <c r="A27" s="55">
        <v>2005</v>
      </c>
      <c r="B27" s="55" t="s">
        <v>10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</row>
    <row r="28" spans="1:16" ht="12" customHeight="1" x14ac:dyDescent="0.25">
      <c r="A28" s="55">
        <v>2005</v>
      </c>
      <c r="B28" s="55" t="s">
        <v>11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</row>
    <row r="29" spans="1:16" ht="12" customHeight="1" x14ac:dyDescent="0.25">
      <c r="A29" s="55">
        <v>2005</v>
      </c>
      <c r="B29" s="55" t="s">
        <v>12</v>
      </c>
      <c r="C29" s="57"/>
      <c r="D29" s="57"/>
      <c r="E29" s="57"/>
      <c r="F29" s="57"/>
      <c r="G29" s="57"/>
      <c r="H29" s="57">
        <v>616.30448500000011</v>
      </c>
      <c r="I29" s="57">
        <v>616.30448500000011</v>
      </c>
      <c r="J29" s="57"/>
      <c r="K29" s="57"/>
      <c r="L29" s="57"/>
      <c r="M29" s="57"/>
      <c r="N29" s="57"/>
      <c r="O29" s="57"/>
      <c r="P29" s="57"/>
    </row>
    <row r="30" spans="1:16" ht="12" customHeight="1" x14ac:dyDescent="0.25">
      <c r="A30" s="55">
        <v>2005</v>
      </c>
      <c r="B30" s="55" t="s">
        <v>13</v>
      </c>
      <c r="C30" s="57"/>
      <c r="D30" s="57"/>
      <c r="E30" s="57"/>
      <c r="F30" s="57"/>
      <c r="G30" s="57"/>
      <c r="H30" s="57">
        <v>835.51527899999996</v>
      </c>
      <c r="I30" s="57">
        <v>835.51527899999996</v>
      </c>
      <c r="J30" s="57"/>
      <c r="K30" s="57"/>
      <c r="L30" s="57"/>
      <c r="M30" s="57"/>
      <c r="N30" s="57"/>
      <c r="O30" s="57"/>
      <c r="P30" s="57"/>
    </row>
    <row r="31" spans="1:16" ht="12" customHeight="1" x14ac:dyDescent="0.25">
      <c r="A31" s="55">
        <v>2005</v>
      </c>
      <c r="B31" s="55" t="s">
        <v>14</v>
      </c>
      <c r="C31" s="57"/>
      <c r="D31" s="57"/>
      <c r="E31" s="57"/>
      <c r="F31" s="57"/>
      <c r="G31" s="57"/>
      <c r="H31" s="57">
        <v>1580.335682854</v>
      </c>
      <c r="I31" s="57">
        <v>1580.335682854</v>
      </c>
      <c r="J31" s="57"/>
      <c r="K31" s="57"/>
      <c r="L31" s="57"/>
      <c r="M31" s="57"/>
      <c r="N31" s="57"/>
      <c r="O31" s="57"/>
      <c r="P31" s="57"/>
    </row>
    <row r="32" spans="1:16" ht="12" customHeight="1" x14ac:dyDescent="0.25">
      <c r="A32" s="55">
        <v>2005</v>
      </c>
      <c r="B32" s="55" t="s">
        <v>15</v>
      </c>
      <c r="C32" s="57"/>
      <c r="D32" s="57"/>
      <c r="E32" s="57"/>
      <c r="F32" s="57"/>
      <c r="G32" s="57"/>
      <c r="H32" s="57">
        <v>4532.005338854</v>
      </c>
      <c r="I32" s="57">
        <v>4532.005338854</v>
      </c>
      <c r="J32" s="57"/>
      <c r="K32" s="57"/>
      <c r="L32" s="57"/>
      <c r="M32" s="57"/>
      <c r="N32" s="57"/>
      <c r="O32" s="57"/>
      <c r="P32" s="57"/>
    </row>
    <row r="33" spans="1:16" ht="12" customHeight="1" x14ac:dyDescent="0.25">
      <c r="A33" s="55">
        <v>2006</v>
      </c>
      <c r="B33" s="55" t="s">
        <v>3</v>
      </c>
      <c r="C33" s="57"/>
      <c r="D33" s="57"/>
      <c r="E33" s="57"/>
      <c r="F33" s="57"/>
      <c r="G33" s="57"/>
      <c r="H33" s="57">
        <v>3423.396663</v>
      </c>
      <c r="I33" s="57">
        <v>3423.396663</v>
      </c>
      <c r="J33" s="57"/>
      <c r="K33" s="57"/>
      <c r="L33" s="57"/>
      <c r="M33" s="57"/>
      <c r="N33" s="57"/>
      <c r="O33" s="57"/>
      <c r="P33" s="57"/>
    </row>
    <row r="34" spans="1:16" ht="12" customHeight="1" x14ac:dyDescent="0.25">
      <c r="A34" s="55">
        <v>2006</v>
      </c>
      <c r="B34" s="55" t="s">
        <v>4</v>
      </c>
      <c r="C34" s="57"/>
      <c r="D34" s="57"/>
      <c r="E34" s="57"/>
      <c r="F34" s="57"/>
      <c r="G34" s="57"/>
      <c r="H34" s="57">
        <v>4738.7368963259996</v>
      </c>
      <c r="I34" s="57">
        <v>4738.7368963259996</v>
      </c>
      <c r="J34" s="57"/>
      <c r="K34" s="57"/>
      <c r="L34" s="57"/>
      <c r="M34" s="57"/>
      <c r="N34" s="57"/>
      <c r="O34" s="57"/>
      <c r="P34" s="57"/>
    </row>
    <row r="35" spans="1:16" ht="12" customHeight="1" x14ac:dyDescent="0.25">
      <c r="A35" s="55">
        <v>2006</v>
      </c>
      <c r="B35" s="55" t="s">
        <v>5</v>
      </c>
      <c r="C35" s="57"/>
      <c r="D35" s="57"/>
      <c r="E35" s="57"/>
      <c r="F35" s="57"/>
      <c r="G35" s="57"/>
      <c r="H35" s="57">
        <v>4324.7226283910004</v>
      </c>
      <c r="I35" s="57">
        <v>4324.7226283910004</v>
      </c>
      <c r="J35" s="57"/>
      <c r="K35" s="57"/>
      <c r="L35" s="57"/>
      <c r="M35" s="57"/>
      <c r="N35" s="57"/>
      <c r="O35" s="57"/>
      <c r="P35" s="57"/>
    </row>
    <row r="36" spans="1:16" ht="12" customHeight="1" x14ac:dyDescent="0.25">
      <c r="A36" s="55">
        <v>2006</v>
      </c>
      <c r="B36" s="55" t="s">
        <v>6</v>
      </c>
      <c r="C36" s="57"/>
      <c r="D36" s="57"/>
      <c r="E36" s="57"/>
      <c r="F36" s="57"/>
      <c r="G36" s="57"/>
      <c r="H36" s="57">
        <v>3050.8691990000002</v>
      </c>
      <c r="I36" s="57">
        <v>3050.8691990000002</v>
      </c>
      <c r="J36" s="57"/>
      <c r="K36" s="57"/>
      <c r="L36" s="57"/>
      <c r="M36" s="57"/>
      <c r="N36" s="57"/>
      <c r="O36" s="57"/>
      <c r="P36" s="57"/>
    </row>
    <row r="37" spans="1:16" ht="12" customHeight="1" x14ac:dyDescent="0.25">
      <c r="A37" s="55">
        <v>2006</v>
      </c>
      <c r="B37" s="55" t="s">
        <v>7</v>
      </c>
      <c r="C37" s="57"/>
      <c r="D37" s="57"/>
      <c r="E37" s="57"/>
      <c r="F37" s="57"/>
      <c r="G37" s="57"/>
      <c r="H37" s="57">
        <v>2204.3316949999999</v>
      </c>
      <c r="I37" s="57">
        <v>2204.3316949999999</v>
      </c>
      <c r="J37" s="57"/>
      <c r="K37" s="57"/>
      <c r="L37" s="57"/>
      <c r="M37" s="57"/>
      <c r="N37" s="57"/>
      <c r="O37" s="57"/>
      <c r="P37" s="57"/>
    </row>
    <row r="38" spans="1:16" ht="12" customHeight="1" x14ac:dyDescent="0.25">
      <c r="A38" s="55">
        <v>2006</v>
      </c>
      <c r="B38" s="55" t="s">
        <v>8</v>
      </c>
      <c r="C38" s="57"/>
      <c r="D38" s="57"/>
      <c r="E38" s="57"/>
      <c r="F38" s="57"/>
      <c r="G38" s="57"/>
      <c r="H38" s="57">
        <v>1907.193098</v>
      </c>
      <c r="I38" s="57">
        <v>1907.193098</v>
      </c>
      <c r="J38" s="57"/>
      <c r="K38" s="57"/>
      <c r="L38" s="57"/>
      <c r="M38" s="57"/>
      <c r="N38" s="57"/>
      <c r="O38" s="57"/>
      <c r="P38" s="57"/>
    </row>
    <row r="39" spans="1:16" ht="12" customHeight="1" x14ac:dyDescent="0.25">
      <c r="A39" s="55">
        <v>2006</v>
      </c>
      <c r="B39" s="55" t="s">
        <v>9</v>
      </c>
      <c r="C39" s="57"/>
      <c r="D39" s="57"/>
      <c r="E39" s="57"/>
      <c r="F39" s="57"/>
      <c r="G39" s="57"/>
      <c r="H39" s="57">
        <v>3885.9680686329993</v>
      </c>
      <c r="I39" s="57">
        <v>3885.9680686329993</v>
      </c>
      <c r="J39" s="57"/>
      <c r="K39" s="57"/>
      <c r="L39" s="57"/>
      <c r="M39" s="57"/>
      <c r="N39" s="57"/>
      <c r="O39" s="57"/>
      <c r="P39" s="57"/>
    </row>
    <row r="40" spans="1:16" ht="12" customHeight="1" x14ac:dyDescent="0.25">
      <c r="A40" s="55">
        <v>2006</v>
      </c>
      <c r="B40" s="55" t="s">
        <v>10</v>
      </c>
      <c r="C40" s="57"/>
      <c r="D40" s="57"/>
      <c r="E40" s="57"/>
      <c r="F40" s="57"/>
      <c r="G40" s="57"/>
      <c r="H40" s="57">
        <v>2228.125356</v>
      </c>
      <c r="I40" s="57">
        <v>2228.125356</v>
      </c>
      <c r="J40" s="57"/>
      <c r="K40" s="57"/>
      <c r="L40" s="57"/>
      <c r="M40" s="57"/>
      <c r="N40" s="57"/>
      <c r="O40" s="57"/>
      <c r="P40" s="57"/>
    </row>
    <row r="41" spans="1:16" ht="12" customHeight="1" x14ac:dyDescent="0.25">
      <c r="A41" s="55">
        <v>2006</v>
      </c>
      <c r="B41" s="55" t="s">
        <v>11</v>
      </c>
      <c r="C41" s="57"/>
      <c r="D41" s="57"/>
      <c r="E41" s="57"/>
      <c r="F41" s="57"/>
      <c r="G41" s="57"/>
      <c r="H41" s="57">
        <v>3483.2574770000001</v>
      </c>
      <c r="I41" s="57">
        <v>3483.2574770000001</v>
      </c>
      <c r="J41" s="57"/>
      <c r="K41" s="57"/>
      <c r="L41" s="57"/>
      <c r="M41" s="57"/>
      <c r="N41" s="57"/>
      <c r="O41" s="57"/>
      <c r="P41" s="57"/>
    </row>
    <row r="42" spans="1:16" ht="12" customHeight="1" x14ac:dyDescent="0.25">
      <c r="A42" s="55">
        <v>2006</v>
      </c>
      <c r="B42" s="55" t="s">
        <v>12</v>
      </c>
      <c r="C42" s="57"/>
      <c r="D42" s="57"/>
      <c r="E42" s="57"/>
      <c r="F42" s="57"/>
      <c r="G42" s="57"/>
      <c r="H42" s="57">
        <v>3067.7825619999999</v>
      </c>
      <c r="I42" s="57">
        <v>3067.7825619999999</v>
      </c>
      <c r="J42" s="57"/>
      <c r="K42" s="57"/>
      <c r="L42" s="57"/>
      <c r="M42" s="57"/>
      <c r="N42" s="57"/>
      <c r="O42" s="57"/>
      <c r="P42" s="57"/>
    </row>
    <row r="43" spans="1:16" ht="12" customHeight="1" x14ac:dyDescent="0.25">
      <c r="A43" s="55">
        <v>2006</v>
      </c>
      <c r="B43" s="55" t="s">
        <v>13</v>
      </c>
      <c r="C43" s="57"/>
      <c r="D43" s="57"/>
      <c r="E43" s="57"/>
      <c r="F43" s="57"/>
      <c r="G43" s="57"/>
      <c r="H43" s="57">
        <v>2597.697901</v>
      </c>
      <c r="I43" s="57">
        <v>2597.697901</v>
      </c>
      <c r="J43" s="57"/>
      <c r="K43" s="57"/>
      <c r="L43" s="57"/>
      <c r="M43" s="57"/>
      <c r="N43" s="57"/>
      <c r="O43" s="57"/>
      <c r="P43" s="57"/>
    </row>
    <row r="44" spans="1:16" ht="12" customHeight="1" x14ac:dyDescent="0.25">
      <c r="A44" s="55">
        <v>2006</v>
      </c>
      <c r="B44" s="55" t="s">
        <v>14</v>
      </c>
      <c r="C44" s="57"/>
      <c r="D44" s="57"/>
      <c r="E44" s="57"/>
      <c r="F44" s="57"/>
      <c r="G44" s="57"/>
      <c r="H44" s="57">
        <v>2343.0808487999998</v>
      </c>
      <c r="I44" s="57">
        <v>2343.0808487999998</v>
      </c>
      <c r="J44" s="57"/>
      <c r="K44" s="57"/>
      <c r="L44" s="57"/>
      <c r="M44" s="57"/>
      <c r="N44" s="57"/>
      <c r="O44" s="57"/>
      <c r="P44" s="57"/>
    </row>
    <row r="45" spans="1:16" ht="12" customHeight="1" x14ac:dyDescent="0.25">
      <c r="A45" s="55">
        <v>2006</v>
      </c>
      <c r="B45" s="55" t="s">
        <v>15</v>
      </c>
      <c r="C45" s="57"/>
      <c r="D45" s="57"/>
      <c r="E45" s="57"/>
      <c r="F45" s="57"/>
      <c r="G45" s="57"/>
      <c r="H45" s="57">
        <v>37255.16239315</v>
      </c>
      <c r="I45" s="57">
        <v>37255.16239315</v>
      </c>
      <c r="J45" s="57"/>
      <c r="K45" s="57"/>
      <c r="L45" s="57"/>
      <c r="M45" s="57"/>
      <c r="N45" s="57"/>
      <c r="O45" s="57"/>
      <c r="P45" s="57"/>
    </row>
    <row r="46" spans="1:16" ht="12" customHeight="1" x14ac:dyDescent="0.25">
      <c r="A46" s="55">
        <v>2007</v>
      </c>
      <c r="B46" s="55" t="s">
        <v>3</v>
      </c>
      <c r="C46" s="57"/>
      <c r="D46" s="57"/>
      <c r="E46" s="57"/>
      <c r="F46" s="57"/>
      <c r="G46" s="57"/>
      <c r="H46" s="57">
        <v>3839.8501894819992</v>
      </c>
      <c r="I46" s="57">
        <v>3839.8501894819992</v>
      </c>
      <c r="J46" s="57"/>
      <c r="K46" s="57"/>
      <c r="L46" s="57"/>
      <c r="M46" s="57"/>
      <c r="N46" s="57"/>
      <c r="O46" s="57"/>
      <c r="P46" s="57"/>
    </row>
    <row r="47" spans="1:16" ht="12" customHeight="1" x14ac:dyDescent="0.25">
      <c r="A47" s="55">
        <v>2007</v>
      </c>
      <c r="B47" s="55" t="s">
        <v>4</v>
      </c>
      <c r="C47" s="57"/>
      <c r="D47" s="57"/>
      <c r="E47" s="57"/>
      <c r="F47" s="57"/>
      <c r="G47" s="57"/>
      <c r="H47" s="57">
        <v>2620.5563676380002</v>
      </c>
      <c r="I47" s="57">
        <v>2620.5563676380002</v>
      </c>
      <c r="J47" s="57"/>
      <c r="K47" s="57"/>
      <c r="L47" s="57"/>
      <c r="M47" s="57"/>
      <c r="N47" s="57"/>
      <c r="O47" s="57"/>
      <c r="P47" s="57"/>
    </row>
    <row r="48" spans="1:16" ht="12" customHeight="1" x14ac:dyDescent="0.25">
      <c r="A48" s="55">
        <v>2007</v>
      </c>
      <c r="B48" s="55" t="s">
        <v>5</v>
      </c>
      <c r="C48" s="57"/>
      <c r="D48" s="57"/>
      <c r="E48" s="57"/>
      <c r="F48" s="57"/>
      <c r="G48" s="57"/>
      <c r="H48" s="57">
        <v>803.82157799999993</v>
      </c>
      <c r="I48" s="57">
        <v>803.82157799999993</v>
      </c>
      <c r="J48" s="57"/>
      <c r="K48" s="57"/>
      <c r="L48" s="57"/>
      <c r="M48" s="57"/>
      <c r="N48" s="57"/>
      <c r="O48" s="57"/>
      <c r="P48" s="57"/>
    </row>
    <row r="49" spans="1:16" ht="12" customHeight="1" x14ac:dyDescent="0.25">
      <c r="A49" s="55">
        <v>2007</v>
      </c>
      <c r="B49" s="55" t="s">
        <v>6</v>
      </c>
      <c r="C49" s="57"/>
      <c r="D49" s="57"/>
      <c r="E49" s="57"/>
      <c r="F49" s="57"/>
      <c r="G49" s="57"/>
      <c r="H49" s="57">
        <v>1422.7349333600002</v>
      </c>
      <c r="I49" s="57">
        <v>1422.7349333600002</v>
      </c>
      <c r="J49" s="57"/>
      <c r="K49" s="57"/>
      <c r="L49" s="57"/>
      <c r="M49" s="57"/>
      <c r="N49" s="57"/>
      <c r="O49" s="57"/>
      <c r="P49" s="57"/>
    </row>
    <row r="50" spans="1:16" ht="12" customHeight="1" x14ac:dyDescent="0.25">
      <c r="A50" s="55">
        <v>2007</v>
      </c>
      <c r="B50" s="55" t="s">
        <v>7</v>
      </c>
      <c r="C50" s="57"/>
      <c r="D50" s="57"/>
      <c r="E50" s="57"/>
      <c r="F50" s="57"/>
      <c r="G50" s="57"/>
      <c r="H50" s="57">
        <v>1414.8291069999998</v>
      </c>
      <c r="I50" s="57">
        <v>1414.8291069999998</v>
      </c>
      <c r="J50" s="57"/>
      <c r="K50" s="57"/>
      <c r="L50" s="57"/>
      <c r="M50" s="57"/>
      <c r="N50" s="57"/>
      <c r="O50" s="57"/>
      <c r="P50" s="57"/>
    </row>
    <row r="51" spans="1:16" ht="12" customHeight="1" x14ac:dyDescent="0.25">
      <c r="A51" s="55">
        <v>2007</v>
      </c>
      <c r="B51" s="55" t="s">
        <v>8</v>
      </c>
      <c r="C51" s="57"/>
      <c r="D51" s="57"/>
      <c r="E51" s="57"/>
      <c r="F51" s="57"/>
      <c r="G51" s="57"/>
      <c r="H51" s="57">
        <v>1403.301538036</v>
      </c>
      <c r="I51" s="57">
        <v>1403.301538036</v>
      </c>
      <c r="J51" s="57"/>
      <c r="K51" s="57"/>
      <c r="L51" s="57"/>
      <c r="M51" s="57"/>
      <c r="N51" s="57"/>
      <c r="O51" s="57"/>
      <c r="P51" s="57"/>
    </row>
    <row r="52" spans="1:16" ht="12" customHeight="1" x14ac:dyDescent="0.25">
      <c r="A52" s="55">
        <v>2007</v>
      </c>
      <c r="B52" s="55" t="s">
        <v>9</v>
      </c>
      <c r="C52" s="57"/>
      <c r="D52" s="57"/>
      <c r="E52" s="57"/>
      <c r="F52" s="57"/>
      <c r="G52" s="57"/>
      <c r="H52" s="57">
        <v>1981.3250970000001</v>
      </c>
      <c r="I52" s="57">
        <v>1981.3250970000001</v>
      </c>
      <c r="J52" s="57"/>
      <c r="K52" s="57"/>
      <c r="L52" s="57"/>
      <c r="M52" s="57"/>
      <c r="N52" s="57"/>
      <c r="O52" s="57"/>
      <c r="P52" s="57"/>
    </row>
    <row r="53" spans="1:16" ht="12" customHeight="1" x14ac:dyDescent="0.25">
      <c r="A53" s="55">
        <v>2007</v>
      </c>
      <c r="B53" s="55" t="s">
        <v>10</v>
      </c>
      <c r="C53" s="57"/>
      <c r="D53" s="57"/>
      <c r="E53" s="57"/>
      <c r="F53" s="57"/>
      <c r="G53" s="57"/>
      <c r="H53" s="57">
        <v>920.76579139599994</v>
      </c>
      <c r="I53" s="57">
        <v>920.76579139599994</v>
      </c>
      <c r="J53" s="57"/>
      <c r="K53" s="57"/>
      <c r="L53" s="57"/>
      <c r="M53" s="57"/>
      <c r="N53" s="57"/>
      <c r="O53" s="57"/>
      <c r="P53" s="57"/>
    </row>
    <row r="54" spans="1:16" ht="12" customHeight="1" x14ac:dyDescent="0.25">
      <c r="A54" s="55">
        <v>2007</v>
      </c>
      <c r="B54" s="55" t="s">
        <v>11</v>
      </c>
      <c r="C54" s="57"/>
      <c r="D54" s="57"/>
      <c r="E54" s="57"/>
      <c r="F54" s="57"/>
      <c r="G54" s="57"/>
      <c r="H54" s="57">
        <v>3170.6551530210004</v>
      </c>
      <c r="I54" s="57">
        <v>3170.6551530210004</v>
      </c>
      <c r="J54" s="57"/>
      <c r="K54" s="57"/>
      <c r="L54" s="57"/>
      <c r="M54" s="57"/>
      <c r="N54" s="57"/>
      <c r="O54" s="57"/>
      <c r="P54" s="57"/>
    </row>
    <row r="55" spans="1:16" ht="12" customHeight="1" x14ac:dyDescent="0.25">
      <c r="A55" s="55">
        <v>2007</v>
      </c>
      <c r="B55" s="55" t="s">
        <v>12</v>
      </c>
      <c r="C55" s="57"/>
      <c r="D55" s="57"/>
      <c r="E55" s="57"/>
      <c r="F55" s="57"/>
      <c r="G55" s="57"/>
      <c r="H55" s="57">
        <v>2512.625074</v>
      </c>
      <c r="I55" s="57">
        <v>2512.625074</v>
      </c>
      <c r="J55" s="57"/>
      <c r="K55" s="57"/>
      <c r="L55" s="57"/>
      <c r="M55" s="57"/>
      <c r="N55" s="57"/>
      <c r="O55" s="57"/>
      <c r="P55" s="57"/>
    </row>
    <row r="56" spans="1:16" ht="12" customHeight="1" x14ac:dyDescent="0.25">
      <c r="A56" s="55">
        <v>2007</v>
      </c>
      <c r="B56" s="55" t="s">
        <v>13</v>
      </c>
      <c r="C56" s="57"/>
      <c r="D56" s="57"/>
      <c r="E56" s="57"/>
      <c r="F56" s="57"/>
      <c r="G56" s="57"/>
      <c r="H56" s="57">
        <v>1606.7600523090002</v>
      </c>
      <c r="I56" s="57">
        <v>1606.7600523090002</v>
      </c>
      <c r="J56" s="57"/>
      <c r="K56" s="57"/>
      <c r="L56" s="57"/>
      <c r="M56" s="57"/>
      <c r="N56" s="57"/>
      <c r="O56" s="57"/>
      <c r="P56" s="57"/>
    </row>
    <row r="57" spans="1:16" ht="12" customHeight="1" x14ac:dyDescent="0.25">
      <c r="A57" s="55">
        <v>2007</v>
      </c>
      <c r="B57" s="55" t="s">
        <v>14</v>
      </c>
      <c r="C57" s="57"/>
      <c r="D57" s="57"/>
      <c r="E57" s="57"/>
      <c r="F57" s="57"/>
      <c r="G57" s="57"/>
      <c r="H57" s="57">
        <v>4156.1813670000001</v>
      </c>
      <c r="I57" s="57">
        <v>4156.1813670000001</v>
      </c>
      <c r="J57" s="57"/>
      <c r="K57" s="57"/>
      <c r="L57" s="57"/>
      <c r="M57" s="57"/>
      <c r="N57" s="57"/>
      <c r="O57" s="57"/>
      <c r="P57" s="57"/>
    </row>
    <row r="58" spans="1:16" ht="12" customHeight="1" x14ac:dyDescent="0.25">
      <c r="A58" s="55">
        <v>2007</v>
      </c>
      <c r="B58" s="55" t="s">
        <v>15</v>
      </c>
      <c r="C58" s="57"/>
      <c r="D58" s="57"/>
      <c r="E58" s="57"/>
      <c r="F58" s="57"/>
      <c r="G58" s="57"/>
      <c r="H58" s="57">
        <v>25853.406248242001</v>
      </c>
      <c r="I58" s="57">
        <v>25853.406248242001</v>
      </c>
      <c r="J58" s="57"/>
      <c r="K58" s="57"/>
      <c r="L58" s="57"/>
      <c r="M58" s="57"/>
      <c r="N58" s="57"/>
      <c r="O58" s="57"/>
      <c r="P58" s="57"/>
    </row>
    <row r="59" spans="1:16" ht="12" customHeight="1" x14ac:dyDescent="0.25">
      <c r="A59" s="55">
        <v>2008</v>
      </c>
      <c r="B59" s="55" t="s">
        <v>3</v>
      </c>
      <c r="C59" s="57"/>
      <c r="D59" s="57"/>
      <c r="E59" s="57"/>
      <c r="F59" s="57"/>
      <c r="G59" s="57"/>
      <c r="H59" s="57">
        <v>5393.9871199999998</v>
      </c>
      <c r="I59" s="57">
        <v>5393.9871199999998</v>
      </c>
      <c r="J59" s="57"/>
      <c r="K59" s="57"/>
      <c r="L59" s="57"/>
      <c r="M59" s="57"/>
      <c r="N59" s="57"/>
      <c r="O59" s="57"/>
      <c r="P59" s="57"/>
    </row>
    <row r="60" spans="1:16" ht="12" customHeight="1" x14ac:dyDescent="0.25">
      <c r="A60" s="55">
        <v>2008</v>
      </c>
      <c r="B60" s="55" t="s">
        <v>4</v>
      </c>
      <c r="C60" s="57"/>
      <c r="D60" s="57"/>
      <c r="E60" s="57"/>
      <c r="F60" s="57"/>
      <c r="G60" s="57"/>
      <c r="H60" s="57">
        <v>4358.2289619630001</v>
      </c>
      <c r="I60" s="57">
        <v>4358.2289619630001</v>
      </c>
      <c r="J60" s="57"/>
      <c r="K60" s="57"/>
      <c r="L60" s="57"/>
      <c r="M60" s="57"/>
      <c r="N60" s="57"/>
      <c r="O60" s="57"/>
      <c r="P60" s="57"/>
    </row>
    <row r="61" spans="1:16" ht="12" customHeight="1" x14ac:dyDescent="0.25">
      <c r="A61" s="55">
        <v>2008</v>
      </c>
      <c r="B61" s="55" t="s">
        <v>5</v>
      </c>
      <c r="C61" s="57"/>
      <c r="D61" s="57"/>
      <c r="E61" s="57"/>
      <c r="F61" s="57"/>
      <c r="G61" s="57"/>
      <c r="H61" s="57">
        <v>5687.9630187870007</v>
      </c>
      <c r="I61" s="57">
        <v>5687.9630187870007</v>
      </c>
      <c r="J61" s="57"/>
      <c r="K61" s="57"/>
      <c r="L61" s="57"/>
      <c r="M61" s="57"/>
      <c r="N61" s="57"/>
      <c r="O61" s="57"/>
      <c r="P61" s="57"/>
    </row>
    <row r="62" spans="1:16" ht="12" customHeight="1" x14ac:dyDescent="0.25">
      <c r="A62" s="55">
        <v>2008</v>
      </c>
      <c r="B62" s="55" t="s">
        <v>6</v>
      </c>
      <c r="C62" s="57"/>
      <c r="D62" s="57"/>
      <c r="E62" s="57"/>
      <c r="F62" s="57"/>
      <c r="G62" s="57"/>
      <c r="H62" s="57">
        <v>3511.5817999999999</v>
      </c>
      <c r="I62" s="57">
        <v>3511.5817999999999</v>
      </c>
      <c r="J62" s="57"/>
      <c r="K62" s="57"/>
      <c r="L62" s="57"/>
      <c r="M62" s="57"/>
      <c r="N62" s="57"/>
      <c r="O62" s="57"/>
      <c r="P62" s="57"/>
    </row>
    <row r="63" spans="1:16" ht="12" customHeight="1" x14ac:dyDescent="0.25">
      <c r="A63" s="55">
        <v>2008</v>
      </c>
      <c r="B63" s="55" t="s">
        <v>7</v>
      </c>
      <c r="C63" s="57"/>
      <c r="D63" s="57"/>
      <c r="E63" s="57"/>
      <c r="F63" s="57"/>
      <c r="G63" s="57"/>
      <c r="H63" s="57">
        <v>6396.3924304660004</v>
      </c>
      <c r="I63" s="57">
        <v>6396.3924304660004</v>
      </c>
      <c r="J63" s="57"/>
      <c r="K63" s="57"/>
      <c r="L63" s="57"/>
      <c r="M63" s="57"/>
      <c r="N63" s="57"/>
      <c r="O63" s="57"/>
      <c r="P63" s="57"/>
    </row>
    <row r="64" spans="1:16" ht="12" customHeight="1" x14ac:dyDescent="0.25">
      <c r="A64" s="55">
        <v>2008</v>
      </c>
      <c r="B64" s="55" t="s">
        <v>8</v>
      </c>
      <c r="C64" s="57"/>
      <c r="D64" s="57"/>
      <c r="E64" s="57"/>
      <c r="F64" s="57"/>
      <c r="G64" s="57"/>
      <c r="H64" s="57">
        <v>3915.0227818439998</v>
      </c>
      <c r="I64" s="57">
        <v>3915.0227818439998</v>
      </c>
      <c r="J64" s="57"/>
      <c r="K64" s="57"/>
      <c r="L64" s="57"/>
      <c r="M64" s="57"/>
      <c r="N64" s="57"/>
      <c r="O64" s="57"/>
      <c r="P64" s="57"/>
    </row>
    <row r="65" spans="1:16" ht="12" customHeight="1" x14ac:dyDescent="0.25">
      <c r="A65" s="55">
        <v>2008</v>
      </c>
      <c r="B65" s="55" t="s">
        <v>9</v>
      </c>
      <c r="C65" s="57"/>
      <c r="D65" s="57"/>
      <c r="E65" s="57"/>
      <c r="F65" s="57"/>
      <c r="G65" s="57"/>
      <c r="H65" s="57">
        <v>4392.2717000000002</v>
      </c>
      <c r="I65" s="57">
        <v>4392.2717000000002</v>
      </c>
      <c r="J65" s="57"/>
      <c r="K65" s="57"/>
      <c r="L65" s="57"/>
      <c r="M65" s="57"/>
      <c r="N65" s="57"/>
      <c r="O65" s="57"/>
      <c r="P65" s="57"/>
    </row>
    <row r="66" spans="1:16" ht="12" customHeight="1" x14ac:dyDescent="0.25">
      <c r="A66" s="55">
        <v>2008</v>
      </c>
      <c r="B66" s="55" t="s">
        <v>10</v>
      </c>
      <c r="C66" s="57"/>
      <c r="D66" s="57"/>
      <c r="E66" s="57"/>
      <c r="F66" s="57"/>
      <c r="G66" s="57"/>
      <c r="H66" s="57">
        <v>4008.7158830000003</v>
      </c>
      <c r="I66" s="57">
        <v>4008.7158830000003</v>
      </c>
      <c r="J66" s="57"/>
      <c r="K66" s="57"/>
      <c r="L66" s="57"/>
      <c r="M66" s="57"/>
      <c r="N66" s="57"/>
      <c r="O66" s="57"/>
      <c r="P66" s="57"/>
    </row>
    <row r="67" spans="1:16" ht="12" customHeight="1" x14ac:dyDescent="0.25">
      <c r="A67" s="55">
        <v>2008</v>
      </c>
      <c r="B67" s="55" t="s">
        <v>11</v>
      </c>
      <c r="C67" s="57"/>
      <c r="D67" s="57"/>
      <c r="E67" s="57"/>
      <c r="F67" s="57"/>
      <c r="G67" s="57"/>
      <c r="H67" s="57">
        <v>3398.9666656270001</v>
      </c>
      <c r="I67" s="57">
        <v>3398.9666656270001</v>
      </c>
      <c r="J67" s="57"/>
      <c r="K67" s="57"/>
      <c r="L67" s="57"/>
      <c r="M67" s="57"/>
      <c r="N67" s="57"/>
      <c r="O67" s="57"/>
      <c r="P67" s="57"/>
    </row>
    <row r="68" spans="1:16" ht="12" customHeight="1" x14ac:dyDescent="0.25">
      <c r="A68" s="55">
        <v>2008</v>
      </c>
      <c r="B68" s="55" t="s">
        <v>12</v>
      </c>
      <c r="C68" s="57"/>
      <c r="D68" s="57"/>
      <c r="E68" s="57"/>
      <c r="F68" s="57"/>
      <c r="G68" s="57"/>
      <c r="H68" s="57">
        <v>4339.9604140000001</v>
      </c>
      <c r="I68" s="57">
        <v>4339.9604140000001</v>
      </c>
      <c r="J68" s="57"/>
      <c r="K68" s="57"/>
      <c r="L68" s="57"/>
      <c r="M68" s="57"/>
      <c r="N68" s="57"/>
      <c r="O68" s="57"/>
      <c r="P68" s="57"/>
    </row>
    <row r="69" spans="1:16" ht="12" customHeight="1" x14ac:dyDescent="0.25">
      <c r="A69" s="55">
        <v>2008</v>
      </c>
      <c r="B69" s="55" t="s">
        <v>13</v>
      </c>
      <c r="C69" s="57"/>
      <c r="D69" s="57"/>
      <c r="E69" s="57"/>
      <c r="F69" s="57"/>
      <c r="G69" s="57"/>
      <c r="H69" s="57">
        <v>5218.5499858030016</v>
      </c>
      <c r="I69" s="57">
        <v>5218.5499858030016</v>
      </c>
      <c r="J69" s="57"/>
      <c r="K69" s="57"/>
      <c r="L69" s="57"/>
      <c r="M69" s="57"/>
      <c r="N69" s="57"/>
      <c r="O69" s="57"/>
      <c r="P69" s="57"/>
    </row>
    <row r="70" spans="1:16" ht="12" customHeight="1" x14ac:dyDescent="0.25">
      <c r="A70" s="55">
        <v>2008</v>
      </c>
      <c r="B70" s="55" t="s">
        <v>14</v>
      </c>
      <c r="C70" s="57"/>
      <c r="D70" s="57"/>
      <c r="E70" s="57"/>
      <c r="F70" s="57"/>
      <c r="G70" s="57"/>
      <c r="H70" s="57">
        <v>5187.2283035840001</v>
      </c>
      <c r="I70" s="57">
        <v>5187.2283035840001</v>
      </c>
      <c r="J70" s="57"/>
      <c r="K70" s="57"/>
      <c r="L70" s="57"/>
      <c r="M70" s="57"/>
      <c r="N70" s="57"/>
      <c r="O70" s="57"/>
      <c r="P70" s="57"/>
    </row>
    <row r="71" spans="1:16" ht="12" customHeight="1" x14ac:dyDescent="0.25">
      <c r="A71" s="55">
        <v>2008</v>
      </c>
      <c r="B71" s="55" t="s">
        <v>15</v>
      </c>
      <c r="C71" s="57"/>
      <c r="D71" s="57"/>
      <c r="E71" s="57"/>
      <c r="F71" s="57"/>
      <c r="G71" s="57"/>
      <c r="H71" s="57">
        <v>55808.869065073995</v>
      </c>
      <c r="I71" s="57">
        <v>55808.869065073995</v>
      </c>
      <c r="J71" s="57"/>
      <c r="K71" s="57"/>
      <c r="L71" s="57"/>
      <c r="M71" s="57"/>
      <c r="N71" s="57"/>
      <c r="O71" s="57"/>
      <c r="P71" s="57"/>
    </row>
    <row r="72" spans="1:16" ht="12" customHeight="1" x14ac:dyDescent="0.25">
      <c r="A72" s="55">
        <v>2009</v>
      </c>
      <c r="B72" s="55" t="s">
        <v>3</v>
      </c>
      <c r="C72" s="57"/>
      <c r="D72" s="57"/>
      <c r="E72" s="57"/>
      <c r="F72" s="57"/>
      <c r="G72" s="57"/>
      <c r="H72" s="57">
        <v>5985.2446099999997</v>
      </c>
      <c r="I72" s="57">
        <v>5985.2446099999997</v>
      </c>
      <c r="J72" s="57"/>
      <c r="K72" s="57"/>
      <c r="L72" s="57"/>
      <c r="M72" s="57"/>
      <c r="N72" s="57"/>
      <c r="O72" s="57"/>
      <c r="P72" s="57"/>
    </row>
    <row r="73" spans="1:16" ht="12" customHeight="1" x14ac:dyDescent="0.25">
      <c r="A73" s="55">
        <v>2009</v>
      </c>
      <c r="B73" s="55" t="s">
        <v>4</v>
      </c>
      <c r="C73" s="57"/>
      <c r="D73" s="57"/>
      <c r="E73" s="57"/>
      <c r="F73" s="57"/>
      <c r="G73" s="57"/>
      <c r="H73" s="57">
        <v>4315.9528</v>
      </c>
      <c r="I73" s="57">
        <v>4315.9528</v>
      </c>
      <c r="J73" s="57"/>
      <c r="K73" s="57"/>
      <c r="L73" s="57"/>
      <c r="M73" s="57"/>
      <c r="N73" s="57"/>
      <c r="O73" s="57"/>
      <c r="P73" s="57"/>
    </row>
    <row r="74" spans="1:16" ht="12" customHeight="1" x14ac:dyDescent="0.25">
      <c r="A74" s="55">
        <v>2009</v>
      </c>
      <c r="B74" s="55" t="s">
        <v>5</v>
      </c>
      <c r="C74" s="57"/>
      <c r="D74" s="57"/>
      <c r="E74" s="57"/>
      <c r="F74" s="57"/>
      <c r="G74" s="57"/>
      <c r="H74" s="57">
        <v>5260.8334399999994</v>
      </c>
      <c r="I74" s="57">
        <v>5260.8334399999994</v>
      </c>
      <c r="J74" s="57"/>
      <c r="K74" s="57"/>
      <c r="L74" s="57"/>
      <c r="M74" s="57"/>
      <c r="N74" s="57"/>
      <c r="O74" s="57"/>
      <c r="P74" s="57"/>
    </row>
    <row r="75" spans="1:16" ht="12" customHeight="1" x14ac:dyDescent="0.25">
      <c r="A75" s="55">
        <v>2009</v>
      </c>
      <c r="B75" s="55" t="s">
        <v>6</v>
      </c>
      <c r="C75" s="57"/>
      <c r="D75" s="57"/>
      <c r="E75" s="57"/>
      <c r="F75" s="57"/>
      <c r="G75" s="57"/>
      <c r="H75" s="57">
        <v>3470.03703</v>
      </c>
      <c r="I75" s="57">
        <v>3470.03703</v>
      </c>
      <c r="J75" s="57"/>
      <c r="K75" s="57"/>
      <c r="L75" s="57"/>
      <c r="M75" s="57"/>
      <c r="N75" s="57"/>
      <c r="O75" s="57"/>
      <c r="P75" s="57"/>
    </row>
    <row r="76" spans="1:16" ht="12" customHeight="1" x14ac:dyDescent="0.25">
      <c r="A76" s="55">
        <v>2009</v>
      </c>
      <c r="B76" s="55" t="s">
        <v>7</v>
      </c>
      <c r="C76" s="57"/>
      <c r="D76" s="57"/>
      <c r="E76" s="57"/>
      <c r="F76" s="57"/>
      <c r="G76" s="57"/>
      <c r="H76" s="57">
        <v>1732.16283</v>
      </c>
      <c r="I76" s="57">
        <v>1732.16283</v>
      </c>
      <c r="J76" s="57"/>
      <c r="K76" s="57"/>
      <c r="L76" s="57"/>
      <c r="M76" s="57"/>
      <c r="N76" s="57"/>
      <c r="O76" s="57"/>
      <c r="P76" s="57"/>
    </row>
    <row r="77" spans="1:16" ht="12" customHeight="1" x14ac:dyDescent="0.25">
      <c r="A77" s="55">
        <v>2009</v>
      </c>
      <c r="B77" s="55" t="s">
        <v>8</v>
      </c>
      <c r="C77" s="57"/>
      <c r="D77" s="57"/>
      <c r="E77" s="57"/>
      <c r="F77" s="57"/>
      <c r="G77" s="57"/>
      <c r="H77" s="57">
        <v>3445.9205099999999</v>
      </c>
      <c r="I77" s="57">
        <v>3445.9205099999999</v>
      </c>
      <c r="J77" s="57"/>
      <c r="K77" s="57"/>
      <c r="L77" s="57"/>
      <c r="M77" s="57"/>
      <c r="N77" s="57"/>
      <c r="O77" s="57"/>
      <c r="P77" s="57"/>
    </row>
    <row r="78" spans="1:16" ht="12" customHeight="1" x14ac:dyDescent="0.25">
      <c r="A78" s="55">
        <v>2009</v>
      </c>
      <c r="B78" s="55" t="s">
        <v>9</v>
      </c>
      <c r="C78" s="57"/>
      <c r="D78" s="57"/>
      <c r="E78" s="57"/>
      <c r="F78" s="57"/>
      <c r="G78" s="57"/>
      <c r="H78" s="57">
        <v>3946.9102200000007</v>
      </c>
      <c r="I78" s="57">
        <v>3946.9102200000007</v>
      </c>
      <c r="J78" s="57"/>
      <c r="K78" s="57"/>
      <c r="L78" s="57"/>
      <c r="M78" s="57"/>
      <c r="N78" s="57"/>
      <c r="O78" s="57"/>
      <c r="P78" s="57"/>
    </row>
    <row r="79" spans="1:16" ht="12" customHeight="1" x14ac:dyDescent="0.25">
      <c r="A79" s="55">
        <v>2009</v>
      </c>
      <c r="B79" s="55" t="s">
        <v>10</v>
      </c>
      <c r="C79" s="57"/>
      <c r="D79" s="57"/>
      <c r="E79" s="57"/>
      <c r="F79" s="57"/>
      <c r="G79" s="57"/>
      <c r="H79" s="57">
        <v>3914.7011999999995</v>
      </c>
      <c r="I79" s="57">
        <v>3914.7011999999995</v>
      </c>
      <c r="J79" s="57"/>
      <c r="K79" s="57"/>
      <c r="L79" s="57"/>
      <c r="M79" s="57"/>
      <c r="N79" s="57"/>
      <c r="O79" s="57"/>
      <c r="P79" s="57"/>
    </row>
    <row r="80" spans="1:16" ht="12" customHeight="1" x14ac:dyDescent="0.25">
      <c r="A80" s="55">
        <v>2009</v>
      </c>
      <c r="B80" s="55" t="s">
        <v>11</v>
      </c>
      <c r="C80" s="57"/>
      <c r="D80" s="57"/>
      <c r="E80" s="57"/>
      <c r="F80" s="57"/>
      <c r="G80" s="57"/>
      <c r="H80" s="57">
        <v>5249.29522</v>
      </c>
      <c r="I80" s="57">
        <v>5249.29522</v>
      </c>
      <c r="J80" s="57"/>
      <c r="K80" s="57"/>
      <c r="L80" s="57"/>
      <c r="M80" s="57"/>
      <c r="N80" s="57"/>
      <c r="O80" s="57"/>
      <c r="P80" s="57"/>
    </row>
    <row r="81" spans="1:16" ht="12" customHeight="1" x14ac:dyDescent="0.25">
      <c r="A81" s="55">
        <v>2009</v>
      </c>
      <c r="B81" s="55" t="s">
        <v>12</v>
      </c>
      <c r="C81" s="57"/>
      <c r="D81" s="57"/>
      <c r="E81" s="57"/>
      <c r="F81" s="57"/>
      <c r="G81" s="57"/>
      <c r="H81" s="57">
        <v>3449.74809</v>
      </c>
      <c r="I81" s="57">
        <v>3449.74809</v>
      </c>
      <c r="J81" s="57"/>
      <c r="K81" s="57"/>
      <c r="L81" s="57"/>
      <c r="M81" s="57"/>
      <c r="N81" s="57"/>
      <c r="O81" s="57"/>
      <c r="P81" s="57"/>
    </row>
    <row r="82" spans="1:16" ht="12" customHeight="1" x14ac:dyDescent="0.25">
      <c r="A82" s="55">
        <v>2009</v>
      </c>
      <c r="B82" s="55" t="s">
        <v>13</v>
      </c>
      <c r="C82" s="57"/>
      <c r="D82" s="57"/>
      <c r="E82" s="57"/>
      <c r="F82" s="57"/>
      <c r="G82" s="57"/>
      <c r="H82" s="57">
        <v>4830.4825199999996</v>
      </c>
      <c r="I82" s="57">
        <v>4830.4825199999996</v>
      </c>
      <c r="J82" s="57"/>
      <c r="K82" s="57"/>
      <c r="L82" s="57"/>
      <c r="M82" s="57"/>
      <c r="N82" s="57"/>
      <c r="O82" s="57"/>
      <c r="P82" s="57"/>
    </row>
    <row r="83" spans="1:16" ht="12" customHeight="1" x14ac:dyDescent="0.25">
      <c r="A83" s="55">
        <v>2009</v>
      </c>
      <c r="B83" s="55" t="s">
        <v>14</v>
      </c>
      <c r="C83" s="57"/>
      <c r="D83" s="57"/>
      <c r="E83" s="57"/>
      <c r="F83" s="57"/>
      <c r="G83" s="57"/>
      <c r="H83" s="57">
        <v>3464.3864899999999</v>
      </c>
      <c r="I83" s="57">
        <v>3464.3864899999999</v>
      </c>
      <c r="J83" s="57"/>
      <c r="K83" s="57"/>
      <c r="L83" s="57"/>
      <c r="M83" s="57"/>
      <c r="N83" s="57"/>
      <c r="O83" s="57"/>
      <c r="P83" s="57"/>
    </row>
    <row r="84" spans="1:16" ht="12" customHeight="1" x14ac:dyDescent="0.25">
      <c r="A84" s="55">
        <v>2009</v>
      </c>
      <c r="B84" s="55" t="s">
        <v>15</v>
      </c>
      <c r="C84" s="57"/>
      <c r="D84" s="57"/>
      <c r="E84" s="57"/>
      <c r="F84" s="57"/>
      <c r="G84" s="57"/>
      <c r="H84" s="57">
        <v>49065.674959999997</v>
      </c>
      <c r="I84" s="57">
        <v>49065.674959999997</v>
      </c>
      <c r="J84" s="57"/>
      <c r="K84" s="57"/>
      <c r="L84" s="57"/>
      <c r="M84" s="57"/>
      <c r="N84" s="57"/>
      <c r="O84" s="57"/>
      <c r="P84" s="57"/>
    </row>
    <row r="85" spans="1:16" ht="12" customHeight="1" x14ac:dyDescent="0.25">
      <c r="A85" s="55">
        <v>2010</v>
      </c>
      <c r="B85" s="55" t="s">
        <v>3</v>
      </c>
      <c r="C85" s="57"/>
      <c r="D85" s="57"/>
      <c r="E85" s="57"/>
      <c r="F85" s="57"/>
      <c r="G85" s="57"/>
      <c r="H85" s="57">
        <v>4308.5858799999996</v>
      </c>
      <c r="I85" s="57">
        <v>4308.5858799999996</v>
      </c>
      <c r="J85" s="57"/>
      <c r="K85" s="57"/>
      <c r="L85" s="57"/>
      <c r="M85" s="57"/>
      <c r="N85" s="57"/>
      <c r="O85" s="57"/>
      <c r="P85" s="57"/>
    </row>
    <row r="86" spans="1:16" ht="12" customHeight="1" x14ac:dyDescent="0.25">
      <c r="A86" s="55">
        <v>2010</v>
      </c>
      <c r="B86" s="55" t="s">
        <v>4</v>
      </c>
      <c r="C86" s="57"/>
      <c r="D86" s="57"/>
      <c r="E86" s="57"/>
      <c r="F86" s="57"/>
      <c r="G86" s="57"/>
      <c r="H86" s="57">
        <v>3460.2762699999998</v>
      </c>
      <c r="I86" s="57">
        <v>3460.2762699999998</v>
      </c>
      <c r="J86" s="57"/>
      <c r="K86" s="57"/>
      <c r="L86" s="57"/>
      <c r="M86" s="57"/>
      <c r="N86" s="57"/>
      <c r="O86" s="57"/>
      <c r="P86" s="57"/>
    </row>
    <row r="87" spans="1:16" ht="12" customHeight="1" x14ac:dyDescent="0.25">
      <c r="A87" s="55">
        <v>2010</v>
      </c>
      <c r="B87" s="55" t="s">
        <v>5</v>
      </c>
      <c r="C87" s="57"/>
      <c r="D87" s="57"/>
      <c r="E87" s="57"/>
      <c r="F87" s="57"/>
      <c r="G87" s="57"/>
      <c r="H87" s="57">
        <v>4475.4300400000002</v>
      </c>
      <c r="I87" s="57">
        <v>4475.4300400000002</v>
      </c>
      <c r="J87" s="57"/>
      <c r="K87" s="57"/>
      <c r="L87" s="57"/>
      <c r="M87" s="57"/>
      <c r="N87" s="57"/>
      <c r="O87" s="57"/>
      <c r="P87" s="57"/>
    </row>
    <row r="88" spans="1:16" ht="12" customHeight="1" x14ac:dyDescent="0.25">
      <c r="A88" s="55">
        <v>2010</v>
      </c>
      <c r="B88" s="55" t="s">
        <v>6</v>
      </c>
      <c r="C88" s="57"/>
      <c r="D88" s="57"/>
      <c r="E88" s="57"/>
      <c r="F88" s="57"/>
      <c r="G88" s="57"/>
      <c r="H88" s="57">
        <v>3466.3874599999999</v>
      </c>
      <c r="I88" s="57">
        <v>3466.3874599999999</v>
      </c>
      <c r="J88" s="57"/>
      <c r="K88" s="57"/>
      <c r="L88" s="57"/>
      <c r="M88" s="57"/>
      <c r="N88" s="57"/>
      <c r="O88" s="57"/>
      <c r="P88" s="57"/>
    </row>
    <row r="89" spans="1:16" ht="12" customHeight="1" x14ac:dyDescent="0.25">
      <c r="A89" s="55">
        <v>2010</v>
      </c>
      <c r="B89" s="55" t="s">
        <v>7</v>
      </c>
      <c r="C89" s="57"/>
      <c r="D89" s="57"/>
      <c r="E89" s="57"/>
      <c r="F89" s="57"/>
      <c r="G89" s="57"/>
      <c r="H89" s="57">
        <v>2597.8084399999998</v>
      </c>
      <c r="I89" s="57">
        <v>2597.8084399999998</v>
      </c>
      <c r="J89" s="57"/>
      <c r="K89" s="57"/>
      <c r="L89" s="57"/>
      <c r="M89" s="57"/>
      <c r="N89" s="57"/>
      <c r="O89" s="57"/>
      <c r="P89" s="57"/>
    </row>
    <row r="90" spans="1:16" ht="12" customHeight="1" x14ac:dyDescent="0.25">
      <c r="A90" s="55">
        <v>2010</v>
      </c>
      <c r="B90" s="55" t="s">
        <v>8</v>
      </c>
      <c r="C90" s="57"/>
      <c r="D90" s="57"/>
      <c r="E90" s="57"/>
      <c r="F90" s="57"/>
      <c r="G90" s="57"/>
      <c r="H90" s="57">
        <v>2551.9255499999999</v>
      </c>
      <c r="I90" s="57">
        <v>2551.9255499999999</v>
      </c>
      <c r="J90" s="57"/>
      <c r="K90" s="57"/>
      <c r="L90" s="57"/>
      <c r="M90" s="57"/>
      <c r="N90" s="57"/>
      <c r="O90" s="57"/>
      <c r="P90" s="57"/>
    </row>
    <row r="91" spans="1:16" ht="12" customHeight="1" x14ac:dyDescent="0.25">
      <c r="A91" s="55">
        <v>2010</v>
      </c>
      <c r="B91" s="55" t="s">
        <v>9</v>
      </c>
      <c r="C91" s="57"/>
      <c r="D91" s="57"/>
      <c r="E91" s="57"/>
      <c r="F91" s="57"/>
      <c r="G91" s="57"/>
      <c r="H91" s="57">
        <v>3006.5008100000005</v>
      </c>
      <c r="I91" s="57">
        <v>3006.5008100000005</v>
      </c>
      <c r="J91" s="57"/>
      <c r="K91" s="57"/>
      <c r="L91" s="57"/>
      <c r="M91" s="57"/>
      <c r="N91" s="57"/>
      <c r="O91" s="57"/>
      <c r="P91" s="57"/>
    </row>
    <row r="92" spans="1:16" ht="12" customHeight="1" x14ac:dyDescent="0.25">
      <c r="A92" s="55">
        <v>2010</v>
      </c>
      <c r="B92" s="55" t="s">
        <v>10</v>
      </c>
      <c r="C92" s="57"/>
      <c r="D92" s="57"/>
      <c r="E92" s="57"/>
      <c r="F92" s="57"/>
      <c r="G92" s="57">
        <v>3110.6807000000003</v>
      </c>
      <c r="H92" s="57">
        <v>854.33080000000007</v>
      </c>
      <c r="I92" s="57">
        <v>3965.0115000000005</v>
      </c>
      <c r="J92" s="57"/>
      <c r="K92" s="57"/>
      <c r="L92" s="57"/>
      <c r="M92" s="57"/>
      <c r="N92" s="57"/>
      <c r="O92" s="57"/>
      <c r="P92" s="57"/>
    </row>
    <row r="93" spans="1:16" ht="12" customHeight="1" x14ac:dyDescent="0.25">
      <c r="A93" s="55">
        <v>2010</v>
      </c>
      <c r="B93" s="55" t="s">
        <v>11</v>
      </c>
      <c r="C93" s="57"/>
      <c r="D93" s="57"/>
      <c r="E93" s="57"/>
      <c r="F93" s="57"/>
      <c r="G93" s="57"/>
      <c r="H93" s="57">
        <v>1550.6321400000002</v>
      </c>
      <c r="I93" s="57">
        <v>1550.6321400000002</v>
      </c>
      <c r="J93" s="57"/>
      <c r="K93" s="57"/>
      <c r="L93" s="57"/>
      <c r="M93" s="57"/>
      <c r="N93" s="57"/>
      <c r="O93" s="57"/>
      <c r="P93" s="57"/>
    </row>
    <row r="94" spans="1:16" ht="12" customHeight="1" x14ac:dyDescent="0.25">
      <c r="A94" s="55">
        <v>2010</v>
      </c>
      <c r="B94" s="55" t="s">
        <v>12</v>
      </c>
      <c r="C94" s="57"/>
      <c r="D94" s="57"/>
      <c r="E94" s="57"/>
      <c r="F94" s="57"/>
      <c r="G94" s="57">
        <v>2076.5309200000002</v>
      </c>
      <c r="H94" s="57">
        <v>5347.0928800000002</v>
      </c>
      <c r="I94" s="57">
        <v>7423.6238000000003</v>
      </c>
      <c r="J94" s="57"/>
      <c r="K94" s="57"/>
      <c r="L94" s="57"/>
      <c r="M94" s="57"/>
      <c r="N94" s="57"/>
      <c r="O94" s="57"/>
      <c r="P94" s="57"/>
    </row>
    <row r="95" spans="1:16" ht="12" customHeight="1" x14ac:dyDescent="0.25">
      <c r="A95" s="55">
        <v>2010</v>
      </c>
      <c r="B95" s="55" t="s">
        <v>13</v>
      </c>
      <c r="C95" s="57"/>
      <c r="D95" s="57"/>
      <c r="E95" s="57"/>
      <c r="F95" s="57"/>
      <c r="G95" s="57">
        <v>1976.3865899999998</v>
      </c>
      <c r="H95" s="57">
        <v>2777.1553699999999</v>
      </c>
      <c r="I95" s="57">
        <v>4753.5419599999996</v>
      </c>
      <c r="J95" s="57"/>
      <c r="K95" s="57"/>
      <c r="L95" s="57"/>
      <c r="M95" s="57"/>
      <c r="N95" s="57"/>
      <c r="O95" s="57"/>
      <c r="P95" s="57"/>
    </row>
    <row r="96" spans="1:16" ht="12" customHeight="1" x14ac:dyDescent="0.25">
      <c r="A96" s="55">
        <v>2010</v>
      </c>
      <c r="B96" s="55" t="s">
        <v>14</v>
      </c>
      <c r="C96" s="57"/>
      <c r="D96" s="57"/>
      <c r="E96" s="57"/>
      <c r="F96" s="57"/>
      <c r="G96" s="57"/>
      <c r="H96" s="57">
        <v>2576.2144700000003</v>
      </c>
      <c r="I96" s="57">
        <v>2576.2144700000003</v>
      </c>
      <c r="J96" s="57"/>
      <c r="K96" s="57"/>
      <c r="L96" s="57"/>
      <c r="M96" s="57"/>
      <c r="N96" s="57"/>
      <c r="O96" s="57"/>
      <c r="P96" s="57"/>
    </row>
    <row r="97" spans="1:16" ht="12" customHeight="1" x14ac:dyDescent="0.25">
      <c r="A97" s="55">
        <v>2010</v>
      </c>
      <c r="B97" s="55" t="s">
        <v>15</v>
      </c>
      <c r="C97" s="57"/>
      <c r="D97" s="57"/>
      <c r="E97" s="57"/>
      <c r="F97" s="57"/>
      <c r="G97" s="57">
        <v>7163.5982100000001</v>
      </c>
      <c r="H97" s="57">
        <v>36972.340109999997</v>
      </c>
      <c r="I97" s="57">
        <v>44135.938320000001</v>
      </c>
      <c r="J97" s="57"/>
      <c r="K97" s="57"/>
      <c r="L97" s="57"/>
      <c r="M97" s="57"/>
      <c r="N97" s="57"/>
      <c r="O97" s="57"/>
      <c r="P97" s="57"/>
    </row>
    <row r="98" spans="1:16" ht="12" customHeight="1" x14ac:dyDescent="0.25">
      <c r="A98" s="55">
        <v>2011</v>
      </c>
      <c r="B98" s="55" t="s">
        <v>3</v>
      </c>
      <c r="C98" s="57"/>
      <c r="D98" s="57"/>
      <c r="E98" s="57"/>
      <c r="F98" s="57"/>
      <c r="G98" s="57"/>
      <c r="H98" s="57">
        <v>3430.0053599999997</v>
      </c>
      <c r="I98" s="57">
        <v>3430.0053599999997</v>
      </c>
      <c r="J98" s="57"/>
      <c r="K98" s="57"/>
      <c r="L98" s="57"/>
      <c r="M98" s="57"/>
      <c r="N98" s="57"/>
      <c r="O98" s="57"/>
      <c r="P98" s="57"/>
    </row>
    <row r="99" spans="1:16" ht="12" customHeight="1" x14ac:dyDescent="0.25">
      <c r="A99" s="55">
        <v>2011</v>
      </c>
      <c r="B99" s="55" t="s">
        <v>4</v>
      </c>
      <c r="C99" s="57"/>
      <c r="D99" s="57"/>
      <c r="E99" s="57"/>
      <c r="F99" s="57"/>
      <c r="G99" s="57"/>
      <c r="H99" s="57">
        <v>3476.7449000000006</v>
      </c>
      <c r="I99" s="57">
        <v>3476.7449000000006</v>
      </c>
      <c r="J99" s="57"/>
      <c r="K99" s="57"/>
      <c r="L99" s="57"/>
      <c r="M99" s="57"/>
      <c r="N99" s="57"/>
      <c r="O99" s="57"/>
      <c r="P99" s="57"/>
    </row>
    <row r="100" spans="1:16" ht="12" customHeight="1" x14ac:dyDescent="0.25">
      <c r="A100" s="55">
        <v>2011</v>
      </c>
      <c r="B100" s="55" t="s">
        <v>5</v>
      </c>
      <c r="C100" s="57"/>
      <c r="D100" s="57"/>
      <c r="E100" s="57"/>
      <c r="F100" s="57"/>
      <c r="G100" s="57"/>
      <c r="H100" s="57">
        <v>4297.8579600000012</v>
      </c>
      <c r="I100" s="57">
        <v>4297.8579600000012</v>
      </c>
      <c r="J100" s="57"/>
      <c r="K100" s="57"/>
      <c r="L100" s="57"/>
      <c r="M100" s="57"/>
      <c r="N100" s="57"/>
      <c r="O100" s="57"/>
      <c r="P100" s="57"/>
    </row>
    <row r="101" spans="1:16" ht="12" customHeight="1" x14ac:dyDescent="0.25">
      <c r="A101" s="55">
        <v>2011</v>
      </c>
      <c r="B101" s="55" t="s">
        <v>6</v>
      </c>
      <c r="C101" s="57"/>
      <c r="D101" s="57"/>
      <c r="E101" s="57"/>
      <c r="F101" s="57"/>
      <c r="G101" s="57">
        <v>937.21809999999994</v>
      </c>
      <c r="H101" s="57">
        <v>2660.58637</v>
      </c>
      <c r="I101" s="57">
        <v>3597.80447</v>
      </c>
      <c r="J101" s="57"/>
      <c r="K101" s="57"/>
      <c r="L101" s="57"/>
      <c r="M101" s="57"/>
      <c r="N101" s="57"/>
      <c r="O101" s="57"/>
      <c r="P101" s="57"/>
    </row>
    <row r="102" spans="1:16" ht="12" customHeight="1" x14ac:dyDescent="0.25">
      <c r="A102" s="55">
        <v>2011</v>
      </c>
      <c r="B102" s="55" t="s">
        <v>7</v>
      </c>
      <c r="C102" s="57"/>
      <c r="D102" s="57"/>
      <c r="E102" s="57"/>
      <c r="F102" s="57"/>
      <c r="G102" s="57">
        <v>1071.29396</v>
      </c>
      <c r="H102" s="57">
        <v>3434.3439600000006</v>
      </c>
      <c r="I102" s="57">
        <v>4505.637920000001</v>
      </c>
      <c r="J102" s="57"/>
      <c r="K102" s="57"/>
      <c r="L102" s="57"/>
      <c r="M102" s="57"/>
      <c r="N102" s="57"/>
      <c r="O102" s="57"/>
      <c r="P102" s="57"/>
    </row>
    <row r="103" spans="1:16" ht="12" customHeight="1" x14ac:dyDescent="0.25">
      <c r="A103" s="55">
        <v>2011</v>
      </c>
      <c r="B103" s="55" t="s">
        <v>8</v>
      </c>
      <c r="C103" s="57"/>
      <c r="D103" s="57"/>
      <c r="E103" s="57"/>
      <c r="F103" s="57"/>
      <c r="G103" s="57">
        <v>2150.5083399999999</v>
      </c>
      <c r="H103" s="57">
        <v>1719.0654500000003</v>
      </c>
      <c r="I103" s="57">
        <v>3869.5737900000004</v>
      </c>
      <c r="J103" s="57"/>
      <c r="K103" s="57"/>
      <c r="L103" s="57"/>
      <c r="M103" s="57"/>
      <c r="N103" s="57"/>
      <c r="O103" s="57"/>
      <c r="P103" s="57"/>
    </row>
    <row r="104" spans="1:16" ht="12" customHeight="1" x14ac:dyDescent="0.25">
      <c r="A104" s="55">
        <v>2011</v>
      </c>
      <c r="B104" s="55" t="s">
        <v>9</v>
      </c>
      <c r="C104" s="57"/>
      <c r="D104" s="57"/>
      <c r="E104" s="57"/>
      <c r="F104" s="57"/>
      <c r="G104" s="57">
        <v>4150.4427299999998</v>
      </c>
      <c r="H104" s="57">
        <v>903.33256999999992</v>
      </c>
      <c r="I104" s="57">
        <v>5053.7752999999993</v>
      </c>
      <c r="J104" s="57"/>
      <c r="K104" s="57"/>
      <c r="L104" s="57"/>
      <c r="M104" s="57"/>
      <c r="N104" s="57"/>
      <c r="O104" s="57"/>
      <c r="P104" s="57"/>
    </row>
    <row r="105" spans="1:16" ht="12" customHeight="1" x14ac:dyDescent="0.25">
      <c r="A105" s="55">
        <v>2011</v>
      </c>
      <c r="B105" s="55" t="s">
        <v>10</v>
      </c>
      <c r="C105" s="57"/>
      <c r="D105" s="57"/>
      <c r="E105" s="57"/>
      <c r="F105" s="57"/>
      <c r="G105" s="57">
        <v>2144.1370900000002</v>
      </c>
      <c r="H105" s="57">
        <v>1764.96037</v>
      </c>
      <c r="I105" s="57">
        <v>3909.09746</v>
      </c>
      <c r="J105" s="57"/>
      <c r="K105" s="57"/>
      <c r="L105" s="57"/>
      <c r="M105" s="57"/>
      <c r="N105" s="57"/>
      <c r="O105" s="57"/>
      <c r="P105" s="57"/>
    </row>
    <row r="106" spans="1:16" ht="12" customHeight="1" x14ac:dyDescent="0.25">
      <c r="A106" s="55">
        <v>2011</v>
      </c>
      <c r="B106" s="55" t="s">
        <v>11</v>
      </c>
      <c r="C106" s="57"/>
      <c r="D106" s="57"/>
      <c r="E106" s="57"/>
      <c r="F106" s="57"/>
      <c r="G106" s="57">
        <v>2045.3145300000001</v>
      </c>
      <c r="H106" s="57">
        <v>883.41160000000002</v>
      </c>
      <c r="I106" s="57">
        <v>2928.72613</v>
      </c>
      <c r="J106" s="57"/>
      <c r="K106" s="57"/>
      <c r="L106" s="57"/>
      <c r="M106" s="57"/>
      <c r="N106" s="57"/>
      <c r="O106" s="57"/>
      <c r="P106" s="57"/>
    </row>
    <row r="107" spans="1:16" ht="12" customHeight="1" x14ac:dyDescent="0.25">
      <c r="A107" s="55">
        <v>2011</v>
      </c>
      <c r="B107" s="55" t="s">
        <v>12</v>
      </c>
      <c r="C107" s="57"/>
      <c r="D107" s="57"/>
      <c r="E107" s="57"/>
      <c r="F107" s="57"/>
      <c r="G107" s="57">
        <v>4334.128310000001</v>
      </c>
      <c r="H107" s="57">
        <v>1720.4533000000001</v>
      </c>
      <c r="I107" s="57">
        <v>6054.5816100000011</v>
      </c>
      <c r="J107" s="57"/>
      <c r="K107" s="57"/>
      <c r="L107" s="57"/>
      <c r="M107" s="57"/>
      <c r="N107" s="57"/>
      <c r="O107" s="57"/>
      <c r="P107" s="57"/>
    </row>
    <row r="108" spans="1:16" ht="12" customHeight="1" x14ac:dyDescent="0.25">
      <c r="A108" s="55">
        <v>2011</v>
      </c>
      <c r="B108" s="55" t="s">
        <v>13</v>
      </c>
      <c r="C108" s="57"/>
      <c r="D108" s="57"/>
      <c r="E108" s="57"/>
      <c r="F108" s="57"/>
      <c r="G108" s="57">
        <v>3030.2373700000003</v>
      </c>
      <c r="H108" s="57">
        <v>822.67941000000008</v>
      </c>
      <c r="I108" s="57">
        <v>3852.9167800000005</v>
      </c>
      <c r="J108" s="57"/>
      <c r="K108" s="57"/>
      <c r="L108" s="57"/>
      <c r="M108" s="57"/>
      <c r="N108" s="57"/>
      <c r="O108" s="57"/>
      <c r="P108" s="57"/>
    </row>
    <row r="109" spans="1:16" ht="12" customHeight="1" x14ac:dyDescent="0.25">
      <c r="A109" s="55">
        <v>2011</v>
      </c>
      <c r="B109" s="55" t="s">
        <v>14</v>
      </c>
      <c r="C109" s="57"/>
      <c r="D109" s="57"/>
      <c r="E109" s="57"/>
      <c r="F109" s="57"/>
      <c r="G109" s="57">
        <v>2159.7324900000003</v>
      </c>
      <c r="H109" s="57">
        <v>2572.2558300000001</v>
      </c>
      <c r="I109" s="57">
        <v>4731.9883200000004</v>
      </c>
      <c r="J109" s="57"/>
      <c r="K109" s="57"/>
      <c r="L109" s="57"/>
      <c r="M109" s="57"/>
      <c r="N109" s="57"/>
      <c r="O109" s="57"/>
      <c r="P109" s="57"/>
    </row>
    <row r="110" spans="1:16" ht="12" customHeight="1" x14ac:dyDescent="0.25">
      <c r="A110" s="55">
        <v>2011</v>
      </c>
      <c r="B110" s="55" t="s">
        <v>15</v>
      </c>
      <c r="C110" s="57"/>
      <c r="D110" s="57"/>
      <c r="E110" s="57"/>
      <c r="F110" s="57"/>
      <c r="G110" s="57">
        <v>22023.012920000001</v>
      </c>
      <c r="H110" s="57">
        <v>27685.697080000005</v>
      </c>
      <c r="I110" s="57">
        <v>49708.710000000006</v>
      </c>
      <c r="J110" s="57"/>
      <c r="K110" s="57"/>
      <c r="L110" s="57"/>
      <c r="M110" s="57"/>
      <c r="N110" s="57"/>
      <c r="O110" s="57"/>
      <c r="P110" s="57"/>
    </row>
    <row r="111" spans="1:16" ht="12" customHeight="1" x14ac:dyDescent="0.25">
      <c r="A111" s="55">
        <v>2012</v>
      </c>
      <c r="B111" s="55" t="s">
        <v>3</v>
      </c>
      <c r="C111" s="57"/>
      <c r="D111" s="57"/>
      <c r="E111" s="57"/>
      <c r="F111" s="57"/>
      <c r="G111" s="57">
        <v>2018.9458500000001</v>
      </c>
      <c r="H111" s="57">
        <v>1634.5611200000001</v>
      </c>
      <c r="I111" s="57">
        <v>3653.5069700000004</v>
      </c>
      <c r="J111" s="57"/>
      <c r="K111" s="57"/>
      <c r="L111" s="57"/>
      <c r="M111" s="57"/>
      <c r="N111" s="57"/>
      <c r="O111" s="57"/>
      <c r="P111" s="57"/>
    </row>
    <row r="112" spans="1:16" ht="12" customHeight="1" x14ac:dyDescent="0.25">
      <c r="A112" s="55">
        <v>2012</v>
      </c>
      <c r="B112" s="55" t="s">
        <v>4</v>
      </c>
      <c r="C112" s="57"/>
      <c r="D112" s="57"/>
      <c r="E112" s="57"/>
      <c r="F112" s="57"/>
      <c r="G112" s="57">
        <v>2003.2768700000001</v>
      </c>
      <c r="H112" s="57">
        <v>3318.38859</v>
      </c>
      <c r="I112" s="57">
        <v>5321.6654600000002</v>
      </c>
      <c r="J112" s="57"/>
      <c r="K112" s="57"/>
      <c r="L112" s="57"/>
      <c r="M112" s="57"/>
      <c r="N112" s="57"/>
      <c r="O112" s="57"/>
      <c r="P112" s="57"/>
    </row>
    <row r="113" spans="1:16" ht="12" customHeight="1" x14ac:dyDescent="0.25">
      <c r="A113" s="55">
        <v>2012</v>
      </c>
      <c r="B113" s="55" t="s">
        <v>5</v>
      </c>
      <c r="C113" s="57"/>
      <c r="D113" s="57"/>
      <c r="E113" s="57"/>
      <c r="F113" s="57"/>
      <c r="G113" s="57">
        <v>1071.28081</v>
      </c>
      <c r="H113" s="57">
        <v>1911.8174199999999</v>
      </c>
      <c r="I113" s="57">
        <v>2983.0982299999996</v>
      </c>
      <c r="J113" s="57"/>
      <c r="K113" s="57"/>
      <c r="L113" s="57"/>
      <c r="M113" s="57"/>
      <c r="N113" s="57"/>
      <c r="O113" s="57"/>
      <c r="P113" s="57"/>
    </row>
    <row r="114" spans="1:16" ht="12" customHeight="1" x14ac:dyDescent="0.25">
      <c r="A114" s="55">
        <v>2012</v>
      </c>
      <c r="B114" s="55" t="s">
        <v>6</v>
      </c>
      <c r="C114" s="57"/>
      <c r="D114" s="57"/>
      <c r="E114" s="57"/>
      <c r="F114" s="57"/>
      <c r="G114" s="57">
        <v>2020.8818799999999</v>
      </c>
      <c r="H114" s="57">
        <v>2960.0526400000003</v>
      </c>
      <c r="I114" s="57">
        <v>4980.9345200000007</v>
      </c>
      <c r="J114" s="57"/>
      <c r="K114" s="57"/>
      <c r="L114" s="57"/>
      <c r="M114" s="57"/>
      <c r="N114" s="57"/>
      <c r="O114" s="57"/>
      <c r="P114" s="57"/>
    </row>
    <row r="115" spans="1:16" ht="12" customHeight="1" x14ac:dyDescent="0.25">
      <c r="A115" s="55">
        <v>2012</v>
      </c>
      <c r="B115" s="55" t="s">
        <v>7</v>
      </c>
      <c r="C115" s="57"/>
      <c r="D115" s="57"/>
      <c r="E115" s="57"/>
      <c r="F115" s="57"/>
      <c r="G115" s="57">
        <v>1076.60662</v>
      </c>
      <c r="H115" s="57">
        <v>3817.3595599999994</v>
      </c>
      <c r="I115" s="57">
        <v>4893.9661799999994</v>
      </c>
      <c r="J115" s="57"/>
      <c r="K115" s="57"/>
      <c r="L115" s="57"/>
      <c r="M115" s="57"/>
      <c r="N115" s="57"/>
      <c r="O115" s="57"/>
      <c r="P115" s="57"/>
    </row>
    <row r="116" spans="1:16" ht="12" customHeight="1" x14ac:dyDescent="0.25">
      <c r="A116" s="55">
        <v>2012</v>
      </c>
      <c r="B116" s="55" t="s">
        <v>8</v>
      </c>
      <c r="C116" s="57"/>
      <c r="D116" s="57"/>
      <c r="E116" s="57"/>
      <c r="F116" s="57"/>
      <c r="G116" s="57">
        <v>2165.9771000000001</v>
      </c>
      <c r="H116" s="57">
        <v>1708.7812799999999</v>
      </c>
      <c r="I116" s="57">
        <v>3874.7583800000002</v>
      </c>
      <c r="J116" s="57"/>
      <c r="K116" s="57"/>
      <c r="L116" s="57"/>
      <c r="M116" s="57"/>
      <c r="N116" s="57"/>
      <c r="O116" s="57"/>
      <c r="P116" s="57"/>
    </row>
    <row r="117" spans="1:16" ht="12" customHeight="1" x14ac:dyDescent="0.25">
      <c r="A117" s="55">
        <v>2012</v>
      </c>
      <c r="B117" s="55" t="s">
        <v>9</v>
      </c>
      <c r="C117" s="57"/>
      <c r="D117" s="57"/>
      <c r="E117" s="57"/>
      <c r="F117" s="57"/>
      <c r="G117" s="57">
        <v>3234.9386799999997</v>
      </c>
      <c r="H117" s="57">
        <v>842.64260999999999</v>
      </c>
      <c r="I117" s="57">
        <v>4077.5812899999996</v>
      </c>
      <c r="J117" s="57"/>
      <c r="K117" s="57"/>
      <c r="L117" s="57"/>
      <c r="M117" s="57"/>
      <c r="N117" s="57"/>
      <c r="O117" s="57"/>
      <c r="P117" s="57"/>
    </row>
    <row r="118" spans="1:16" ht="12" customHeight="1" x14ac:dyDescent="0.25">
      <c r="A118" s="55">
        <v>2012</v>
      </c>
      <c r="B118" s="55" t="s">
        <v>10</v>
      </c>
      <c r="C118" s="57"/>
      <c r="D118" s="57"/>
      <c r="E118" s="57"/>
      <c r="F118" s="57"/>
      <c r="G118" s="57">
        <v>3664.2116000000001</v>
      </c>
      <c r="H118" s="57">
        <v>3487.3347800000001</v>
      </c>
      <c r="I118" s="57">
        <v>7151.5463799999998</v>
      </c>
      <c r="J118" s="57"/>
      <c r="K118" s="57"/>
      <c r="L118" s="57"/>
      <c r="M118" s="57"/>
      <c r="N118" s="57"/>
      <c r="O118" s="57"/>
      <c r="P118" s="57"/>
    </row>
    <row r="119" spans="1:16" ht="12" customHeight="1" x14ac:dyDescent="0.25">
      <c r="A119" s="55">
        <v>2012</v>
      </c>
      <c r="B119" s="55" t="s">
        <v>11</v>
      </c>
      <c r="C119" s="57"/>
      <c r="D119" s="57"/>
      <c r="E119" s="57"/>
      <c r="F119" s="57"/>
      <c r="G119" s="57">
        <v>1386.52358</v>
      </c>
      <c r="H119" s="57">
        <v>1717.0538900000001</v>
      </c>
      <c r="I119" s="57">
        <v>3103.5774700000002</v>
      </c>
      <c r="J119" s="57"/>
      <c r="K119" s="57"/>
      <c r="L119" s="57"/>
      <c r="M119" s="57"/>
      <c r="N119" s="57"/>
      <c r="O119" s="57"/>
      <c r="P119" s="57"/>
    </row>
    <row r="120" spans="1:16" ht="12" customHeight="1" x14ac:dyDescent="0.25">
      <c r="A120" s="55">
        <v>2012</v>
      </c>
      <c r="B120" s="55" t="s">
        <v>12</v>
      </c>
      <c r="C120" s="57"/>
      <c r="D120" s="57"/>
      <c r="E120" s="57"/>
      <c r="F120" s="57"/>
      <c r="G120" s="57">
        <v>3289.9919900000004</v>
      </c>
      <c r="H120" s="57">
        <v>1722.22927</v>
      </c>
      <c r="I120" s="57">
        <v>5012.2212600000003</v>
      </c>
      <c r="J120" s="57"/>
      <c r="K120" s="57"/>
      <c r="L120" s="57"/>
      <c r="M120" s="57"/>
      <c r="N120" s="57"/>
      <c r="O120" s="57"/>
      <c r="P120" s="57"/>
    </row>
    <row r="121" spans="1:16" ht="12" customHeight="1" x14ac:dyDescent="0.25">
      <c r="A121" s="55">
        <v>2012</v>
      </c>
      <c r="B121" s="55" t="s">
        <v>13</v>
      </c>
      <c r="C121" s="57"/>
      <c r="D121" s="57"/>
      <c r="E121" s="57"/>
      <c r="F121" s="57"/>
      <c r="G121" s="57">
        <v>4285.3325300000006</v>
      </c>
      <c r="H121" s="57">
        <v>888.36996999999997</v>
      </c>
      <c r="I121" s="57">
        <v>5173.7025000000003</v>
      </c>
      <c r="J121" s="57"/>
      <c r="K121" s="57"/>
      <c r="L121" s="57"/>
      <c r="M121" s="57"/>
      <c r="N121" s="57"/>
      <c r="O121" s="57"/>
      <c r="P121" s="57"/>
    </row>
    <row r="122" spans="1:16" ht="12" customHeight="1" x14ac:dyDescent="0.25">
      <c r="A122" s="55">
        <v>2012</v>
      </c>
      <c r="B122" s="55" t="s">
        <v>14</v>
      </c>
      <c r="C122" s="57"/>
      <c r="D122" s="57"/>
      <c r="E122" s="57"/>
      <c r="F122" s="57"/>
      <c r="G122" s="57">
        <v>1122.7421000000002</v>
      </c>
      <c r="H122" s="57">
        <v>2620.3726200000001</v>
      </c>
      <c r="I122" s="57">
        <v>3743.1147200000005</v>
      </c>
      <c r="J122" s="57"/>
      <c r="K122" s="57"/>
      <c r="L122" s="57"/>
      <c r="M122" s="57"/>
      <c r="N122" s="57"/>
      <c r="O122" s="57"/>
      <c r="P122" s="57"/>
    </row>
    <row r="123" spans="1:16" ht="12" customHeight="1" x14ac:dyDescent="0.25">
      <c r="A123" s="55">
        <v>2012</v>
      </c>
      <c r="B123" s="55" t="s">
        <v>15</v>
      </c>
      <c r="C123" s="57"/>
      <c r="D123" s="57"/>
      <c r="E123" s="57"/>
      <c r="F123" s="57"/>
      <c r="G123" s="57">
        <v>27340.709610000002</v>
      </c>
      <c r="H123" s="57">
        <v>26628.963749999995</v>
      </c>
      <c r="I123" s="57">
        <v>53969.673359999993</v>
      </c>
      <c r="J123" s="57"/>
      <c r="K123" s="57"/>
      <c r="L123" s="57"/>
      <c r="M123" s="57"/>
      <c r="N123" s="57"/>
      <c r="O123" s="57"/>
      <c r="P123" s="57"/>
    </row>
    <row r="124" spans="1:16" ht="12" customHeight="1" x14ac:dyDescent="0.25">
      <c r="A124" s="55">
        <v>2013</v>
      </c>
      <c r="B124" s="55" t="s">
        <v>3</v>
      </c>
      <c r="C124" s="57"/>
      <c r="D124" s="57"/>
      <c r="E124" s="57"/>
      <c r="F124" s="57"/>
      <c r="G124" s="57">
        <v>1126.93769</v>
      </c>
      <c r="H124" s="57">
        <v>2595.4223700000002</v>
      </c>
      <c r="I124" s="57">
        <v>3722.36006</v>
      </c>
      <c r="J124" s="57"/>
      <c r="K124" s="57"/>
      <c r="L124" s="57"/>
      <c r="M124" s="57"/>
      <c r="N124" s="57"/>
      <c r="O124" s="57"/>
      <c r="P124" s="57"/>
    </row>
    <row r="125" spans="1:16" ht="12" customHeight="1" x14ac:dyDescent="0.25">
      <c r="A125" s="55">
        <v>2013</v>
      </c>
      <c r="B125" s="55" t="s">
        <v>4</v>
      </c>
      <c r="C125" s="57"/>
      <c r="D125" s="57"/>
      <c r="E125" s="57"/>
      <c r="F125" s="57"/>
      <c r="G125" s="57"/>
      <c r="H125" s="57">
        <v>2619.4379899999999</v>
      </c>
      <c r="I125" s="57">
        <v>2619.4379899999999</v>
      </c>
      <c r="J125" s="57"/>
      <c r="K125" s="57"/>
      <c r="L125" s="57"/>
      <c r="M125" s="57"/>
      <c r="N125" s="57"/>
      <c r="O125" s="57"/>
      <c r="P125" s="57"/>
    </row>
    <row r="126" spans="1:16" ht="12" customHeight="1" x14ac:dyDescent="0.25">
      <c r="A126" s="55">
        <v>2013</v>
      </c>
      <c r="B126" s="55" t="s">
        <v>5</v>
      </c>
      <c r="C126" s="57"/>
      <c r="D126" s="57"/>
      <c r="E126" s="57"/>
      <c r="F126" s="57"/>
      <c r="G126" s="57"/>
      <c r="H126" s="57">
        <v>2626.14338</v>
      </c>
      <c r="I126" s="57">
        <v>2626.14338</v>
      </c>
      <c r="J126" s="57"/>
      <c r="K126" s="57"/>
      <c r="L126" s="57"/>
      <c r="M126" s="57"/>
      <c r="N126" s="57"/>
      <c r="O126" s="57"/>
      <c r="P126" s="57"/>
    </row>
    <row r="127" spans="1:16" ht="12" customHeight="1" x14ac:dyDescent="0.25">
      <c r="A127" s="55">
        <v>2013</v>
      </c>
      <c r="B127" s="55" t="s">
        <v>6</v>
      </c>
      <c r="C127" s="57"/>
      <c r="D127" s="57"/>
      <c r="E127" s="57"/>
      <c r="F127" s="57"/>
      <c r="G127" s="57">
        <v>1070.8094900000001</v>
      </c>
      <c r="H127" s="57">
        <v>3463.5109699999998</v>
      </c>
      <c r="I127" s="57">
        <v>4534.3204599999999</v>
      </c>
      <c r="J127" s="57"/>
      <c r="K127" s="57"/>
      <c r="L127" s="57"/>
      <c r="M127" s="57"/>
      <c r="N127" s="57"/>
      <c r="O127" s="57"/>
      <c r="P127" s="57"/>
    </row>
    <row r="128" spans="1:16" ht="12" customHeight="1" x14ac:dyDescent="0.25">
      <c r="A128" s="55">
        <v>2013</v>
      </c>
      <c r="B128" s="55" t="s">
        <v>7</v>
      </c>
      <c r="C128" s="57"/>
      <c r="D128" s="57"/>
      <c r="E128" s="57"/>
      <c r="F128" s="57"/>
      <c r="G128" s="57">
        <v>946.58501000000001</v>
      </c>
      <c r="H128" s="57">
        <v>1717.0211999999999</v>
      </c>
      <c r="I128" s="57">
        <v>2663.6062099999999</v>
      </c>
      <c r="J128" s="57"/>
      <c r="K128" s="57"/>
      <c r="L128" s="57"/>
      <c r="M128" s="57"/>
      <c r="N128" s="57"/>
      <c r="O128" s="57"/>
      <c r="P128" s="57"/>
    </row>
    <row r="129" spans="1:16" ht="12" customHeight="1" x14ac:dyDescent="0.25">
      <c r="A129" s="55">
        <v>2013</v>
      </c>
      <c r="B129" s="55" t="s">
        <v>8</v>
      </c>
      <c r="C129" s="57"/>
      <c r="D129" s="57"/>
      <c r="E129" s="57"/>
      <c r="F129" s="57"/>
      <c r="G129" s="57">
        <v>2162.1959400000001</v>
      </c>
      <c r="H129" s="57">
        <v>1688.4837400000001</v>
      </c>
      <c r="I129" s="57">
        <v>3850.6796800000002</v>
      </c>
      <c r="J129" s="57"/>
      <c r="K129" s="57"/>
      <c r="L129" s="57"/>
      <c r="M129" s="57"/>
      <c r="N129" s="57"/>
      <c r="O129" s="57"/>
      <c r="P129" s="57"/>
    </row>
    <row r="130" spans="1:16" ht="12" customHeight="1" x14ac:dyDescent="0.25">
      <c r="A130" s="55">
        <v>2013</v>
      </c>
      <c r="B130" s="55" t="s">
        <v>9</v>
      </c>
      <c r="C130" s="57"/>
      <c r="D130" s="57"/>
      <c r="E130" s="57"/>
      <c r="F130" s="57"/>
      <c r="G130" s="57">
        <v>3084.8556600000002</v>
      </c>
      <c r="H130" s="57">
        <v>826.84967000000006</v>
      </c>
      <c r="I130" s="57">
        <v>3911.7053300000002</v>
      </c>
      <c r="J130" s="57"/>
      <c r="K130" s="57"/>
      <c r="L130" s="57"/>
      <c r="M130" s="57"/>
      <c r="N130" s="57"/>
      <c r="O130" s="57"/>
      <c r="P130" s="57"/>
    </row>
    <row r="131" spans="1:16" ht="12" customHeight="1" x14ac:dyDescent="0.25">
      <c r="A131" s="55">
        <v>2013</v>
      </c>
      <c r="B131" s="55" t="s">
        <v>10</v>
      </c>
      <c r="C131" s="57"/>
      <c r="D131" s="57"/>
      <c r="E131" s="57"/>
      <c r="F131" s="57"/>
      <c r="G131" s="57">
        <v>1077.85428</v>
      </c>
      <c r="H131" s="57">
        <v>1730.8615899999998</v>
      </c>
      <c r="I131" s="57">
        <v>2808.71587</v>
      </c>
      <c r="J131" s="57"/>
      <c r="K131" s="57"/>
      <c r="L131" s="57"/>
      <c r="M131" s="57"/>
      <c r="N131" s="57"/>
      <c r="O131" s="57"/>
      <c r="P131" s="57"/>
    </row>
    <row r="132" spans="1:16" ht="12" customHeight="1" x14ac:dyDescent="0.25">
      <c r="A132" s="55">
        <v>2013</v>
      </c>
      <c r="B132" s="55" t="s">
        <v>11</v>
      </c>
      <c r="C132" s="57"/>
      <c r="D132" s="57"/>
      <c r="E132" s="57"/>
      <c r="F132" s="57"/>
      <c r="G132" s="57">
        <v>2148.3903700000001</v>
      </c>
      <c r="H132" s="57">
        <v>2610.3089500000001</v>
      </c>
      <c r="I132" s="57">
        <v>4758.6993199999997</v>
      </c>
      <c r="J132" s="57"/>
      <c r="K132" s="57"/>
      <c r="L132" s="57"/>
      <c r="M132" s="57"/>
      <c r="N132" s="57"/>
      <c r="O132" s="57"/>
      <c r="P132" s="57"/>
    </row>
    <row r="133" spans="1:16" ht="12" customHeight="1" x14ac:dyDescent="0.25">
      <c r="A133" s="55">
        <v>2013</v>
      </c>
      <c r="B133" s="55" t="s">
        <v>12</v>
      </c>
      <c r="C133" s="57"/>
      <c r="D133" s="57"/>
      <c r="E133" s="57"/>
      <c r="F133" s="57"/>
      <c r="G133" s="57">
        <v>2050.1580600000002</v>
      </c>
      <c r="H133" s="57"/>
      <c r="I133" s="57">
        <v>2050.1580600000002</v>
      </c>
      <c r="J133" s="57"/>
      <c r="K133" s="57"/>
      <c r="L133" s="57"/>
      <c r="M133" s="57"/>
      <c r="N133" s="57"/>
      <c r="O133" s="57"/>
      <c r="P133" s="57"/>
    </row>
    <row r="134" spans="1:16" ht="12" customHeight="1" x14ac:dyDescent="0.25">
      <c r="A134" s="55">
        <v>2013</v>
      </c>
      <c r="B134" s="55" t="s">
        <v>13</v>
      </c>
      <c r="C134" s="57"/>
      <c r="D134" s="57"/>
      <c r="E134" s="57"/>
      <c r="F134" s="57"/>
      <c r="G134" s="57">
        <v>1079.43019</v>
      </c>
      <c r="H134" s="57">
        <v>2577.71875</v>
      </c>
      <c r="I134" s="57">
        <v>3657.14894</v>
      </c>
      <c r="J134" s="57"/>
      <c r="K134" s="57"/>
      <c r="L134" s="57"/>
      <c r="M134" s="57"/>
      <c r="N134" s="57"/>
      <c r="O134" s="57"/>
      <c r="P134" s="57"/>
    </row>
    <row r="135" spans="1:16" ht="12" customHeight="1" x14ac:dyDescent="0.25">
      <c r="A135" s="55">
        <v>2013</v>
      </c>
      <c r="B135" s="55" t="s">
        <v>14</v>
      </c>
      <c r="C135" s="57"/>
      <c r="D135" s="57"/>
      <c r="E135" s="57"/>
      <c r="F135" s="57"/>
      <c r="G135" s="57">
        <v>2150.84692</v>
      </c>
      <c r="H135" s="57">
        <v>871.52357999999992</v>
      </c>
      <c r="I135" s="57">
        <v>3022.3705</v>
      </c>
      <c r="J135" s="57"/>
      <c r="K135" s="57"/>
      <c r="L135" s="57"/>
      <c r="M135" s="57"/>
      <c r="N135" s="57"/>
      <c r="O135" s="57"/>
      <c r="P135" s="57"/>
    </row>
    <row r="136" spans="1:16" ht="12" customHeight="1" x14ac:dyDescent="0.25">
      <c r="A136" s="55">
        <v>2013</v>
      </c>
      <c r="B136" s="55" t="s">
        <v>15</v>
      </c>
      <c r="C136" s="57"/>
      <c r="D136" s="57"/>
      <c r="E136" s="57"/>
      <c r="F136" s="57"/>
      <c r="G136" s="57">
        <v>16898.063549999999</v>
      </c>
      <c r="H136" s="57">
        <v>23327.282189999998</v>
      </c>
      <c r="I136" s="57">
        <v>40225.345739999997</v>
      </c>
      <c r="J136" s="57"/>
      <c r="K136" s="57"/>
      <c r="L136" s="57"/>
      <c r="M136" s="57"/>
      <c r="N136" s="57"/>
      <c r="O136" s="57"/>
      <c r="P136" s="57"/>
    </row>
    <row r="137" spans="1:16" ht="12" customHeight="1" x14ac:dyDescent="0.25">
      <c r="A137" s="55">
        <v>2014</v>
      </c>
      <c r="B137" s="55" t="s">
        <v>3</v>
      </c>
      <c r="C137" s="57">
        <v>0</v>
      </c>
      <c r="D137" s="57">
        <v>0</v>
      </c>
      <c r="E137" s="57"/>
      <c r="F137" s="57"/>
      <c r="G137" s="57">
        <v>2131.3669100000002</v>
      </c>
      <c r="H137" s="57">
        <v>2622.3264100000001</v>
      </c>
      <c r="I137" s="57">
        <v>4753.6933200000003</v>
      </c>
      <c r="J137" s="57"/>
      <c r="K137" s="57"/>
      <c r="L137" s="57"/>
      <c r="M137" s="57"/>
      <c r="N137" s="57"/>
      <c r="O137" s="57"/>
      <c r="P137" s="57"/>
    </row>
    <row r="138" spans="1:16" ht="12" customHeight="1" x14ac:dyDescent="0.25">
      <c r="A138" s="55">
        <v>2014</v>
      </c>
      <c r="B138" s="55" t="s">
        <v>4</v>
      </c>
      <c r="C138" s="57">
        <v>0</v>
      </c>
      <c r="D138" s="57">
        <v>0</v>
      </c>
      <c r="E138" s="57"/>
      <c r="F138" s="57"/>
      <c r="G138" s="57">
        <v>0</v>
      </c>
      <c r="H138" s="57">
        <v>2287.5915199999999</v>
      </c>
      <c r="I138" s="57">
        <v>2287.5915199999999</v>
      </c>
      <c r="J138" s="57"/>
      <c r="K138" s="57"/>
      <c r="L138" s="57"/>
      <c r="M138" s="57"/>
      <c r="N138" s="57"/>
      <c r="O138" s="57"/>
      <c r="P138" s="57"/>
    </row>
    <row r="139" spans="1:16" ht="12" customHeight="1" x14ac:dyDescent="0.25">
      <c r="A139" s="55">
        <v>2014</v>
      </c>
      <c r="B139" s="55" t="s">
        <v>5</v>
      </c>
      <c r="C139" s="57">
        <v>0</v>
      </c>
      <c r="D139" s="57">
        <v>0</v>
      </c>
      <c r="E139" s="57"/>
      <c r="F139" s="57"/>
      <c r="G139" s="57">
        <v>2874.6619900000001</v>
      </c>
      <c r="H139" s="57">
        <v>1272.1386399999999</v>
      </c>
      <c r="I139" s="57">
        <v>4146.8006299999997</v>
      </c>
      <c r="J139" s="57"/>
      <c r="K139" s="57"/>
      <c r="L139" s="57"/>
      <c r="M139" s="57"/>
      <c r="N139" s="57"/>
      <c r="O139" s="57"/>
      <c r="P139" s="57"/>
    </row>
    <row r="140" spans="1:16" ht="12" customHeight="1" x14ac:dyDescent="0.25">
      <c r="A140" s="55">
        <v>2014</v>
      </c>
      <c r="B140" s="55" t="s">
        <v>6</v>
      </c>
      <c r="C140" s="57">
        <v>0</v>
      </c>
      <c r="D140" s="57">
        <v>0</v>
      </c>
      <c r="E140" s="57"/>
      <c r="F140" s="57"/>
      <c r="G140" s="57">
        <v>837.32339999999999</v>
      </c>
      <c r="H140" s="57">
        <v>1717.3220700000002</v>
      </c>
      <c r="I140" s="57">
        <v>2554.6454700000004</v>
      </c>
      <c r="J140" s="57"/>
      <c r="K140" s="57"/>
      <c r="L140" s="57"/>
      <c r="M140" s="57"/>
      <c r="N140" s="57"/>
      <c r="O140" s="57"/>
      <c r="P140" s="57"/>
    </row>
    <row r="141" spans="1:16" ht="12" customHeight="1" x14ac:dyDescent="0.25">
      <c r="A141" s="55">
        <v>2014</v>
      </c>
      <c r="B141" s="55" t="s">
        <v>7</v>
      </c>
      <c r="C141" s="57">
        <v>0</v>
      </c>
      <c r="D141" s="57">
        <v>0</v>
      </c>
      <c r="E141" s="57"/>
      <c r="F141" s="57"/>
      <c r="G141" s="57">
        <v>1707.3331699999999</v>
      </c>
      <c r="H141" s="57">
        <v>859.60533999999996</v>
      </c>
      <c r="I141" s="57">
        <v>2566.93851</v>
      </c>
      <c r="J141" s="57"/>
      <c r="K141" s="57"/>
      <c r="L141" s="57"/>
      <c r="M141" s="57"/>
      <c r="N141" s="57"/>
      <c r="O141" s="57"/>
      <c r="P141" s="57"/>
    </row>
    <row r="142" spans="1:16" ht="12" customHeight="1" x14ac:dyDescent="0.25">
      <c r="A142" s="55">
        <v>2014</v>
      </c>
      <c r="B142" s="55" t="s">
        <v>8</v>
      </c>
      <c r="C142" s="57">
        <v>0</v>
      </c>
      <c r="D142" s="57">
        <v>0</v>
      </c>
      <c r="E142" s="57"/>
      <c r="F142" s="57"/>
      <c r="G142" s="57">
        <v>1062.83158</v>
      </c>
      <c r="H142" s="57">
        <v>849.07025999999996</v>
      </c>
      <c r="I142" s="57">
        <v>1911.90184</v>
      </c>
      <c r="J142" s="57"/>
      <c r="K142" s="57"/>
      <c r="L142" s="57"/>
      <c r="M142" s="57"/>
      <c r="N142" s="57"/>
      <c r="O142" s="57"/>
      <c r="P142" s="57"/>
    </row>
    <row r="143" spans="1:16" ht="12" customHeight="1" x14ac:dyDescent="0.25">
      <c r="A143" s="55">
        <v>2014</v>
      </c>
      <c r="B143" s="55" t="s">
        <v>9</v>
      </c>
      <c r="C143" s="57">
        <v>0</v>
      </c>
      <c r="D143" s="57">
        <v>0</v>
      </c>
      <c r="E143" s="57"/>
      <c r="F143" s="57"/>
      <c r="G143" s="57">
        <v>0</v>
      </c>
      <c r="H143" s="57">
        <v>2541.36375</v>
      </c>
      <c r="I143" s="57">
        <v>2541.36375</v>
      </c>
      <c r="J143" s="57"/>
      <c r="K143" s="57"/>
      <c r="L143" s="57"/>
      <c r="M143" s="57"/>
      <c r="N143" s="57"/>
      <c r="O143" s="57"/>
      <c r="P143" s="57"/>
    </row>
    <row r="144" spans="1:16" ht="12" customHeight="1" x14ac:dyDescent="0.25">
      <c r="A144" s="55">
        <v>2014</v>
      </c>
      <c r="B144" s="55" t="s">
        <v>10</v>
      </c>
      <c r="C144" s="57">
        <v>0</v>
      </c>
      <c r="D144" s="57">
        <v>0</v>
      </c>
      <c r="E144" s="57"/>
      <c r="F144" s="57"/>
      <c r="G144" s="57">
        <v>1063.0046599999998</v>
      </c>
      <c r="H144" s="57">
        <v>2513.93037</v>
      </c>
      <c r="I144" s="57">
        <v>3576.9350299999996</v>
      </c>
      <c r="J144" s="57"/>
      <c r="K144" s="57"/>
      <c r="L144" s="57"/>
      <c r="M144" s="57"/>
      <c r="N144" s="57"/>
      <c r="O144" s="57"/>
      <c r="P144" s="57"/>
    </row>
    <row r="145" spans="1:9" ht="12" customHeight="1" x14ac:dyDescent="0.25">
      <c r="A145" s="55">
        <v>2014</v>
      </c>
      <c r="B145" s="55" t="s">
        <v>11</v>
      </c>
      <c r="C145" s="57">
        <v>0</v>
      </c>
      <c r="D145" s="57">
        <v>0</v>
      </c>
      <c r="E145" s="57"/>
      <c r="F145" s="57"/>
      <c r="G145" s="57">
        <v>858.68250999999998</v>
      </c>
      <c r="H145" s="57">
        <v>2735.5212000000001</v>
      </c>
      <c r="I145" s="57">
        <v>3594.2037100000002</v>
      </c>
    </row>
    <row r="146" spans="1:9" ht="12" customHeight="1" x14ac:dyDescent="0.25">
      <c r="A146" s="55">
        <v>2014</v>
      </c>
      <c r="B146" s="55" t="s">
        <v>12</v>
      </c>
      <c r="C146" s="57">
        <v>0</v>
      </c>
      <c r="D146" s="57">
        <v>0</v>
      </c>
      <c r="E146" s="57"/>
      <c r="F146" s="57"/>
      <c r="G146" s="57">
        <v>0</v>
      </c>
      <c r="H146" s="57">
        <v>1752.8311999999999</v>
      </c>
      <c r="I146" s="57">
        <v>1752.8311999999999</v>
      </c>
    </row>
    <row r="147" spans="1:9" ht="12" customHeight="1" x14ac:dyDescent="0.25">
      <c r="A147" s="55">
        <v>2014</v>
      </c>
      <c r="B147" s="55" t="s">
        <v>13</v>
      </c>
      <c r="C147" s="57">
        <v>0</v>
      </c>
      <c r="D147" s="57">
        <v>0</v>
      </c>
      <c r="E147" s="57"/>
      <c r="F147" s="57"/>
      <c r="G147" s="57">
        <v>1702.1259</v>
      </c>
      <c r="H147" s="57">
        <v>1709.3315400000001</v>
      </c>
      <c r="I147" s="57">
        <v>3411.4574400000001</v>
      </c>
    </row>
    <row r="148" spans="1:9" ht="12" customHeight="1" x14ac:dyDescent="0.25">
      <c r="A148" s="55">
        <v>2014</v>
      </c>
      <c r="B148" s="55" t="s">
        <v>14</v>
      </c>
      <c r="C148" s="57">
        <v>0</v>
      </c>
      <c r="D148" s="57">
        <v>0</v>
      </c>
      <c r="E148" s="57"/>
      <c r="F148" s="57"/>
      <c r="G148" s="57">
        <v>1734.1521699999998</v>
      </c>
      <c r="H148" s="57">
        <v>1696.33053</v>
      </c>
      <c r="I148" s="57">
        <v>3430.4826999999996</v>
      </c>
    </row>
    <row r="149" spans="1:9" ht="12" customHeight="1" x14ac:dyDescent="0.25">
      <c r="A149" s="55">
        <v>2014</v>
      </c>
      <c r="B149" s="55" t="s">
        <v>15</v>
      </c>
      <c r="C149" s="57">
        <v>0</v>
      </c>
      <c r="D149" s="57">
        <v>0</v>
      </c>
      <c r="E149" s="57"/>
      <c r="F149" s="57"/>
      <c r="G149" s="57">
        <v>13971.482290000002</v>
      </c>
      <c r="H149" s="57">
        <v>22557.362829999998</v>
      </c>
      <c r="I149" s="57">
        <v>36528.845119999998</v>
      </c>
    </row>
    <row r="150" spans="1:9" ht="12" customHeight="1" x14ac:dyDescent="0.25">
      <c r="A150" s="55">
        <v>2015</v>
      </c>
      <c r="B150" s="55" t="s">
        <v>3</v>
      </c>
      <c r="C150" s="57">
        <v>0</v>
      </c>
      <c r="D150" s="57">
        <v>0</v>
      </c>
      <c r="E150" s="57"/>
      <c r="F150" s="57"/>
      <c r="G150" s="57">
        <v>1737.2751099999998</v>
      </c>
      <c r="H150" s="57">
        <v>846.17938000000004</v>
      </c>
      <c r="I150" s="57">
        <v>2583.4544900000001</v>
      </c>
    </row>
    <row r="151" spans="1:9" ht="12" customHeight="1" x14ac:dyDescent="0.25">
      <c r="A151" s="55">
        <v>2015</v>
      </c>
      <c r="B151" s="55" t="s">
        <v>4</v>
      </c>
      <c r="C151" s="57">
        <v>0</v>
      </c>
      <c r="D151" s="57">
        <v>0</v>
      </c>
      <c r="E151" s="57"/>
      <c r="F151" s="57"/>
      <c r="G151" s="57">
        <v>859.78410999999994</v>
      </c>
      <c r="H151" s="57">
        <v>1704.9504199999999</v>
      </c>
      <c r="I151" s="57">
        <v>2564.7345299999997</v>
      </c>
    </row>
    <row r="152" spans="1:9" ht="12" customHeight="1" x14ac:dyDescent="0.25">
      <c r="A152" s="55">
        <v>2015</v>
      </c>
      <c r="B152" s="55" t="s">
        <v>5</v>
      </c>
      <c r="C152" s="57">
        <v>0</v>
      </c>
      <c r="D152" s="57">
        <v>0</v>
      </c>
      <c r="E152" s="57"/>
      <c r="F152" s="57"/>
      <c r="G152" s="57">
        <v>1890.5569100000002</v>
      </c>
      <c r="H152" s="57">
        <v>835.2964300000001</v>
      </c>
      <c r="I152" s="57">
        <v>2725.8533400000006</v>
      </c>
    </row>
    <row r="153" spans="1:9" ht="12" customHeight="1" x14ac:dyDescent="0.25">
      <c r="A153" s="55">
        <v>2015</v>
      </c>
      <c r="B153" s="55" t="s">
        <v>6</v>
      </c>
      <c r="C153" s="57">
        <v>0</v>
      </c>
      <c r="D153" s="57">
        <v>0</v>
      </c>
      <c r="E153" s="57"/>
      <c r="F153" s="57"/>
      <c r="G153" s="57">
        <v>881.69655</v>
      </c>
      <c r="H153" s="57">
        <v>0</v>
      </c>
      <c r="I153" s="57">
        <v>881.69655</v>
      </c>
    </row>
    <row r="154" spans="1:9" ht="12" customHeight="1" x14ac:dyDescent="0.25">
      <c r="A154" s="55">
        <v>2015</v>
      </c>
      <c r="B154" s="55" t="s">
        <v>7</v>
      </c>
      <c r="C154" s="57">
        <v>0</v>
      </c>
      <c r="D154" s="57">
        <v>0</v>
      </c>
      <c r="E154" s="57"/>
      <c r="F154" s="57"/>
      <c r="G154" s="57">
        <v>1699.2728599999998</v>
      </c>
      <c r="H154" s="57">
        <v>850.69659000000001</v>
      </c>
      <c r="I154" s="57">
        <v>2549.9694499999996</v>
      </c>
    </row>
    <row r="155" spans="1:9" ht="12" customHeight="1" x14ac:dyDescent="0.25">
      <c r="A155" s="55">
        <v>2015</v>
      </c>
      <c r="B155" s="55" t="s">
        <v>8</v>
      </c>
      <c r="C155" s="57">
        <v>0</v>
      </c>
      <c r="D155" s="57">
        <v>0</v>
      </c>
      <c r="E155" s="57"/>
      <c r="F155" s="57"/>
      <c r="G155" s="57">
        <v>0</v>
      </c>
      <c r="H155" s="57">
        <v>2532.3712799999998</v>
      </c>
      <c r="I155" s="57">
        <v>2532.3712799999998</v>
      </c>
    </row>
    <row r="156" spans="1:9" ht="12" customHeight="1" x14ac:dyDescent="0.25">
      <c r="A156" s="55">
        <v>2015</v>
      </c>
      <c r="B156" s="55" t="s">
        <v>9</v>
      </c>
      <c r="C156" s="57">
        <v>0</v>
      </c>
      <c r="D156" s="57">
        <v>0</v>
      </c>
      <c r="E156" s="57"/>
      <c r="F156" s="57"/>
      <c r="G156" s="57">
        <v>1076.78972</v>
      </c>
      <c r="H156" s="57">
        <v>848.90979000000004</v>
      </c>
      <c r="I156" s="57">
        <v>1925.6995099999999</v>
      </c>
    </row>
    <row r="157" spans="1:9" ht="12" customHeight="1" x14ac:dyDescent="0.25">
      <c r="A157" s="55">
        <v>2015</v>
      </c>
      <c r="B157" s="55" t="s">
        <v>10</v>
      </c>
      <c r="C157" s="57">
        <v>0</v>
      </c>
      <c r="D157" s="57">
        <v>0</v>
      </c>
      <c r="E157" s="57"/>
      <c r="F157" s="57"/>
      <c r="G157" s="57">
        <v>874.25440000000003</v>
      </c>
      <c r="H157" s="57">
        <v>851.80455000000006</v>
      </c>
      <c r="I157" s="57">
        <v>1726.0589500000001</v>
      </c>
    </row>
    <row r="158" spans="1:9" ht="12" customHeight="1" x14ac:dyDescent="0.25">
      <c r="A158" s="55">
        <v>2015</v>
      </c>
      <c r="B158" s="55" t="s">
        <v>11</v>
      </c>
      <c r="C158" s="57">
        <v>0</v>
      </c>
      <c r="D158" s="57">
        <v>0</v>
      </c>
      <c r="E158" s="57"/>
      <c r="F158" s="57"/>
      <c r="G158" s="57">
        <v>0</v>
      </c>
      <c r="H158" s="57">
        <v>1713.0673400000001</v>
      </c>
      <c r="I158" s="57">
        <v>1713.0673400000001</v>
      </c>
    </row>
    <row r="159" spans="1:9" ht="12" customHeight="1" x14ac:dyDescent="0.25">
      <c r="A159" s="55">
        <v>2015</v>
      </c>
      <c r="B159" s="55" t="s">
        <v>12</v>
      </c>
      <c r="C159" s="57">
        <v>0</v>
      </c>
      <c r="D159" s="57">
        <v>0</v>
      </c>
      <c r="E159" s="57"/>
      <c r="F159" s="57"/>
      <c r="G159" s="57">
        <v>0</v>
      </c>
      <c r="H159" s="57">
        <v>848.39413999999999</v>
      </c>
      <c r="I159" s="57">
        <v>848.39413999999999</v>
      </c>
    </row>
    <row r="160" spans="1:9" ht="12" customHeight="1" x14ac:dyDescent="0.25">
      <c r="A160" s="55">
        <v>2015</v>
      </c>
      <c r="B160" s="55" t="s">
        <v>13</v>
      </c>
      <c r="C160" s="57">
        <v>0</v>
      </c>
      <c r="D160" s="57">
        <v>0</v>
      </c>
      <c r="E160" s="57"/>
      <c r="F160" s="57"/>
      <c r="G160" s="57">
        <v>1774.48181</v>
      </c>
      <c r="H160" s="57">
        <v>0</v>
      </c>
      <c r="I160" s="57">
        <v>1774.48181</v>
      </c>
    </row>
    <row r="161" spans="1:9" ht="12" customHeight="1" x14ac:dyDescent="0.25">
      <c r="A161" s="55">
        <v>2015</v>
      </c>
      <c r="B161" s="55" t="s">
        <v>14</v>
      </c>
      <c r="C161" s="57">
        <v>0</v>
      </c>
      <c r="D161" s="57">
        <v>0</v>
      </c>
      <c r="E161" s="57"/>
      <c r="F161" s="57"/>
      <c r="G161" s="57">
        <v>0</v>
      </c>
      <c r="H161" s="57">
        <v>1723.3222900000001</v>
      </c>
      <c r="I161" s="57">
        <v>1723.3222900000001</v>
      </c>
    </row>
    <row r="162" spans="1:9" ht="12" customHeight="1" x14ac:dyDescent="0.25">
      <c r="A162" s="55">
        <v>2015</v>
      </c>
      <c r="B162" s="55" t="s">
        <v>15</v>
      </c>
      <c r="C162" s="57">
        <v>0</v>
      </c>
      <c r="D162" s="57">
        <v>0</v>
      </c>
      <c r="E162" s="57"/>
      <c r="F162" s="57"/>
      <c r="G162" s="57">
        <v>10794.11147</v>
      </c>
      <c r="H162" s="57">
        <v>12754.99221</v>
      </c>
      <c r="I162" s="57">
        <v>23549.10368</v>
      </c>
    </row>
    <row r="163" spans="1:9" ht="12" customHeight="1" x14ac:dyDescent="0.25">
      <c r="A163" s="55">
        <v>2016</v>
      </c>
      <c r="B163" s="55" t="s">
        <v>3</v>
      </c>
      <c r="C163" s="57">
        <v>0</v>
      </c>
      <c r="D163" s="57">
        <v>0</v>
      </c>
      <c r="E163" s="57"/>
      <c r="F163" s="57"/>
      <c r="G163" s="57">
        <v>877.61541</v>
      </c>
      <c r="H163" s="57">
        <v>1277.9499699999999</v>
      </c>
      <c r="I163" s="57">
        <v>2155.56538</v>
      </c>
    </row>
    <row r="164" spans="1:9" ht="12" customHeight="1" x14ac:dyDescent="0.25">
      <c r="A164" s="55">
        <v>2016</v>
      </c>
      <c r="B164" s="55" t="s">
        <v>4</v>
      </c>
      <c r="C164" s="57">
        <v>0</v>
      </c>
      <c r="D164" s="57">
        <v>0</v>
      </c>
      <c r="E164" s="57"/>
      <c r="F164" s="57"/>
      <c r="G164" s="57">
        <v>857.19308999999998</v>
      </c>
      <c r="H164" s="57">
        <v>841.20303000000001</v>
      </c>
      <c r="I164" s="57">
        <v>1698.3961199999999</v>
      </c>
    </row>
    <row r="165" spans="1:9" ht="12" customHeight="1" x14ac:dyDescent="0.25">
      <c r="A165" s="55">
        <v>2016</v>
      </c>
      <c r="B165" s="55" t="s">
        <v>5</v>
      </c>
      <c r="C165" s="57">
        <v>0</v>
      </c>
      <c r="D165" s="57">
        <v>0</v>
      </c>
      <c r="E165" s="57"/>
      <c r="F165" s="57"/>
      <c r="G165" s="57">
        <v>932.87715000000003</v>
      </c>
      <c r="H165" s="57">
        <v>853.76778999999999</v>
      </c>
      <c r="I165" s="57">
        <v>1786.6449400000001</v>
      </c>
    </row>
    <row r="166" spans="1:9" ht="12" customHeight="1" x14ac:dyDescent="0.25">
      <c r="A166" s="55">
        <v>2016</v>
      </c>
      <c r="B166" s="55" t="s">
        <v>6</v>
      </c>
      <c r="C166" s="57">
        <v>0</v>
      </c>
      <c r="D166" s="57">
        <v>0</v>
      </c>
      <c r="E166" s="57"/>
      <c r="F166" s="57"/>
      <c r="G166" s="57">
        <v>1210.9934599999999</v>
      </c>
      <c r="H166" s="57">
        <v>1663.9216000000001</v>
      </c>
      <c r="I166" s="57">
        <v>2874.9150600000003</v>
      </c>
    </row>
    <row r="167" spans="1:9" ht="12" customHeight="1" x14ac:dyDescent="0.25">
      <c r="A167" s="55">
        <v>2016</v>
      </c>
      <c r="B167" s="55" t="s">
        <v>7</v>
      </c>
      <c r="C167" s="57">
        <v>0</v>
      </c>
      <c r="D167" s="57">
        <v>0</v>
      </c>
      <c r="E167" s="57"/>
      <c r="F167" s="57"/>
      <c r="G167" s="57">
        <v>908.01922999999999</v>
      </c>
      <c r="H167" s="57">
        <v>0</v>
      </c>
      <c r="I167" s="57">
        <v>908.01922999999999</v>
      </c>
    </row>
    <row r="168" spans="1:9" ht="12" customHeight="1" x14ac:dyDescent="0.25">
      <c r="A168" s="55">
        <v>2016</v>
      </c>
      <c r="B168" s="55" t="s">
        <v>8</v>
      </c>
      <c r="C168" s="57">
        <v>0</v>
      </c>
      <c r="D168" s="57">
        <v>0</v>
      </c>
      <c r="E168" s="57"/>
      <c r="F168" s="57"/>
      <c r="G168" s="57">
        <v>1723.57656</v>
      </c>
      <c r="H168" s="57">
        <v>0</v>
      </c>
      <c r="I168" s="57">
        <v>1723.57656</v>
      </c>
    </row>
    <row r="169" spans="1:9" ht="12" customHeight="1" x14ac:dyDescent="0.25">
      <c r="A169" s="55">
        <v>2016</v>
      </c>
      <c r="B169" s="55" t="s">
        <v>9</v>
      </c>
      <c r="C169" s="57">
        <v>0</v>
      </c>
      <c r="D169" s="57">
        <v>845.54129</v>
      </c>
      <c r="E169" s="57"/>
      <c r="F169" s="57"/>
      <c r="G169" s="57">
        <v>0</v>
      </c>
      <c r="H169" s="57">
        <v>1019.9600899999999</v>
      </c>
      <c r="I169" s="57">
        <v>1865.5013799999999</v>
      </c>
    </row>
    <row r="170" spans="1:9" ht="12" customHeight="1" x14ac:dyDescent="0.25">
      <c r="A170" s="55">
        <v>2016</v>
      </c>
      <c r="B170" s="55" t="s">
        <v>10</v>
      </c>
      <c r="C170" s="57">
        <v>0</v>
      </c>
      <c r="D170" s="57">
        <v>0</v>
      </c>
      <c r="E170" s="57"/>
      <c r="F170" s="57"/>
      <c r="G170" s="57">
        <v>0</v>
      </c>
      <c r="H170" s="57">
        <v>1037.09789</v>
      </c>
      <c r="I170" s="57">
        <v>1037.09789</v>
      </c>
    </row>
    <row r="171" spans="1:9" ht="12" customHeight="1" x14ac:dyDescent="0.25">
      <c r="A171" s="55">
        <v>2016</v>
      </c>
      <c r="B171" s="55" t="s">
        <v>11</v>
      </c>
      <c r="C171" s="57">
        <v>0</v>
      </c>
      <c r="D171" s="57">
        <v>0</v>
      </c>
      <c r="E171" s="57"/>
      <c r="F171" s="57"/>
      <c r="G171" s="57">
        <v>1756.6513599999998</v>
      </c>
      <c r="H171" s="57">
        <v>611.62189000000001</v>
      </c>
      <c r="I171" s="57">
        <v>2368.2732499999997</v>
      </c>
    </row>
    <row r="172" spans="1:9" ht="12" customHeight="1" x14ac:dyDescent="0.25">
      <c r="A172" s="55">
        <v>2016</v>
      </c>
      <c r="B172" s="55" t="s">
        <v>12</v>
      </c>
      <c r="C172" s="57">
        <v>0</v>
      </c>
      <c r="D172" s="57">
        <v>0</v>
      </c>
      <c r="E172" s="57"/>
      <c r="F172" s="57"/>
      <c r="G172" s="57">
        <v>2904.7563700000001</v>
      </c>
      <c r="H172" s="57">
        <v>0</v>
      </c>
      <c r="I172" s="57">
        <v>2904.7563700000001</v>
      </c>
    </row>
    <row r="173" spans="1:9" ht="12" customHeight="1" x14ac:dyDescent="0.25">
      <c r="A173" s="55">
        <v>2016</v>
      </c>
      <c r="B173" s="55" t="s">
        <v>13</v>
      </c>
      <c r="C173" s="57">
        <v>0</v>
      </c>
      <c r="D173" s="57">
        <v>0</v>
      </c>
      <c r="E173" s="57"/>
      <c r="F173" s="57"/>
      <c r="G173" s="57">
        <v>3800.7530499999998</v>
      </c>
      <c r="H173" s="57">
        <v>0</v>
      </c>
      <c r="I173" s="57">
        <v>3800.7530499999998</v>
      </c>
    </row>
    <row r="174" spans="1:9" ht="12" customHeight="1" x14ac:dyDescent="0.25">
      <c r="A174" s="55">
        <v>2016</v>
      </c>
      <c r="B174" s="55" t="s">
        <v>14</v>
      </c>
      <c r="C174" s="57">
        <v>0</v>
      </c>
      <c r="D174" s="57">
        <v>0</v>
      </c>
      <c r="E174" s="57"/>
      <c r="F174" s="57"/>
      <c r="G174" s="57">
        <v>5178.6427200000007</v>
      </c>
      <c r="H174" s="57">
        <v>0</v>
      </c>
      <c r="I174" s="57">
        <v>5178.6427200000007</v>
      </c>
    </row>
    <row r="175" spans="1:9" ht="12" customHeight="1" x14ac:dyDescent="0.25">
      <c r="A175" s="55">
        <v>2016</v>
      </c>
      <c r="B175" s="55" t="s">
        <v>15</v>
      </c>
      <c r="C175" s="57">
        <v>0</v>
      </c>
      <c r="D175" s="57">
        <v>845.54129</v>
      </c>
      <c r="E175" s="57"/>
      <c r="F175" s="57"/>
      <c r="G175" s="57">
        <v>20151.078399999999</v>
      </c>
      <c r="H175" s="57">
        <v>7305.5222599999997</v>
      </c>
      <c r="I175" s="57">
        <v>28302.141949999997</v>
      </c>
    </row>
    <row r="176" spans="1:9" ht="12" customHeight="1" x14ac:dyDescent="0.25">
      <c r="A176" s="55">
        <v>2017</v>
      </c>
      <c r="B176" s="55" t="s">
        <v>3</v>
      </c>
      <c r="C176" s="57">
        <v>0</v>
      </c>
      <c r="D176" s="57">
        <v>1933.16308</v>
      </c>
      <c r="E176" s="57"/>
      <c r="F176" s="57"/>
      <c r="G176" s="57">
        <v>3746.8747899999998</v>
      </c>
      <c r="H176" s="57">
        <v>844.17743000000007</v>
      </c>
      <c r="I176" s="57">
        <v>6524.2152999999998</v>
      </c>
    </row>
    <row r="177" spans="1:9" ht="12" customHeight="1" x14ac:dyDescent="0.25">
      <c r="A177" s="55">
        <v>2017</v>
      </c>
      <c r="B177" s="55" t="s">
        <v>4</v>
      </c>
      <c r="C177" s="57">
        <v>0</v>
      </c>
      <c r="D177" s="57">
        <v>1365.87796</v>
      </c>
      <c r="E177" s="57"/>
      <c r="F177" s="57"/>
      <c r="G177" s="57">
        <v>3827.8853300000001</v>
      </c>
      <c r="H177" s="57">
        <v>909.88274000000001</v>
      </c>
      <c r="I177" s="57">
        <v>6103.6460299999999</v>
      </c>
    </row>
    <row r="178" spans="1:9" ht="12" customHeight="1" x14ac:dyDescent="0.25">
      <c r="A178" s="55">
        <v>2017</v>
      </c>
      <c r="B178" s="55" t="s">
        <v>5</v>
      </c>
      <c r="C178" s="57">
        <v>0</v>
      </c>
      <c r="D178" s="57">
        <v>0</v>
      </c>
      <c r="E178" s="57"/>
      <c r="F178" s="57"/>
      <c r="G178" s="57">
        <v>2019.6090800000002</v>
      </c>
      <c r="H178" s="57">
        <v>0</v>
      </c>
      <c r="I178" s="57">
        <v>2019.6090800000002</v>
      </c>
    </row>
    <row r="179" spans="1:9" ht="12" customHeight="1" x14ac:dyDescent="0.25">
      <c r="A179" s="55">
        <v>2017</v>
      </c>
      <c r="B179" s="55" t="s">
        <v>6</v>
      </c>
      <c r="C179" s="57">
        <v>0</v>
      </c>
      <c r="D179" s="57">
        <v>0</v>
      </c>
      <c r="E179" s="57"/>
      <c r="F179" s="57"/>
      <c r="G179" s="57">
        <v>1767.70119</v>
      </c>
      <c r="H179" s="57">
        <v>0</v>
      </c>
      <c r="I179" s="57">
        <v>1767.70119</v>
      </c>
    </row>
    <row r="180" spans="1:9" ht="12" customHeight="1" x14ac:dyDescent="0.25">
      <c r="A180" s="55">
        <v>2017</v>
      </c>
      <c r="B180" s="55" t="s">
        <v>7</v>
      </c>
      <c r="C180" s="57">
        <v>0</v>
      </c>
      <c r="D180" s="57">
        <v>0</v>
      </c>
      <c r="E180" s="57"/>
      <c r="F180" s="57"/>
      <c r="G180" s="57">
        <v>2722.7252200000003</v>
      </c>
      <c r="H180" s="57">
        <v>0</v>
      </c>
      <c r="I180" s="57">
        <v>2722.7252200000003</v>
      </c>
    </row>
    <row r="181" spans="1:9" ht="12" customHeight="1" x14ac:dyDescent="0.25">
      <c r="A181" s="55">
        <v>2017</v>
      </c>
      <c r="B181" s="55" t="s">
        <v>8</v>
      </c>
      <c r="C181" s="57">
        <v>0</v>
      </c>
      <c r="D181" s="57">
        <v>0</v>
      </c>
      <c r="E181" s="57"/>
      <c r="F181" s="57"/>
      <c r="G181" s="57">
        <v>3581.3648499999995</v>
      </c>
      <c r="H181" s="57">
        <v>0</v>
      </c>
      <c r="I181" s="57">
        <v>3581.3648499999995</v>
      </c>
    </row>
    <row r="182" spans="1:9" ht="12" customHeight="1" x14ac:dyDescent="0.25">
      <c r="A182" s="55">
        <v>2017</v>
      </c>
      <c r="B182" s="55" t="s">
        <v>9</v>
      </c>
      <c r="C182" s="57">
        <v>0</v>
      </c>
      <c r="D182" s="57">
        <v>66.264020000000002</v>
      </c>
      <c r="E182" s="57"/>
      <c r="F182" s="57"/>
      <c r="G182" s="57">
        <v>2701.40751</v>
      </c>
      <c r="H182" s="57">
        <v>0</v>
      </c>
      <c r="I182" s="57">
        <v>2767.6715300000001</v>
      </c>
    </row>
    <row r="183" spans="1:9" s="69" customFormat="1" ht="12" customHeight="1" x14ac:dyDescent="0.2">
      <c r="A183" s="55">
        <v>2017</v>
      </c>
      <c r="B183" s="55" t="s">
        <v>10</v>
      </c>
      <c r="C183" s="57">
        <v>0</v>
      </c>
      <c r="D183" s="57">
        <v>1105.5756699999999</v>
      </c>
      <c r="E183" s="57"/>
      <c r="F183" s="57"/>
      <c r="G183" s="57">
        <v>2802.6830499999996</v>
      </c>
      <c r="H183" s="57">
        <v>0</v>
      </c>
      <c r="I183" s="57">
        <v>3908.2587199999998</v>
      </c>
    </row>
    <row r="184" spans="1:9" s="69" customFormat="1" ht="12" customHeight="1" x14ac:dyDescent="0.2">
      <c r="A184" s="55">
        <v>2017</v>
      </c>
      <c r="B184" s="55" t="s">
        <v>11</v>
      </c>
      <c r="C184" s="57">
        <v>0</v>
      </c>
      <c r="D184" s="57">
        <v>1091.9657099999999</v>
      </c>
      <c r="E184" s="57"/>
      <c r="F184" s="57"/>
      <c r="G184" s="57">
        <v>3577.2314699999997</v>
      </c>
      <c r="H184" s="57">
        <v>0</v>
      </c>
      <c r="I184" s="57">
        <v>4669.1971799999992</v>
      </c>
    </row>
    <row r="185" spans="1:9" s="69" customFormat="1" ht="12" customHeight="1" x14ac:dyDescent="0.2">
      <c r="A185" s="55">
        <v>2017</v>
      </c>
      <c r="B185" s="55" t="s">
        <v>12</v>
      </c>
      <c r="C185" s="57">
        <v>0</v>
      </c>
      <c r="D185" s="57">
        <v>0</v>
      </c>
      <c r="E185" s="57"/>
      <c r="F185" s="57"/>
      <c r="G185" s="57">
        <v>2782.0729100000003</v>
      </c>
      <c r="H185" s="57">
        <v>2536.3621400000002</v>
      </c>
      <c r="I185" s="57">
        <v>5318.43505</v>
      </c>
    </row>
    <row r="186" spans="1:9" s="69" customFormat="1" ht="12" customHeight="1" x14ac:dyDescent="0.2">
      <c r="A186" s="55">
        <v>2017</v>
      </c>
      <c r="B186" s="55" t="s">
        <v>13</v>
      </c>
      <c r="C186" s="57">
        <v>0</v>
      </c>
      <c r="D186" s="57">
        <v>1962.6716999999999</v>
      </c>
      <c r="E186" s="57"/>
      <c r="F186" s="57"/>
      <c r="G186" s="57">
        <v>5265.1673100000007</v>
      </c>
      <c r="H186" s="57">
        <v>868.81810999999993</v>
      </c>
      <c r="I186" s="57">
        <v>8096.6571200000008</v>
      </c>
    </row>
    <row r="187" spans="1:9" ht="12" customHeight="1" x14ac:dyDescent="0.25">
      <c r="A187" s="55">
        <v>2017</v>
      </c>
      <c r="B187" s="55" t="s">
        <v>14</v>
      </c>
      <c r="C187" s="57">
        <v>0</v>
      </c>
      <c r="D187" s="57">
        <v>1017.0852199999999</v>
      </c>
      <c r="E187" s="57"/>
      <c r="F187" s="57"/>
      <c r="G187" s="57">
        <v>4710.6201899999996</v>
      </c>
      <c r="H187" s="57">
        <v>0</v>
      </c>
      <c r="I187" s="57">
        <v>5727.7054099999996</v>
      </c>
    </row>
    <row r="188" spans="1:9" ht="12" customHeight="1" x14ac:dyDescent="0.25">
      <c r="A188" s="55">
        <v>2017</v>
      </c>
      <c r="B188" s="55" t="s">
        <v>15</v>
      </c>
      <c r="C188" s="57">
        <v>0</v>
      </c>
      <c r="D188" s="57">
        <v>8542.6033599999992</v>
      </c>
      <c r="E188" s="57"/>
      <c r="F188" s="57"/>
      <c r="G188" s="57">
        <v>39505.342900000003</v>
      </c>
      <c r="H188" s="57">
        <v>5159.2404200000001</v>
      </c>
      <c r="I188" s="57">
        <v>53207.186680000006</v>
      </c>
    </row>
    <row r="189" spans="1:9" ht="12" customHeight="1" x14ac:dyDescent="0.25">
      <c r="A189" s="55">
        <v>2018</v>
      </c>
      <c r="B189" s="55" t="s">
        <v>3</v>
      </c>
      <c r="C189" s="57">
        <v>0</v>
      </c>
      <c r="D189" s="57">
        <v>0</v>
      </c>
      <c r="E189" s="57"/>
      <c r="F189" s="57"/>
      <c r="G189" s="57">
        <v>1699.5676000000001</v>
      </c>
      <c r="H189" s="57">
        <v>886.70218</v>
      </c>
      <c r="I189" s="57">
        <v>2586.2697800000001</v>
      </c>
    </row>
    <row r="190" spans="1:9" ht="12" customHeight="1" x14ac:dyDescent="0.25">
      <c r="A190" s="55">
        <v>2018</v>
      </c>
      <c r="B190" s="55" t="s">
        <v>4</v>
      </c>
      <c r="C190" s="57">
        <v>0</v>
      </c>
      <c r="D190" s="57">
        <v>0</v>
      </c>
      <c r="E190" s="57"/>
      <c r="F190" s="57"/>
      <c r="G190" s="57">
        <v>1785.9250400000001</v>
      </c>
      <c r="H190" s="57">
        <v>0</v>
      </c>
      <c r="I190" s="57">
        <v>1785.9250400000001</v>
      </c>
    </row>
    <row r="191" spans="1:9" ht="12" customHeight="1" x14ac:dyDescent="0.25">
      <c r="A191" s="55">
        <v>2018</v>
      </c>
      <c r="B191" s="55" t="s">
        <v>5</v>
      </c>
      <c r="C191" s="57">
        <v>0</v>
      </c>
      <c r="D191" s="57">
        <v>0</v>
      </c>
      <c r="E191" s="57"/>
      <c r="F191" s="57"/>
      <c r="G191" s="57">
        <v>714.01989000000003</v>
      </c>
      <c r="H191" s="57">
        <v>1812.5737799999999</v>
      </c>
      <c r="I191" s="57">
        <v>2526.5936700000002</v>
      </c>
    </row>
    <row r="192" spans="1:9" ht="12" customHeight="1" x14ac:dyDescent="0.25">
      <c r="A192" s="55">
        <v>2018</v>
      </c>
      <c r="B192" s="55" t="s">
        <v>6</v>
      </c>
      <c r="C192" s="57">
        <v>0</v>
      </c>
      <c r="D192" s="57">
        <v>0</v>
      </c>
      <c r="E192" s="57"/>
      <c r="F192" s="57"/>
      <c r="G192" s="57">
        <v>0</v>
      </c>
      <c r="H192" s="57">
        <v>2670.1704799999998</v>
      </c>
      <c r="I192" s="57">
        <v>2670.1704799999998</v>
      </c>
    </row>
    <row r="193" spans="1:9" ht="12" customHeight="1" x14ac:dyDescent="0.25">
      <c r="A193" s="55">
        <v>2018</v>
      </c>
      <c r="B193" s="55" t="s">
        <v>7</v>
      </c>
      <c r="C193" s="57">
        <v>0</v>
      </c>
      <c r="D193" s="57">
        <v>0</v>
      </c>
      <c r="E193" s="57"/>
      <c r="F193" s="57"/>
      <c r="G193" s="57">
        <v>0</v>
      </c>
      <c r="H193" s="57">
        <v>2734.6108600000002</v>
      </c>
      <c r="I193" s="57">
        <v>2734.6108600000002</v>
      </c>
    </row>
    <row r="194" spans="1:9" ht="12" customHeight="1" x14ac:dyDescent="0.25">
      <c r="A194" s="55">
        <v>2018</v>
      </c>
      <c r="B194" s="55" t="s">
        <v>8</v>
      </c>
      <c r="C194" s="57">
        <v>0</v>
      </c>
      <c r="D194" s="57">
        <v>0</v>
      </c>
      <c r="E194" s="57"/>
      <c r="F194" s="57"/>
      <c r="G194" s="57">
        <v>876.31362999999999</v>
      </c>
      <c r="H194" s="57">
        <v>3394.4140799999996</v>
      </c>
      <c r="I194" s="57">
        <v>4270.7277099999992</v>
      </c>
    </row>
    <row r="195" spans="1:9" ht="12" customHeight="1" x14ac:dyDescent="0.25">
      <c r="A195" s="55">
        <v>2018</v>
      </c>
      <c r="B195" s="55" t="s">
        <v>9</v>
      </c>
      <c r="C195" s="57">
        <v>0</v>
      </c>
      <c r="D195" s="57">
        <v>0</v>
      </c>
      <c r="E195" s="57"/>
      <c r="F195" s="57"/>
      <c r="G195" s="57">
        <v>4057.8710999999998</v>
      </c>
      <c r="H195" s="57">
        <v>1699.0767499999999</v>
      </c>
      <c r="I195" s="57">
        <v>5756.9478499999996</v>
      </c>
    </row>
    <row r="196" spans="1:9" ht="12" customHeight="1" x14ac:dyDescent="0.25">
      <c r="A196" s="55">
        <v>2018</v>
      </c>
      <c r="B196" s="55" t="s">
        <v>10</v>
      </c>
      <c r="C196" s="57">
        <v>0</v>
      </c>
      <c r="D196" s="57">
        <v>949.67852000000005</v>
      </c>
      <c r="E196" s="57"/>
      <c r="F196" s="57"/>
      <c r="G196" s="57">
        <v>1775.6590900000001</v>
      </c>
      <c r="H196" s="57">
        <v>2559.9290599999999</v>
      </c>
      <c r="I196" s="57">
        <v>5285.26667</v>
      </c>
    </row>
    <row r="197" spans="1:9" ht="12" customHeight="1" x14ac:dyDescent="0.25">
      <c r="A197" s="55">
        <v>2018</v>
      </c>
      <c r="B197" s="55" t="s">
        <v>11</v>
      </c>
      <c r="C197" s="57">
        <v>0</v>
      </c>
      <c r="D197" s="57">
        <v>0</v>
      </c>
      <c r="E197" s="57"/>
      <c r="F197" s="57"/>
      <c r="G197" s="57">
        <v>858.12533999999994</v>
      </c>
      <c r="H197" s="57">
        <v>1675.9352900000001</v>
      </c>
      <c r="I197" s="57">
        <v>2534.0606299999999</v>
      </c>
    </row>
    <row r="198" spans="1:9" ht="12" customHeight="1" x14ac:dyDescent="0.25">
      <c r="A198" s="55">
        <v>2018</v>
      </c>
      <c r="B198" s="55" t="s">
        <v>12</v>
      </c>
      <c r="C198" s="57">
        <v>0</v>
      </c>
      <c r="D198" s="57">
        <v>1407.1734799999999</v>
      </c>
      <c r="E198" s="57"/>
      <c r="F198" s="57"/>
      <c r="G198" s="57">
        <v>2802.9742700000002</v>
      </c>
      <c r="H198" s="57">
        <v>1683.48876</v>
      </c>
      <c r="I198" s="57">
        <v>5893.6365100000003</v>
      </c>
    </row>
    <row r="199" spans="1:9" ht="12" customHeight="1" x14ac:dyDescent="0.25">
      <c r="A199" s="55">
        <v>2018</v>
      </c>
      <c r="B199" s="55" t="s">
        <v>13</v>
      </c>
      <c r="C199" s="57">
        <v>0</v>
      </c>
      <c r="D199" s="57">
        <v>0</v>
      </c>
      <c r="E199" s="57"/>
      <c r="F199" s="57"/>
      <c r="G199" s="57">
        <v>1940.9881600000001</v>
      </c>
      <c r="H199" s="57">
        <v>2558.8255399999998</v>
      </c>
      <c r="I199" s="57">
        <v>4499.8136999999997</v>
      </c>
    </row>
    <row r="200" spans="1:9" ht="12" customHeight="1" x14ac:dyDescent="0.25">
      <c r="A200" s="55">
        <v>2018</v>
      </c>
      <c r="B200" s="55" t="s">
        <v>14</v>
      </c>
      <c r="C200" s="57">
        <v>0</v>
      </c>
      <c r="D200" s="57">
        <v>1001.42804</v>
      </c>
      <c r="E200" s="57"/>
      <c r="F200" s="57"/>
      <c r="G200" s="57">
        <v>2783.1620099999996</v>
      </c>
      <c r="H200" s="57">
        <v>2565.8072199999997</v>
      </c>
      <c r="I200" s="57">
        <v>6350.3972699999995</v>
      </c>
    </row>
    <row r="201" spans="1:9" ht="12" customHeight="1" x14ac:dyDescent="0.25">
      <c r="A201" s="55">
        <v>2018</v>
      </c>
      <c r="B201" s="55" t="s">
        <v>15</v>
      </c>
      <c r="C201" s="57">
        <v>0</v>
      </c>
      <c r="D201" s="57">
        <v>3358.2800399999996</v>
      </c>
      <c r="E201" s="57"/>
      <c r="F201" s="57"/>
      <c r="G201" s="57">
        <v>19294.60613</v>
      </c>
      <c r="H201" s="57">
        <v>24241.533999999996</v>
      </c>
      <c r="I201" s="57">
        <v>46894.420169999998</v>
      </c>
    </row>
    <row r="202" spans="1:9" ht="12" customHeight="1" x14ac:dyDescent="0.25">
      <c r="A202" s="55">
        <v>2019</v>
      </c>
      <c r="B202" s="55" t="s">
        <v>3</v>
      </c>
      <c r="C202" s="57">
        <v>0</v>
      </c>
      <c r="D202" s="57">
        <v>1988.1583700000001</v>
      </c>
      <c r="E202" s="57"/>
      <c r="F202" s="57"/>
      <c r="G202" s="57">
        <v>0</v>
      </c>
      <c r="H202" s="57">
        <v>2663.2198100000001</v>
      </c>
      <c r="I202" s="57">
        <v>4651.3781799999997</v>
      </c>
    </row>
    <row r="203" spans="1:9" ht="12" customHeight="1" x14ac:dyDescent="0.25">
      <c r="A203" s="55">
        <v>2019</v>
      </c>
      <c r="B203" s="55" t="s">
        <v>4</v>
      </c>
      <c r="C203" s="57">
        <v>0</v>
      </c>
      <c r="D203" s="57">
        <v>212.94216</v>
      </c>
      <c r="E203" s="57"/>
      <c r="F203" s="57"/>
      <c r="G203" s="57">
        <v>0</v>
      </c>
      <c r="H203" s="57">
        <v>2679.5619200000001</v>
      </c>
      <c r="I203" s="57">
        <v>2892.5040800000002</v>
      </c>
    </row>
    <row r="204" spans="1:9" ht="12" customHeight="1" x14ac:dyDescent="0.25">
      <c r="A204" s="55">
        <v>2019</v>
      </c>
      <c r="B204" s="55" t="s">
        <v>5</v>
      </c>
      <c r="C204" s="57">
        <v>0</v>
      </c>
      <c r="D204" s="57">
        <v>4894.929689999999</v>
      </c>
      <c r="E204" s="57"/>
      <c r="F204" s="57"/>
      <c r="G204" s="57">
        <v>0</v>
      </c>
      <c r="H204" s="57">
        <v>3793.29745</v>
      </c>
      <c r="I204" s="57">
        <v>8688.2271399999991</v>
      </c>
    </row>
    <row r="205" spans="1:9" ht="12" customHeight="1" x14ac:dyDescent="0.25">
      <c r="A205" s="55">
        <v>2019</v>
      </c>
      <c r="B205" s="55" t="s">
        <v>6</v>
      </c>
      <c r="C205" s="57">
        <v>0</v>
      </c>
      <c r="D205" s="57">
        <v>995.63467000000003</v>
      </c>
      <c r="E205" s="57"/>
      <c r="F205" s="57"/>
      <c r="G205" s="57">
        <v>0</v>
      </c>
      <c r="H205" s="57">
        <v>2678.2885200000001</v>
      </c>
      <c r="I205" s="57">
        <v>3673.92319</v>
      </c>
    </row>
    <row r="206" spans="1:9" ht="12" customHeight="1" x14ac:dyDescent="0.25">
      <c r="A206" s="55">
        <v>2019</v>
      </c>
      <c r="B206" s="55" t="s">
        <v>7</v>
      </c>
      <c r="C206" s="57">
        <v>0</v>
      </c>
      <c r="D206" s="57">
        <v>3944.61978</v>
      </c>
      <c r="E206" s="57"/>
      <c r="F206" s="57"/>
      <c r="G206" s="57">
        <v>0</v>
      </c>
      <c r="H206" s="57">
        <v>2711.8567200000002</v>
      </c>
      <c r="I206" s="57">
        <v>6656.4765000000007</v>
      </c>
    </row>
    <row r="207" spans="1:9" ht="12" customHeight="1" x14ac:dyDescent="0.25">
      <c r="A207" s="55">
        <v>2019</v>
      </c>
      <c r="B207" s="55" t="s">
        <v>8</v>
      </c>
      <c r="C207" s="57">
        <v>0</v>
      </c>
      <c r="D207" s="57">
        <v>5250.4451600000002</v>
      </c>
      <c r="E207" s="57"/>
      <c r="F207" s="57"/>
      <c r="G207" s="57">
        <v>984</v>
      </c>
      <c r="H207" s="57">
        <v>2621.7798899999998</v>
      </c>
      <c r="I207" s="57">
        <v>8856.2250500000009</v>
      </c>
    </row>
    <row r="208" spans="1:9" ht="12" customHeight="1" x14ac:dyDescent="0.25">
      <c r="A208" s="55">
        <v>2019</v>
      </c>
      <c r="B208" s="55" t="s">
        <v>9</v>
      </c>
      <c r="C208" s="57">
        <v>0</v>
      </c>
      <c r="D208" s="57">
        <v>2064.2992200000003</v>
      </c>
      <c r="E208" s="57"/>
      <c r="F208" s="57"/>
      <c r="G208" s="57">
        <v>0</v>
      </c>
      <c r="H208" s="57">
        <v>4346.2849999999999</v>
      </c>
      <c r="I208" s="57">
        <v>6410.5842200000006</v>
      </c>
    </row>
    <row r="209" spans="1:9" ht="12" customHeight="1" x14ac:dyDescent="0.25">
      <c r="A209" s="55">
        <v>2019</v>
      </c>
      <c r="B209" s="55" t="s">
        <v>10</v>
      </c>
      <c r="C209" s="57">
        <v>0</v>
      </c>
      <c r="D209" s="57">
        <v>979.17608999999993</v>
      </c>
      <c r="E209" s="57"/>
      <c r="F209" s="57"/>
      <c r="G209" s="57">
        <v>0</v>
      </c>
      <c r="H209" s="57">
        <v>2576.7480700000001</v>
      </c>
      <c r="I209" s="57">
        <v>3555.92416</v>
      </c>
    </row>
    <row r="210" spans="1:9" ht="12" customHeight="1" x14ac:dyDescent="0.25">
      <c r="A210" s="55">
        <v>2019</v>
      </c>
      <c r="B210" s="55" t="s">
        <v>11</v>
      </c>
      <c r="C210" s="57">
        <v>0</v>
      </c>
      <c r="D210" s="57">
        <v>6529.3124699999998</v>
      </c>
      <c r="E210" s="57"/>
      <c r="F210" s="57"/>
      <c r="G210" s="57">
        <v>859.92505000000006</v>
      </c>
      <c r="H210" s="57">
        <v>4052.8323999999998</v>
      </c>
      <c r="I210" s="57">
        <v>11442.06992</v>
      </c>
    </row>
    <row r="211" spans="1:9" ht="12" customHeight="1" x14ac:dyDescent="0.25">
      <c r="A211" s="55">
        <v>2019</v>
      </c>
      <c r="B211" s="55" t="s">
        <v>12</v>
      </c>
      <c r="C211" s="57">
        <v>0</v>
      </c>
      <c r="D211" s="57">
        <v>5265.3349100000005</v>
      </c>
      <c r="E211" s="57"/>
      <c r="F211" s="57"/>
      <c r="G211" s="57">
        <v>3177.9865199999999</v>
      </c>
      <c r="H211" s="57">
        <v>0</v>
      </c>
      <c r="I211" s="57">
        <v>8443.32143</v>
      </c>
    </row>
    <row r="212" spans="1:9" ht="12" customHeight="1" x14ac:dyDescent="0.25">
      <c r="A212" s="55">
        <v>2019</v>
      </c>
      <c r="B212" s="55" t="s">
        <v>13</v>
      </c>
      <c r="C212" s="57">
        <v>0</v>
      </c>
      <c r="D212" s="57">
        <v>8805.6198599999989</v>
      </c>
      <c r="E212" s="57"/>
      <c r="F212" s="57"/>
      <c r="G212" s="57">
        <v>965.87266</v>
      </c>
      <c r="H212" s="57">
        <v>1581.4617000000001</v>
      </c>
      <c r="I212" s="57">
        <v>11352.95422</v>
      </c>
    </row>
    <row r="213" spans="1:9" ht="12" customHeight="1" x14ac:dyDescent="0.25">
      <c r="A213" s="55">
        <v>2019</v>
      </c>
      <c r="B213" s="55" t="s">
        <v>14</v>
      </c>
      <c r="C213" s="57">
        <v>0</v>
      </c>
      <c r="D213" s="57">
        <v>5195.8998699999993</v>
      </c>
      <c r="E213" s="57"/>
      <c r="F213" s="57"/>
      <c r="G213" s="57">
        <v>0</v>
      </c>
      <c r="H213" s="57">
        <v>1705.0220099999999</v>
      </c>
      <c r="I213" s="57">
        <v>6900.921879999999</v>
      </c>
    </row>
    <row r="214" spans="1:9" ht="12" customHeight="1" x14ac:dyDescent="0.25">
      <c r="A214" s="55">
        <v>2019</v>
      </c>
      <c r="B214" s="55" t="s">
        <v>15</v>
      </c>
      <c r="C214" s="57">
        <v>0</v>
      </c>
      <c r="D214" s="57">
        <v>46126.372250000008</v>
      </c>
      <c r="E214" s="57"/>
      <c r="F214" s="57"/>
      <c r="G214" s="57">
        <v>5987.7842300000002</v>
      </c>
      <c r="H214" s="57">
        <v>31410.353490000001</v>
      </c>
      <c r="I214" s="57">
        <v>83524.509970000014</v>
      </c>
    </row>
    <row r="215" spans="1:9" ht="12" customHeight="1" x14ac:dyDescent="0.25">
      <c r="A215" s="55">
        <v>2020</v>
      </c>
      <c r="B215" s="55" t="s">
        <v>3</v>
      </c>
      <c r="C215" s="57">
        <v>843.32070999999996</v>
      </c>
      <c r="D215" s="57">
        <v>4323.5132899999999</v>
      </c>
      <c r="E215" s="57"/>
      <c r="F215" s="57"/>
      <c r="G215" s="57">
        <v>0</v>
      </c>
      <c r="H215" s="57">
        <v>4615.5718899999993</v>
      </c>
      <c r="I215" s="57">
        <v>9782.4058899999982</v>
      </c>
    </row>
    <row r="216" spans="1:9" ht="12" customHeight="1" x14ac:dyDescent="0.25">
      <c r="A216" s="55">
        <v>2020</v>
      </c>
      <c r="B216" s="55" t="s">
        <v>4</v>
      </c>
      <c r="C216" s="57">
        <v>472.06003999999996</v>
      </c>
      <c r="D216" s="57">
        <v>7923.9678699999995</v>
      </c>
      <c r="E216" s="57"/>
      <c r="F216" s="57"/>
      <c r="G216" s="57">
        <v>0</v>
      </c>
      <c r="H216" s="57">
        <v>3558.5714900000003</v>
      </c>
      <c r="I216" s="57">
        <v>11954.599399999999</v>
      </c>
    </row>
    <row r="217" spans="1:9" ht="12" customHeight="1" x14ac:dyDescent="0.25">
      <c r="A217" s="55">
        <v>2020</v>
      </c>
      <c r="B217" s="55" t="s">
        <v>5</v>
      </c>
      <c r="C217" s="57">
        <v>375.44044000000002</v>
      </c>
      <c r="D217" s="57">
        <v>8003.8734800000002</v>
      </c>
      <c r="E217" s="57"/>
      <c r="F217" s="57"/>
      <c r="G217" s="57">
        <v>865.91716000000008</v>
      </c>
      <c r="H217" s="57">
        <v>1326.0083999999999</v>
      </c>
      <c r="I217" s="57">
        <v>10571.239480000002</v>
      </c>
    </row>
    <row r="218" spans="1:9" ht="12" customHeight="1" x14ac:dyDescent="0.25">
      <c r="A218" s="55">
        <v>2020</v>
      </c>
      <c r="B218" s="55" t="s">
        <v>6</v>
      </c>
      <c r="C218" s="57">
        <v>0</v>
      </c>
      <c r="D218" s="57">
        <v>4764.0389800000003</v>
      </c>
      <c r="E218" s="57"/>
      <c r="F218" s="57"/>
      <c r="G218" s="57">
        <v>0</v>
      </c>
      <c r="H218" s="57">
        <v>1756.3630600000001</v>
      </c>
      <c r="I218" s="57">
        <v>6520.4020400000009</v>
      </c>
    </row>
    <row r="219" spans="1:9" ht="12" customHeight="1" x14ac:dyDescent="0.25">
      <c r="A219" s="55">
        <v>2020</v>
      </c>
      <c r="B219" s="55" t="s">
        <v>7</v>
      </c>
      <c r="C219" s="57">
        <v>0</v>
      </c>
      <c r="D219" s="57">
        <v>7315.3949500000008</v>
      </c>
      <c r="E219" s="57"/>
      <c r="F219" s="57"/>
      <c r="G219" s="57">
        <v>0</v>
      </c>
      <c r="H219" s="57">
        <v>2907.8046300000001</v>
      </c>
      <c r="I219" s="57">
        <v>10223.19958</v>
      </c>
    </row>
    <row r="220" spans="1:9" ht="12" customHeight="1" x14ac:dyDescent="0.25">
      <c r="A220" s="55">
        <v>2020</v>
      </c>
      <c r="B220" s="55" t="s">
        <v>8</v>
      </c>
      <c r="C220" s="57">
        <v>0</v>
      </c>
      <c r="D220" s="57">
        <v>4349.0461800000003</v>
      </c>
      <c r="E220" s="57"/>
      <c r="F220" s="57"/>
      <c r="G220" s="57">
        <v>0</v>
      </c>
      <c r="H220" s="57">
        <v>1872.8864599999999</v>
      </c>
      <c r="I220" s="57">
        <v>6221.93264</v>
      </c>
    </row>
    <row r="221" spans="1:9" ht="12" customHeight="1" x14ac:dyDescent="0.25">
      <c r="A221" s="55">
        <v>2020</v>
      </c>
      <c r="B221" s="55" t="s">
        <v>9</v>
      </c>
      <c r="C221" s="57">
        <v>0</v>
      </c>
      <c r="D221" s="57">
        <v>4800.4520000000002</v>
      </c>
      <c r="E221" s="57"/>
      <c r="F221" s="57"/>
      <c r="G221" s="57">
        <v>1009.5774</v>
      </c>
      <c r="H221" s="57">
        <v>1018.00517</v>
      </c>
      <c r="I221" s="57">
        <v>6828.0345700000007</v>
      </c>
    </row>
    <row r="222" spans="1:9" ht="12" customHeight="1" x14ac:dyDescent="0.25">
      <c r="A222" s="55">
        <v>2020</v>
      </c>
      <c r="B222" s="55" t="s">
        <v>10</v>
      </c>
      <c r="C222" s="57">
        <v>0</v>
      </c>
      <c r="D222" s="57">
        <v>1014.57188</v>
      </c>
      <c r="E222" s="57"/>
      <c r="F222" s="57"/>
      <c r="G222" s="57">
        <v>0</v>
      </c>
      <c r="H222" s="57">
        <v>3933.6420400000002</v>
      </c>
      <c r="I222" s="57">
        <v>4948.2139200000001</v>
      </c>
    </row>
    <row r="223" spans="1:9" ht="12" customHeight="1" x14ac:dyDescent="0.25">
      <c r="A223" s="55">
        <v>2020</v>
      </c>
      <c r="B223" s="55" t="s">
        <v>11</v>
      </c>
      <c r="C223" s="57">
        <v>0</v>
      </c>
      <c r="D223" s="57">
        <v>2989.9844199999998</v>
      </c>
      <c r="E223" s="57"/>
      <c r="F223" s="57"/>
      <c r="G223" s="57">
        <v>0</v>
      </c>
      <c r="H223" s="57">
        <v>593.68429000000003</v>
      </c>
      <c r="I223" s="57">
        <v>3583.6687099999999</v>
      </c>
    </row>
    <row r="224" spans="1:9" ht="12" customHeight="1" x14ac:dyDescent="0.25">
      <c r="A224" s="55">
        <v>2020</v>
      </c>
      <c r="B224" s="55" t="s">
        <v>12</v>
      </c>
      <c r="C224" s="57">
        <v>0</v>
      </c>
      <c r="D224" s="57">
        <v>4494.6821399999999</v>
      </c>
      <c r="E224" s="57"/>
      <c r="F224" s="57"/>
      <c r="G224" s="57">
        <v>0</v>
      </c>
      <c r="H224" s="57">
        <v>777.27616</v>
      </c>
      <c r="I224" s="57">
        <v>5271.9583000000002</v>
      </c>
    </row>
    <row r="225" spans="1:9" ht="12" customHeight="1" x14ac:dyDescent="0.25">
      <c r="A225" s="55">
        <v>2020</v>
      </c>
      <c r="B225" s="55" t="s">
        <v>13</v>
      </c>
      <c r="C225" s="57">
        <v>0</v>
      </c>
      <c r="D225" s="57">
        <v>3067.5749699999997</v>
      </c>
      <c r="E225" s="57"/>
      <c r="F225" s="57"/>
      <c r="G225" s="57">
        <v>0</v>
      </c>
      <c r="H225" s="57">
        <v>1721.0790200000001</v>
      </c>
      <c r="I225" s="57">
        <v>4788.6539899999998</v>
      </c>
    </row>
    <row r="226" spans="1:9" ht="12" customHeight="1" x14ac:dyDescent="0.25">
      <c r="A226" s="55">
        <v>2020</v>
      </c>
      <c r="B226" s="55" t="s">
        <v>14</v>
      </c>
      <c r="C226" s="57">
        <v>0</v>
      </c>
      <c r="D226" s="57">
        <v>4069.7309399999999</v>
      </c>
      <c r="E226" s="57"/>
      <c r="F226" s="57"/>
      <c r="G226" s="57">
        <v>0</v>
      </c>
      <c r="H226" s="57">
        <v>0</v>
      </c>
      <c r="I226" s="57">
        <v>4069.7309399999999</v>
      </c>
    </row>
    <row r="227" spans="1:9" ht="12" customHeight="1" x14ac:dyDescent="0.25">
      <c r="A227" s="55">
        <v>2020</v>
      </c>
      <c r="B227" s="55" t="s">
        <v>15</v>
      </c>
      <c r="C227" s="57">
        <v>1690.8211899999999</v>
      </c>
      <c r="D227" s="57">
        <v>57116.831100000003</v>
      </c>
      <c r="E227" s="57"/>
      <c r="F227" s="57"/>
      <c r="G227" s="57">
        <v>1875.4945600000001</v>
      </c>
      <c r="H227" s="57">
        <v>24080.892610000003</v>
      </c>
      <c r="I227" s="57">
        <v>84764.03946</v>
      </c>
    </row>
    <row r="228" spans="1:9" ht="12" customHeight="1" x14ac:dyDescent="0.25">
      <c r="A228" s="55">
        <v>2021</v>
      </c>
      <c r="B228" s="55" t="s">
        <v>3</v>
      </c>
      <c r="C228" s="57">
        <v>0</v>
      </c>
      <c r="D228" s="57">
        <v>1961.2759199999998</v>
      </c>
      <c r="E228" s="57"/>
      <c r="F228" s="57"/>
      <c r="G228" s="57">
        <v>0</v>
      </c>
      <c r="H228" s="57">
        <v>1843.0752199999999</v>
      </c>
      <c r="I228" s="57">
        <v>3804.3511399999998</v>
      </c>
    </row>
    <row r="229" spans="1:9" ht="12" customHeight="1" x14ac:dyDescent="0.25">
      <c r="A229" s="55">
        <v>2021</v>
      </c>
      <c r="B229" s="55" t="s">
        <v>4</v>
      </c>
      <c r="C229" s="57">
        <v>0</v>
      </c>
      <c r="D229" s="57">
        <v>3034.0761200000002</v>
      </c>
      <c r="E229" s="57"/>
      <c r="F229" s="57"/>
      <c r="G229" s="57">
        <v>0</v>
      </c>
      <c r="H229" s="57">
        <v>2830.8180200000002</v>
      </c>
      <c r="I229" s="57">
        <v>5864.8941400000003</v>
      </c>
    </row>
    <row r="230" spans="1:9" ht="12" customHeight="1" x14ac:dyDescent="0.25">
      <c r="A230" s="55">
        <v>2021</v>
      </c>
      <c r="B230" s="55" t="s">
        <v>5</v>
      </c>
      <c r="C230" s="57">
        <v>0</v>
      </c>
      <c r="D230" s="57">
        <v>3307.7588600000004</v>
      </c>
      <c r="E230" s="57"/>
      <c r="F230" s="57"/>
      <c r="G230" s="57">
        <v>0</v>
      </c>
      <c r="H230" s="57">
        <v>859.71456999999998</v>
      </c>
      <c r="I230" s="57">
        <v>4167.47343</v>
      </c>
    </row>
    <row r="231" spans="1:9" ht="12" customHeight="1" x14ac:dyDescent="0.25">
      <c r="A231" s="55">
        <v>2021</v>
      </c>
      <c r="B231" s="55" t="s">
        <v>6</v>
      </c>
      <c r="C231" s="57">
        <v>0</v>
      </c>
      <c r="D231" s="57">
        <v>5734.5776900000001</v>
      </c>
      <c r="E231" s="57"/>
      <c r="F231" s="57"/>
      <c r="G231" s="57">
        <v>0</v>
      </c>
      <c r="H231" s="57">
        <v>1773.7529500000001</v>
      </c>
      <c r="I231" s="57">
        <v>7508.3306400000001</v>
      </c>
    </row>
    <row r="232" spans="1:9" ht="12" customHeight="1" x14ac:dyDescent="0.25">
      <c r="A232" s="55">
        <v>2021</v>
      </c>
      <c r="B232" s="55" t="s">
        <v>7</v>
      </c>
      <c r="C232" s="57">
        <v>0</v>
      </c>
      <c r="D232" s="57">
        <v>4602.3415400000004</v>
      </c>
      <c r="E232" s="57"/>
      <c r="F232" s="57"/>
      <c r="G232" s="57">
        <v>0</v>
      </c>
      <c r="H232" s="57">
        <v>847.42869999999994</v>
      </c>
      <c r="I232" s="57">
        <v>5449.7702399999998</v>
      </c>
    </row>
    <row r="233" spans="1:9" ht="12" customHeight="1" x14ac:dyDescent="0.25">
      <c r="A233" s="55">
        <v>2021</v>
      </c>
      <c r="B233" s="55" t="s">
        <v>8</v>
      </c>
      <c r="C233" s="57">
        <v>0</v>
      </c>
      <c r="D233" s="57">
        <v>1227.972</v>
      </c>
      <c r="E233" s="57"/>
      <c r="F233" s="57"/>
      <c r="G233" s="57">
        <v>0</v>
      </c>
      <c r="H233" s="57">
        <v>836.72460000000001</v>
      </c>
      <c r="I233" s="57">
        <v>2064.6966000000002</v>
      </c>
    </row>
    <row r="234" spans="1:9" ht="12" customHeight="1" x14ac:dyDescent="0.25">
      <c r="A234" s="55">
        <v>2021</v>
      </c>
      <c r="B234" s="55" t="s">
        <v>9</v>
      </c>
      <c r="C234" s="57">
        <v>0</v>
      </c>
      <c r="D234" s="57">
        <v>2663.77477</v>
      </c>
      <c r="E234" s="57"/>
      <c r="F234" s="57"/>
      <c r="G234" s="57">
        <v>0</v>
      </c>
      <c r="H234" s="57">
        <v>783.88283000000001</v>
      </c>
      <c r="I234" s="57">
        <v>3447.6576</v>
      </c>
    </row>
    <row r="235" spans="1:9" ht="12" customHeight="1" x14ac:dyDescent="0.25">
      <c r="A235" s="55">
        <v>2021</v>
      </c>
      <c r="B235" s="55" t="s">
        <v>10</v>
      </c>
      <c r="C235" s="57">
        <v>0</v>
      </c>
      <c r="D235" s="57">
        <v>5241.002300000001</v>
      </c>
      <c r="E235" s="57"/>
      <c r="F235" s="57"/>
      <c r="G235" s="57">
        <v>0</v>
      </c>
      <c r="H235" s="57">
        <v>1662.3109500000003</v>
      </c>
      <c r="I235" s="57">
        <v>6903.3132500000011</v>
      </c>
    </row>
    <row r="236" spans="1:9" ht="12" customHeight="1" x14ac:dyDescent="0.25">
      <c r="A236" s="55">
        <v>2021</v>
      </c>
      <c r="B236" s="55" t="s">
        <v>11</v>
      </c>
      <c r="C236" s="57">
        <v>0</v>
      </c>
      <c r="D236" s="57">
        <v>5920.2776800000001</v>
      </c>
      <c r="E236" s="57"/>
      <c r="F236" s="57"/>
      <c r="G236" s="57">
        <v>0</v>
      </c>
      <c r="H236" s="57">
        <v>832.48572000000001</v>
      </c>
      <c r="I236" s="57">
        <v>6752.7633999999998</v>
      </c>
    </row>
    <row r="237" spans="1:9" ht="12" customHeight="1" x14ac:dyDescent="0.25">
      <c r="A237" s="55">
        <v>2021</v>
      </c>
      <c r="B237" s="55" t="s">
        <v>12</v>
      </c>
      <c r="C237" s="57">
        <v>0</v>
      </c>
      <c r="D237" s="57">
        <v>10172.06277</v>
      </c>
      <c r="E237" s="57"/>
      <c r="F237" s="57"/>
      <c r="G237" s="57">
        <v>864.77263000000005</v>
      </c>
      <c r="H237" s="57">
        <v>0</v>
      </c>
      <c r="I237" s="57">
        <v>11036.8354</v>
      </c>
    </row>
    <row r="238" spans="1:9" ht="12" customHeight="1" x14ac:dyDescent="0.25">
      <c r="A238" s="55">
        <v>2021</v>
      </c>
      <c r="B238" s="55" t="s">
        <v>13</v>
      </c>
      <c r="C238" s="57">
        <v>0</v>
      </c>
      <c r="D238" s="57">
        <v>7253.0737200000003</v>
      </c>
      <c r="E238" s="57"/>
      <c r="F238" s="57"/>
      <c r="G238" s="57">
        <v>0</v>
      </c>
      <c r="H238" s="57">
        <v>0</v>
      </c>
      <c r="I238" s="57">
        <v>7253.0737200000003</v>
      </c>
    </row>
    <row r="239" spans="1:9" ht="12" customHeight="1" x14ac:dyDescent="0.25">
      <c r="A239" s="55">
        <v>2021</v>
      </c>
      <c r="B239" s="55" t="s">
        <v>14</v>
      </c>
      <c r="C239" s="57">
        <v>0</v>
      </c>
      <c r="D239" s="57">
        <v>9527.5945700000011</v>
      </c>
      <c r="E239" s="57"/>
      <c r="F239" s="57"/>
      <c r="G239" s="57">
        <v>0</v>
      </c>
      <c r="H239" s="57">
        <v>0</v>
      </c>
      <c r="I239" s="57">
        <v>9527.5945700000011</v>
      </c>
    </row>
    <row r="240" spans="1:9" ht="12" customHeight="1" x14ac:dyDescent="0.25">
      <c r="A240" s="55">
        <v>2021</v>
      </c>
      <c r="B240" s="55" t="s">
        <v>15</v>
      </c>
      <c r="C240" s="57">
        <v>0</v>
      </c>
      <c r="D240" s="57">
        <v>60645.787940000009</v>
      </c>
      <c r="E240" s="57"/>
      <c r="F240" s="57"/>
      <c r="G240" s="57">
        <v>864.77263000000005</v>
      </c>
      <c r="H240" s="57">
        <v>12270.193560000002</v>
      </c>
      <c r="I240" s="57">
        <v>73780.754130000016</v>
      </c>
    </row>
    <row r="241" spans="1:9" ht="12" customHeight="1" x14ac:dyDescent="0.25">
      <c r="A241" s="55">
        <v>2022</v>
      </c>
      <c r="B241" s="55" t="s">
        <v>3</v>
      </c>
      <c r="C241" s="57">
        <v>0</v>
      </c>
      <c r="D241" s="57">
        <v>13103.314349999999</v>
      </c>
      <c r="E241" s="57">
        <v>0</v>
      </c>
      <c r="F241" s="57"/>
      <c r="G241" s="57">
        <v>0</v>
      </c>
      <c r="H241" s="57">
        <v>839.69899999999996</v>
      </c>
      <c r="I241" s="57">
        <v>13943.013349999999</v>
      </c>
    </row>
    <row r="242" spans="1:9" ht="12" customHeight="1" x14ac:dyDescent="0.25">
      <c r="A242" s="55">
        <v>2022</v>
      </c>
      <c r="B242" s="55" t="s">
        <v>4</v>
      </c>
      <c r="C242" s="57">
        <v>0</v>
      </c>
      <c r="D242" s="57">
        <v>12645.48228</v>
      </c>
      <c r="E242" s="57">
        <v>0</v>
      </c>
      <c r="F242" s="57"/>
      <c r="G242" s="57">
        <v>0</v>
      </c>
      <c r="H242" s="57">
        <v>1986.81817</v>
      </c>
      <c r="I242" s="57">
        <v>14632.300450000001</v>
      </c>
    </row>
    <row r="243" spans="1:9" ht="12" customHeight="1" x14ac:dyDescent="0.25">
      <c r="A243" s="55">
        <v>2022</v>
      </c>
      <c r="B243" s="55" t="s">
        <v>5</v>
      </c>
      <c r="C243" s="57">
        <v>0</v>
      </c>
      <c r="D243" s="57">
        <v>16266.84865</v>
      </c>
      <c r="E243" s="57">
        <v>0</v>
      </c>
      <c r="F243" s="57"/>
      <c r="G243" s="57">
        <v>0</v>
      </c>
      <c r="H243" s="57">
        <v>1011.35974</v>
      </c>
      <c r="I243" s="57">
        <v>17278.20839</v>
      </c>
    </row>
    <row r="244" spans="1:9" ht="12" customHeight="1" x14ac:dyDescent="0.25">
      <c r="A244" s="55">
        <v>2022</v>
      </c>
      <c r="B244" s="55" t="s">
        <v>6</v>
      </c>
      <c r="C244" s="57">
        <v>0</v>
      </c>
      <c r="D244" s="57">
        <v>12459.712079999996</v>
      </c>
      <c r="E244" s="57">
        <v>0</v>
      </c>
      <c r="F244" s="57"/>
      <c r="G244" s="57">
        <v>0</v>
      </c>
      <c r="H244" s="57">
        <v>80.008380000000002</v>
      </c>
      <c r="I244" s="57">
        <v>12539.720459999995</v>
      </c>
    </row>
    <row r="245" spans="1:9" ht="12" customHeight="1" x14ac:dyDescent="0.25">
      <c r="A245" s="55">
        <v>2022</v>
      </c>
      <c r="B245" s="55" t="s">
        <v>7</v>
      </c>
      <c r="C245" s="57">
        <v>0</v>
      </c>
      <c r="D245" s="57">
        <v>12986.7075</v>
      </c>
      <c r="E245" s="57">
        <v>0</v>
      </c>
      <c r="F245" s="57"/>
      <c r="G245" s="57">
        <v>1079.5573899999999</v>
      </c>
      <c r="H245" s="57">
        <v>0</v>
      </c>
      <c r="I245" s="57">
        <v>14066.26489</v>
      </c>
    </row>
    <row r="246" spans="1:9" ht="12" customHeight="1" x14ac:dyDescent="0.25">
      <c r="A246" s="55">
        <v>2022</v>
      </c>
      <c r="B246" s="55" t="s">
        <v>8</v>
      </c>
      <c r="C246" s="57">
        <v>0</v>
      </c>
      <c r="D246" s="57">
        <v>10618.153470000001</v>
      </c>
      <c r="E246" s="57">
        <v>0</v>
      </c>
      <c r="F246" s="57"/>
      <c r="G246" s="57">
        <v>0</v>
      </c>
      <c r="H246" s="57">
        <v>1071.7833500000002</v>
      </c>
      <c r="I246" s="57">
        <v>11689.936820000001</v>
      </c>
    </row>
    <row r="247" spans="1:9" ht="12" customHeight="1" x14ac:dyDescent="0.25">
      <c r="A247" s="55">
        <v>2022</v>
      </c>
      <c r="B247" s="55" t="s">
        <v>9</v>
      </c>
      <c r="C247" s="57">
        <v>0</v>
      </c>
      <c r="D247" s="57">
        <v>8530.3992999999991</v>
      </c>
      <c r="E247" s="57">
        <v>0</v>
      </c>
      <c r="F247" s="57"/>
      <c r="G247" s="57">
        <v>0</v>
      </c>
      <c r="H247" s="57">
        <v>1541.99576</v>
      </c>
      <c r="I247" s="57">
        <v>10072.395059999999</v>
      </c>
    </row>
    <row r="248" spans="1:9" ht="12" customHeight="1" x14ac:dyDescent="0.25">
      <c r="A248" s="55">
        <v>2022</v>
      </c>
      <c r="B248" s="55" t="s">
        <v>10</v>
      </c>
      <c r="C248" s="57">
        <v>0</v>
      </c>
      <c r="D248" s="57">
        <v>10073.88919</v>
      </c>
      <c r="E248" s="57">
        <v>0</v>
      </c>
      <c r="F248" s="57"/>
      <c r="G248" s="57">
        <v>0</v>
      </c>
      <c r="H248" s="57">
        <v>0</v>
      </c>
      <c r="I248" s="57">
        <v>10073.88919</v>
      </c>
    </row>
    <row r="249" spans="1:9" ht="12" customHeight="1" x14ac:dyDescent="0.25">
      <c r="A249" s="55">
        <v>2022</v>
      </c>
      <c r="B249" s="55" t="s">
        <v>11</v>
      </c>
      <c r="C249" s="57">
        <v>0</v>
      </c>
      <c r="D249" s="57">
        <v>5991.866140000001</v>
      </c>
      <c r="E249" s="57">
        <v>0</v>
      </c>
      <c r="F249" s="57"/>
      <c r="G249" s="57">
        <v>0</v>
      </c>
      <c r="H249" s="57">
        <v>1420.1356499999999</v>
      </c>
      <c r="I249" s="57">
        <v>7412.0017900000012</v>
      </c>
    </row>
    <row r="250" spans="1:9" ht="12" customHeight="1" x14ac:dyDescent="0.25">
      <c r="A250" s="55">
        <v>2022</v>
      </c>
      <c r="B250" s="55" t="s">
        <v>12</v>
      </c>
      <c r="C250" s="57">
        <v>0</v>
      </c>
      <c r="D250" s="57">
        <v>6333.1804499999998</v>
      </c>
      <c r="E250" s="57">
        <v>0</v>
      </c>
      <c r="F250" s="57"/>
      <c r="G250" s="57">
        <v>0</v>
      </c>
      <c r="H250" s="57">
        <v>971.85390000000007</v>
      </c>
      <c r="I250" s="57">
        <v>7305.0343499999999</v>
      </c>
    </row>
    <row r="251" spans="1:9" ht="12" customHeight="1" x14ac:dyDescent="0.25">
      <c r="A251" s="55">
        <v>2022</v>
      </c>
      <c r="B251" s="55" t="s">
        <v>13</v>
      </c>
      <c r="C251" s="57">
        <v>0</v>
      </c>
      <c r="D251" s="57">
        <v>7279.5716400000001</v>
      </c>
      <c r="E251" s="57">
        <v>0</v>
      </c>
      <c r="F251" s="57"/>
      <c r="G251" s="57">
        <v>839.95621999999992</v>
      </c>
      <c r="H251" s="57">
        <v>1805.9158</v>
      </c>
      <c r="I251" s="57">
        <v>9925.4436600000008</v>
      </c>
    </row>
    <row r="252" spans="1:9" ht="12" customHeight="1" x14ac:dyDescent="0.25">
      <c r="A252" s="55">
        <v>2022</v>
      </c>
      <c r="B252" s="55" t="s">
        <v>14</v>
      </c>
      <c r="C252" s="57">
        <v>0</v>
      </c>
      <c r="D252" s="57">
        <v>12551.94873</v>
      </c>
      <c r="E252" s="57">
        <v>0</v>
      </c>
      <c r="F252" s="57"/>
      <c r="G252" s="57">
        <v>0</v>
      </c>
      <c r="H252" s="57">
        <v>1912.1706000000001</v>
      </c>
      <c r="I252" s="57">
        <v>14464.11933</v>
      </c>
    </row>
    <row r="253" spans="1:9" ht="12" customHeight="1" x14ac:dyDescent="0.25">
      <c r="A253" s="55">
        <v>2022</v>
      </c>
      <c r="B253" s="55" t="s">
        <v>15</v>
      </c>
      <c r="C253" s="57">
        <v>0</v>
      </c>
      <c r="D253" s="57">
        <v>128841.07378000001</v>
      </c>
      <c r="E253" s="57">
        <v>0</v>
      </c>
      <c r="F253" s="57"/>
      <c r="G253" s="57">
        <v>1919.51361</v>
      </c>
      <c r="H253" s="57">
        <v>12641.74035</v>
      </c>
      <c r="I253" s="57">
        <v>143402.32774000001</v>
      </c>
    </row>
    <row r="254" spans="1:9" ht="12" customHeight="1" x14ac:dyDescent="0.25">
      <c r="A254" s="55">
        <v>2023</v>
      </c>
      <c r="B254" s="55" t="s">
        <v>3</v>
      </c>
      <c r="C254" s="57">
        <v>0</v>
      </c>
      <c r="D254" s="57">
        <v>7101.7540499999986</v>
      </c>
      <c r="E254" s="57">
        <v>0</v>
      </c>
      <c r="F254" s="57">
        <v>0</v>
      </c>
      <c r="G254" s="57">
        <v>0</v>
      </c>
      <c r="H254" s="57">
        <v>426.26878999999997</v>
      </c>
      <c r="I254" s="57">
        <v>7528.0228399999987</v>
      </c>
    </row>
    <row r="255" spans="1:9" ht="12" customHeight="1" x14ac:dyDescent="0.25">
      <c r="A255" s="55">
        <v>2023</v>
      </c>
      <c r="B255" s="55" t="s">
        <v>4</v>
      </c>
      <c r="C255" s="57">
        <v>0</v>
      </c>
      <c r="D255" s="57">
        <v>7188.5661000000009</v>
      </c>
      <c r="E255" s="57">
        <v>0</v>
      </c>
      <c r="F255" s="57">
        <v>0</v>
      </c>
      <c r="G255" s="57">
        <v>0</v>
      </c>
      <c r="H255" s="57">
        <v>997.27103</v>
      </c>
      <c r="I255" s="57">
        <v>8185.8371300000008</v>
      </c>
    </row>
    <row r="256" spans="1:9" ht="12" customHeight="1" x14ac:dyDescent="0.25">
      <c r="A256" s="55">
        <v>2023</v>
      </c>
      <c r="B256" s="55" t="s">
        <v>5</v>
      </c>
      <c r="C256" s="57">
        <v>0</v>
      </c>
      <c r="D256" s="57">
        <v>10045.23013</v>
      </c>
      <c r="E256" s="57">
        <v>0</v>
      </c>
      <c r="F256" s="57">
        <v>0</v>
      </c>
      <c r="G256" s="57">
        <v>0</v>
      </c>
      <c r="H256" s="57">
        <v>978.68430000000001</v>
      </c>
      <c r="I256" s="57">
        <v>11023.914430000001</v>
      </c>
    </row>
    <row r="257" spans="1:9" ht="12" customHeight="1" x14ac:dyDescent="0.25">
      <c r="A257" s="55">
        <v>2023</v>
      </c>
      <c r="B257" s="55" t="s">
        <v>6</v>
      </c>
      <c r="C257" s="57">
        <v>0</v>
      </c>
      <c r="D257" s="57">
        <v>9192.8654100000022</v>
      </c>
      <c r="E257" s="57">
        <v>0</v>
      </c>
      <c r="F257" s="57">
        <v>0</v>
      </c>
      <c r="G257" s="57">
        <v>0</v>
      </c>
      <c r="H257" s="57">
        <v>0</v>
      </c>
      <c r="I257" s="57">
        <v>9192.8654100000022</v>
      </c>
    </row>
    <row r="258" spans="1:9" ht="12" customHeight="1" x14ac:dyDescent="0.25">
      <c r="A258" s="55">
        <v>2023</v>
      </c>
      <c r="B258" s="55" t="s">
        <v>7</v>
      </c>
      <c r="C258" s="57">
        <v>0</v>
      </c>
      <c r="D258" s="57">
        <v>1964.2686800000001</v>
      </c>
      <c r="E258" s="57">
        <v>0</v>
      </c>
      <c r="F258" s="57">
        <v>0</v>
      </c>
      <c r="G258" s="57">
        <v>1083.7040200000001</v>
      </c>
      <c r="H258" s="57">
        <v>1371.53448</v>
      </c>
      <c r="I258" s="57">
        <v>4419.5071800000005</v>
      </c>
    </row>
    <row r="259" spans="1:9" ht="12" customHeight="1" x14ac:dyDescent="0.25">
      <c r="A259" s="55">
        <v>2023</v>
      </c>
      <c r="B259" s="55" t="s">
        <v>8</v>
      </c>
      <c r="C259" s="57">
        <v>0</v>
      </c>
      <c r="D259" s="57">
        <v>5289.51271</v>
      </c>
      <c r="E259" s="57">
        <v>0</v>
      </c>
      <c r="F259" s="57">
        <v>0</v>
      </c>
      <c r="G259" s="57">
        <v>2781.5450000000001</v>
      </c>
      <c r="H259" s="57">
        <v>0</v>
      </c>
      <c r="I259" s="57">
        <v>8071.05771</v>
      </c>
    </row>
    <row r="260" spans="1:9" ht="12" customHeight="1" x14ac:dyDescent="0.25">
      <c r="A260" s="55">
        <v>2023</v>
      </c>
      <c r="B260" s="55" t="s">
        <v>9</v>
      </c>
      <c r="C260" s="57">
        <v>0</v>
      </c>
      <c r="D260" s="57">
        <v>3945.1173899999999</v>
      </c>
      <c r="E260" s="57">
        <v>0</v>
      </c>
      <c r="F260" s="57">
        <v>0</v>
      </c>
      <c r="G260" s="57">
        <v>0</v>
      </c>
      <c r="H260" s="57">
        <v>1748.96648</v>
      </c>
      <c r="I260" s="57">
        <v>5694.0838700000004</v>
      </c>
    </row>
    <row r="261" spans="1:9" ht="12" customHeight="1" x14ac:dyDescent="0.25">
      <c r="A261" s="55">
        <v>2023</v>
      </c>
      <c r="B261" s="55" t="s">
        <v>10</v>
      </c>
      <c r="C261" s="57">
        <v>0</v>
      </c>
      <c r="D261" s="57">
        <v>10894.96924</v>
      </c>
      <c r="E261" s="57">
        <v>0</v>
      </c>
      <c r="F261" s="57">
        <v>0</v>
      </c>
      <c r="G261" s="57">
        <v>1102.4261399999998</v>
      </c>
      <c r="H261" s="57">
        <v>0</v>
      </c>
      <c r="I261" s="57">
        <v>11997.39538</v>
      </c>
    </row>
    <row r="262" spans="1:9" ht="12" customHeight="1" x14ac:dyDescent="0.25">
      <c r="A262" s="55">
        <v>2023</v>
      </c>
      <c r="B262" s="55" t="s">
        <v>11</v>
      </c>
      <c r="C262" s="57">
        <v>0</v>
      </c>
      <c r="D262" s="57">
        <v>3817.1429199999998</v>
      </c>
      <c r="E262" s="57">
        <v>0</v>
      </c>
      <c r="F262" s="57">
        <v>0</v>
      </c>
      <c r="G262" s="57">
        <v>0</v>
      </c>
      <c r="H262" s="57">
        <v>0</v>
      </c>
      <c r="I262" s="57">
        <v>3817.1429199999998</v>
      </c>
    </row>
    <row r="263" spans="1:9" ht="12" customHeight="1" x14ac:dyDescent="0.25">
      <c r="A263" s="55">
        <v>2023</v>
      </c>
      <c r="B263" s="55" t="s">
        <v>12</v>
      </c>
      <c r="C263" s="57">
        <v>0</v>
      </c>
      <c r="D263" s="57">
        <v>6984.4337899999991</v>
      </c>
      <c r="E263" s="57">
        <v>0</v>
      </c>
      <c r="F263" s="57">
        <v>0</v>
      </c>
      <c r="G263" s="57">
        <v>0</v>
      </c>
      <c r="H263" s="57">
        <v>0</v>
      </c>
      <c r="I263" s="57">
        <v>6984.4337899999991</v>
      </c>
    </row>
    <row r="264" spans="1:9" ht="12" customHeight="1" x14ac:dyDescent="0.25">
      <c r="A264" s="55">
        <v>2023</v>
      </c>
      <c r="B264" s="55" t="s">
        <v>13</v>
      </c>
      <c r="C264" s="57">
        <v>0</v>
      </c>
      <c r="D264" s="57">
        <v>12734.413540000003</v>
      </c>
      <c r="E264" s="57">
        <v>0</v>
      </c>
      <c r="F264" s="57">
        <v>0</v>
      </c>
      <c r="G264" s="57">
        <v>0</v>
      </c>
      <c r="H264" s="57">
        <v>0</v>
      </c>
      <c r="I264" s="57">
        <v>12734.413540000003</v>
      </c>
    </row>
    <row r="265" spans="1:9" ht="12" customHeight="1" x14ac:dyDescent="0.25">
      <c r="A265" s="55">
        <v>2023</v>
      </c>
      <c r="B265" s="56" t="s">
        <v>14</v>
      </c>
      <c r="C265" s="45">
        <v>0</v>
      </c>
      <c r="D265" s="45">
        <v>3700.1957199999997</v>
      </c>
      <c r="E265" s="45">
        <v>0</v>
      </c>
      <c r="F265" s="45">
        <v>0</v>
      </c>
      <c r="G265" s="45">
        <v>0</v>
      </c>
      <c r="H265" s="45">
        <v>0</v>
      </c>
      <c r="I265" s="45">
        <v>3700.1957199999997</v>
      </c>
    </row>
    <row r="266" spans="1:9" ht="12" customHeight="1" x14ac:dyDescent="0.25">
      <c r="A266" s="55">
        <v>2023</v>
      </c>
      <c r="B266" s="56" t="s">
        <v>15</v>
      </c>
      <c r="C266" s="45">
        <v>0</v>
      </c>
      <c r="D266" s="45">
        <v>82858.469680000009</v>
      </c>
      <c r="E266" s="45">
        <v>0</v>
      </c>
      <c r="F266" s="45">
        <v>0</v>
      </c>
      <c r="G266" s="45">
        <v>4967.6751599999998</v>
      </c>
      <c r="H266" s="45">
        <v>5522.7250800000002</v>
      </c>
      <c r="I266" s="45">
        <v>93348.869920000012</v>
      </c>
    </row>
    <row r="267" spans="1:9" ht="12" customHeight="1" x14ac:dyDescent="0.25">
      <c r="A267" s="91">
        <v>2024</v>
      </c>
      <c r="B267" s="92" t="s">
        <v>3</v>
      </c>
      <c r="C267" s="45">
        <v>0</v>
      </c>
      <c r="D267" s="45">
        <v>9446.6679299999996</v>
      </c>
      <c r="E267" s="45">
        <v>0</v>
      </c>
      <c r="F267" s="45">
        <v>0</v>
      </c>
      <c r="G267" s="45">
        <v>0</v>
      </c>
      <c r="H267" s="45">
        <v>0</v>
      </c>
      <c r="I267" s="45">
        <v>9446.6679299999996</v>
      </c>
    </row>
    <row r="268" spans="1:9" ht="12" customHeight="1" x14ac:dyDescent="0.25">
      <c r="A268" s="91">
        <v>2024</v>
      </c>
      <c r="B268" s="92" t="s">
        <v>4</v>
      </c>
      <c r="C268" s="45">
        <v>0</v>
      </c>
      <c r="D268" s="45">
        <v>8008.5782700000018</v>
      </c>
      <c r="E268" s="45">
        <v>0</v>
      </c>
      <c r="F268" s="45">
        <v>0</v>
      </c>
      <c r="G268" s="45">
        <v>0</v>
      </c>
      <c r="H268" s="45">
        <v>0</v>
      </c>
      <c r="I268" s="45">
        <v>8008.5782700000018</v>
      </c>
    </row>
    <row r="269" spans="1:9" ht="12" customHeight="1" x14ac:dyDescent="0.25">
      <c r="A269" s="91">
        <v>2024</v>
      </c>
      <c r="B269" s="92" t="s">
        <v>5</v>
      </c>
      <c r="C269" s="45">
        <v>0</v>
      </c>
      <c r="D269" s="45">
        <v>5282.2227400000002</v>
      </c>
      <c r="E269" s="45">
        <v>0</v>
      </c>
      <c r="F269" s="45">
        <v>0</v>
      </c>
      <c r="G269" s="45">
        <v>0</v>
      </c>
      <c r="H269" s="45">
        <v>0</v>
      </c>
      <c r="I269" s="45">
        <v>5282.2227400000002</v>
      </c>
    </row>
    <row r="270" spans="1:9" ht="12" customHeight="1" x14ac:dyDescent="0.25">
      <c r="A270" s="91">
        <v>2024</v>
      </c>
      <c r="B270" s="92" t="s">
        <v>6</v>
      </c>
      <c r="C270" s="45">
        <v>0</v>
      </c>
      <c r="D270" s="45">
        <v>2142.7067099999999</v>
      </c>
      <c r="E270" s="45">
        <v>0</v>
      </c>
      <c r="F270" s="45">
        <v>0</v>
      </c>
      <c r="G270" s="45">
        <v>0</v>
      </c>
      <c r="H270" s="45">
        <v>0</v>
      </c>
      <c r="I270" s="45">
        <v>2142.7067099999999</v>
      </c>
    </row>
    <row r="271" spans="1:9" ht="12" customHeight="1" x14ac:dyDescent="0.25">
      <c r="A271" s="91">
        <v>2024</v>
      </c>
      <c r="B271" s="92" t="s">
        <v>7</v>
      </c>
      <c r="C271" s="45">
        <v>0</v>
      </c>
      <c r="D271" s="45">
        <v>4926.8498900000004</v>
      </c>
      <c r="E271" s="45">
        <v>0</v>
      </c>
      <c r="F271" s="45">
        <v>0</v>
      </c>
      <c r="G271" s="45">
        <v>0</v>
      </c>
      <c r="H271" s="45">
        <v>821.27071000000001</v>
      </c>
      <c r="I271" s="45">
        <v>5748.1206000000002</v>
      </c>
    </row>
    <row r="272" spans="1:9" ht="12" customHeight="1" x14ac:dyDescent="0.25">
      <c r="A272" s="91">
        <v>2024</v>
      </c>
      <c r="B272" s="92" t="s">
        <v>8</v>
      </c>
      <c r="C272" s="45">
        <v>0</v>
      </c>
      <c r="D272" s="45">
        <v>3278.2017000000001</v>
      </c>
      <c r="E272" s="45">
        <v>0</v>
      </c>
      <c r="F272" s="45">
        <v>0</v>
      </c>
      <c r="G272" s="45">
        <v>1139.23523</v>
      </c>
      <c r="H272" s="45">
        <v>0</v>
      </c>
      <c r="I272" s="45">
        <v>4417.4369299999998</v>
      </c>
    </row>
    <row r="273" spans="1:9" ht="12" customHeight="1" x14ac:dyDescent="0.25">
      <c r="A273" s="91">
        <v>2024</v>
      </c>
      <c r="B273" s="92" t="s">
        <v>9</v>
      </c>
      <c r="C273" s="45">
        <v>0</v>
      </c>
      <c r="D273" s="45">
        <v>4531.6787700000004</v>
      </c>
      <c r="E273" s="45">
        <v>0</v>
      </c>
      <c r="F273" s="45">
        <v>0</v>
      </c>
      <c r="G273" s="45">
        <v>0</v>
      </c>
      <c r="H273" s="45">
        <v>0</v>
      </c>
      <c r="I273" s="45">
        <v>4531.6787700000004</v>
      </c>
    </row>
    <row r="274" spans="1:9" ht="12" customHeight="1" x14ac:dyDescent="0.25">
      <c r="A274" s="91">
        <v>2024</v>
      </c>
      <c r="B274" s="92" t="s">
        <v>10</v>
      </c>
      <c r="C274" s="45">
        <v>0</v>
      </c>
      <c r="D274" s="45">
        <v>4913.30987</v>
      </c>
      <c r="E274" s="45">
        <v>0</v>
      </c>
      <c r="F274" s="45">
        <v>0</v>
      </c>
      <c r="G274" s="45">
        <v>0</v>
      </c>
      <c r="H274" s="45">
        <v>622.59061999999994</v>
      </c>
      <c r="I274" s="45">
        <v>5535.90049</v>
      </c>
    </row>
    <row r="275" spans="1:9" ht="12" customHeight="1" x14ac:dyDescent="0.25">
      <c r="A275" s="91">
        <v>2024</v>
      </c>
      <c r="B275" s="92" t="s">
        <v>11</v>
      </c>
      <c r="C275" s="45">
        <v>0</v>
      </c>
      <c r="D275" s="45">
        <v>6029.1077500000001</v>
      </c>
      <c r="E275" s="45">
        <v>0</v>
      </c>
      <c r="F275" s="45">
        <v>0</v>
      </c>
      <c r="G275" s="45">
        <v>0</v>
      </c>
      <c r="H275" s="45">
        <v>0</v>
      </c>
      <c r="I275" s="45">
        <v>6029.1077500000001</v>
      </c>
    </row>
    <row r="276" spans="1:9" ht="12" customHeight="1" x14ac:dyDescent="0.25">
      <c r="A276" s="91">
        <v>2024</v>
      </c>
      <c r="B276" s="92" t="s">
        <v>12</v>
      </c>
      <c r="C276" s="45">
        <v>0</v>
      </c>
      <c r="D276" s="45">
        <v>2080.2833100000003</v>
      </c>
      <c r="E276" s="45">
        <v>0</v>
      </c>
      <c r="F276" s="45">
        <v>0</v>
      </c>
      <c r="G276" s="45">
        <v>0</v>
      </c>
      <c r="H276" s="45">
        <v>0</v>
      </c>
      <c r="I276" s="45">
        <v>2080.2833100000003</v>
      </c>
    </row>
    <row r="277" spans="1:9" ht="12" customHeight="1" x14ac:dyDescent="0.25">
      <c r="A277" s="91">
        <v>2024</v>
      </c>
      <c r="B277" s="92" t="s">
        <v>13</v>
      </c>
      <c r="C277" s="45">
        <v>0</v>
      </c>
      <c r="D277" s="45">
        <v>3233.3952700000004</v>
      </c>
      <c r="E277" s="45">
        <v>0</v>
      </c>
      <c r="F277" s="45">
        <v>0</v>
      </c>
      <c r="G277" s="45">
        <v>0</v>
      </c>
      <c r="H277" s="45">
        <v>0</v>
      </c>
      <c r="I277" s="45">
        <v>3233.3952700000004</v>
      </c>
    </row>
    <row r="278" spans="1:9" ht="12" customHeight="1" x14ac:dyDescent="0.25">
      <c r="A278" s="91">
        <v>2024</v>
      </c>
      <c r="B278" s="92" t="s">
        <v>14</v>
      </c>
      <c r="C278" s="45">
        <v>0</v>
      </c>
      <c r="D278" s="45">
        <v>3025.6372299999998</v>
      </c>
      <c r="E278" s="45">
        <v>0</v>
      </c>
      <c r="F278" s="45">
        <v>0</v>
      </c>
      <c r="G278" s="45">
        <v>0</v>
      </c>
      <c r="H278" s="45">
        <v>1183.7452599999999</v>
      </c>
      <c r="I278" s="45">
        <v>4209.38249</v>
      </c>
    </row>
    <row r="279" spans="1:9" ht="12" customHeight="1" x14ac:dyDescent="0.25">
      <c r="A279" s="91">
        <v>2024</v>
      </c>
      <c r="B279" s="92" t="s">
        <v>15</v>
      </c>
      <c r="C279" s="45">
        <v>0</v>
      </c>
      <c r="D279" s="45">
        <v>56898.639439999999</v>
      </c>
      <c r="E279" s="45">
        <v>0</v>
      </c>
      <c r="F279" s="45">
        <v>0</v>
      </c>
      <c r="G279" s="45">
        <v>1139.23523</v>
      </c>
      <c r="H279" s="45">
        <v>2627.6065899999999</v>
      </c>
      <c r="I279" s="45">
        <v>60665.48126</v>
      </c>
    </row>
    <row r="280" spans="1:9" ht="12" customHeight="1" x14ac:dyDescent="0.25">
      <c r="A280" s="55">
        <v>2025</v>
      </c>
      <c r="B280" s="56" t="s">
        <v>3</v>
      </c>
      <c r="C280" s="45">
        <v>0</v>
      </c>
      <c r="D280" s="45">
        <v>10452.64716</v>
      </c>
      <c r="E280" s="45">
        <v>0</v>
      </c>
      <c r="F280" s="45">
        <v>0</v>
      </c>
      <c r="G280" s="45">
        <v>1038.8891999999998</v>
      </c>
      <c r="H280" s="45">
        <v>0</v>
      </c>
      <c r="I280" s="45">
        <v>11491.53636</v>
      </c>
    </row>
    <row r="281" spans="1:9" ht="12" customHeight="1" x14ac:dyDescent="0.25">
      <c r="A281" s="55">
        <v>2025</v>
      </c>
      <c r="B281" s="56" t="s">
        <v>4</v>
      </c>
      <c r="C281" s="45">
        <v>0</v>
      </c>
      <c r="D281" s="45">
        <v>9257.8814500000008</v>
      </c>
      <c r="E281" s="45">
        <v>0</v>
      </c>
      <c r="F281" s="45">
        <v>0</v>
      </c>
      <c r="G281" s="45">
        <v>0</v>
      </c>
      <c r="H281" s="45">
        <v>0</v>
      </c>
      <c r="I281" s="45">
        <v>9257.8814500000008</v>
      </c>
    </row>
    <row r="282" spans="1:9" ht="12" customHeight="1" x14ac:dyDescent="0.25">
      <c r="A282" s="55">
        <v>2025</v>
      </c>
      <c r="B282" s="56" t="s">
        <v>5</v>
      </c>
      <c r="C282" s="45">
        <v>0</v>
      </c>
      <c r="D282" s="45">
        <v>11832.890730000001</v>
      </c>
      <c r="E282" s="45">
        <v>0</v>
      </c>
      <c r="F282" s="45">
        <v>0</v>
      </c>
      <c r="G282" s="45">
        <v>0</v>
      </c>
      <c r="H282" s="45">
        <v>0</v>
      </c>
      <c r="I282" s="45">
        <v>11832.890730000001</v>
      </c>
    </row>
    <row r="283" spans="1:9" ht="12" customHeight="1" x14ac:dyDescent="0.25">
      <c r="A283" s="55">
        <v>2025</v>
      </c>
      <c r="B283" s="56" t="s">
        <v>6</v>
      </c>
      <c r="C283" s="45">
        <v>0</v>
      </c>
      <c r="D283" s="45">
        <v>14454.13888</v>
      </c>
      <c r="E283" s="45">
        <v>0</v>
      </c>
      <c r="F283" s="45">
        <v>0</v>
      </c>
      <c r="G283" s="45">
        <v>1104.1993799999998</v>
      </c>
      <c r="H283" s="45">
        <v>0</v>
      </c>
      <c r="I283" s="45">
        <v>15558.33826</v>
      </c>
    </row>
    <row r="284" spans="1:9" ht="12" customHeight="1" x14ac:dyDescent="0.25">
      <c r="A284" s="55">
        <v>2025</v>
      </c>
      <c r="B284" s="56" t="s">
        <v>7</v>
      </c>
      <c r="C284" s="45">
        <v>0</v>
      </c>
      <c r="D284" s="45">
        <v>9169.7361899999996</v>
      </c>
      <c r="E284" s="45">
        <v>167.58339000000001</v>
      </c>
      <c r="F284" s="45">
        <v>0</v>
      </c>
      <c r="G284" s="45">
        <v>0</v>
      </c>
      <c r="H284" s="45">
        <v>0</v>
      </c>
      <c r="I284" s="45">
        <v>9337.3195799999994</v>
      </c>
    </row>
    <row r="285" spans="1:9" ht="12" customHeight="1" x14ac:dyDescent="0.25">
      <c r="A285" s="55">
        <v>2025</v>
      </c>
      <c r="B285" s="56" t="s">
        <v>8</v>
      </c>
      <c r="C285" s="45">
        <v>0</v>
      </c>
      <c r="D285" s="45">
        <v>4133.7673199999999</v>
      </c>
      <c r="E285" s="45">
        <v>0</v>
      </c>
      <c r="F285" s="45">
        <v>0</v>
      </c>
      <c r="G285" s="45">
        <v>2205.7420000000002</v>
      </c>
      <c r="H285" s="45">
        <v>0</v>
      </c>
      <c r="I285" s="45">
        <v>6339.5093200000001</v>
      </c>
    </row>
    <row r="286" spans="1:9" ht="12" customHeight="1" x14ac:dyDescent="0.25">
      <c r="A286" s="55">
        <v>2025</v>
      </c>
      <c r="B286" s="56" t="s">
        <v>9</v>
      </c>
      <c r="C286" s="45">
        <v>0</v>
      </c>
      <c r="D286" s="45">
        <v>7381.36175</v>
      </c>
      <c r="E286" s="45">
        <v>0</v>
      </c>
      <c r="F286" s="45">
        <v>0</v>
      </c>
      <c r="G286" s="45">
        <v>1094.7975300000001</v>
      </c>
      <c r="H286" s="45">
        <v>0</v>
      </c>
      <c r="I286" s="45">
        <v>8476.1592799999999</v>
      </c>
    </row>
    <row r="287" spans="1:9" ht="12" customHeight="1" x14ac:dyDescent="0.25">
      <c r="A287" s="55">
        <v>2025</v>
      </c>
      <c r="B287" s="56" t="s">
        <v>10</v>
      </c>
      <c r="C287" s="45">
        <v>0</v>
      </c>
      <c r="D287" s="45">
        <v>10580.44371</v>
      </c>
      <c r="E287" s="45">
        <v>0</v>
      </c>
      <c r="F287" s="45">
        <v>0</v>
      </c>
      <c r="G287" s="45">
        <v>0</v>
      </c>
      <c r="H287" s="45">
        <v>0</v>
      </c>
      <c r="I287" s="45">
        <v>10580.44371</v>
      </c>
    </row>
    <row r="288" spans="1:9" ht="12" customHeight="1" x14ac:dyDescent="0.25">
      <c r="A288" s="55">
        <v>2025</v>
      </c>
      <c r="B288" s="56" t="s">
        <v>11</v>
      </c>
      <c r="C288" s="45">
        <v>0</v>
      </c>
      <c r="D288" s="45">
        <v>7439.2576000000008</v>
      </c>
      <c r="E288" s="45">
        <v>0</v>
      </c>
      <c r="F288" s="45">
        <v>0</v>
      </c>
      <c r="G288" s="45">
        <v>0</v>
      </c>
      <c r="H288" s="45">
        <v>854.10956999999996</v>
      </c>
      <c r="I288" s="45">
        <v>8293.3671700000014</v>
      </c>
    </row>
    <row r="289" spans="1:9" ht="12" customHeight="1" x14ac:dyDescent="0.25">
      <c r="A289" s="55">
        <v>2025</v>
      </c>
      <c r="B289" s="56" t="s">
        <v>12</v>
      </c>
      <c r="C289" s="45">
        <v>0</v>
      </c>
      <c r="D289" s="45">
        <v>13702.10311</v>
      </c>
      <c r="E289" s="45">
        <v>0</v>
      </c>
      <c r="F289" s="45">
        <v>0</v>
      </c>
      <c r="G289" s="45">
        <v>0</v>
      </c>
      <c r="H289" s="45">
        <v>991.92318999999998</v>
      </c>
      <c r="I289" s="45">
        <v>14694.0263</v>
      </c>
    </row>
    <row r="290" spans="1:9" ht="12" customHeight="1" x14ac:dyDescent="0.25">
      <c r="A290" s="55">
        <v>2025</v>
      </c>
      <c r="B290" s="56" t="s">
        <v>13</v>
      </c>
      <c r="C290" s="45">
        <v>0</v>
      </c>
      <c r="D290" s="45">
        <v>7241.8979200000003</v>
      </c>
      <c r="E290" s="45">
        <v>0</v>
      </c>
      <c r="F290" s="45">
        <v>0</v>
      </c>
      <c r="G290" s="45">
        <v>0</v>
      </c>
      <c r="H290" s="45">
        <v>826.81478000000004</v>
      </c>
      <c r="I290" s="45">
        <v>8068.7127</v>
      </c>
    </row>
    <row r="291" spans="1:9" ht="12" customHeight="1" x14ac:dyDescent="0.25">
      <c r="A291" s="99">
        <v>2025</v>
      </c>
      <c r="B291" s="56" t="s">
        <v>14</v>
      </c>
      <c r="C291" s="100">
        <v>0</v>
      </c>
      <c r="D291" s="45">
        <v>6050.278659999999</v>
      </c>
      <c r="E291" s="45">
        <v>0</v>
      </c>
      <c r="F291" s="45">
        <v>0</v>
      </c>
      <c r="G291" s="45">
        <v>1105.3626000000002</v>
      </c>
      <c r="H291" s="45">
        <v>0</v>
      </c>
      <c r="I291" s="101">
        <v>7155.6412599999994</v>
      </c>
    </row>
    <row r="292" spans="1:9" ht="12" customHeight="1" x14ac:dyDescent="0.25">
      <c r="A292" s="99">
        <v>2025</v>
      </c>
      <c r="B292" s="56" t="s">
        <v>15</v>
      </c>
      <c r="C292" s="100">
        <v>0</v>
      </c>
      <c r="D292" s="45">
        <v>111696.40447999998</v>
      </c>
      <c r="E292" s="45">
        <v>167.58339000000001</v>
      </c>
      <c r="F292" s="45">
        <v>0</v>
      </c>
      <c r="G292" s="45">
        <v>6548.99071</v>
      </c>
      <c r="H292" s="45">
        <v>2672.8475400000002</v>
      </c>
      <c r="I292" s="101">
        <v>121085.82611999998</v>
      </c>
    </row>
    <row r="293" spans="1:9" ht="12" customHeight="1" x14ac:dyDescent="0.25">
      <c r="A293" s="91">
        <v>2026</v>
      </c>
      <c r="B293" s="92" t="s">
        <v>3</v>
      </c>
      <c r="C293" s="45">
        <v>0</v>
      </c>
      <c r="D293" s="45">
        <v>15284.363469999998</v>
      </c>
      <c r="E293" s="45">
        <v>0</v>
      </c>
      <c r="F293" s="45">
        <v>0</v>
      </c>
      <c r="G293" s="45">
        <v>0</v>
      </c>
      <c r="H293" s="45">
        <v>0</v>
      </c>
      <c r="I293" s="45">
        <v>15284.363469999998</v>
      </c>
    </row>
    <row r="294" spans="1:9" ht="12" customHeight="1" x14ac:dyDescent="0.25">
      <c r="A294" s="91">
        <v>2026</v>
      </c>
      <c r="B294" s="92" t="s">
        <v>4</v>
      </c>
      <c r="C294" s="45">
        <v>0</v>
      </c>
      <c r="D294" s="45">
        <v>9796.1807099999987</v>
      </c>
      <c r="E294" s="45">
        <v>0</v>
      </c>
      <c r="F294" s="45">
        <v>0</v>
      </c>
      <c r="G294" s="45">
        <v>0</v>
      </c>
      <c r="H294" s="45">
        <v>0</v>
      </c>
      <c r="I294" s="45">
        <v>9796.1807099999987</v>
      </c>
    </row>
    <row r="295" spans="1:9" ht="12" customHeight="1" x14ac:dyDescent="0.25">
      <c r="A295" s="91">
        <v>2026</v>
      </c>
      <c r="B295" s="92" t="s">
        <v>5</v>
      </c>
      <c r="C295" s="45">
        <v>0</v>
      </c>
      <c r="D295" s="45">
        <v>11938.07864</v>
      </c>
      <c r="E295" s="45">
        <v>0</v>
      </c>
      <c r="F295" s="45">
        <v>0</v>
      </c>
      <c r="G295" s="45">
        <v>0</v>
      </c>
      <c r="H295" s="45">
        <v>0</v>
      </c>
      <c r="I295" s="45">
        <v>11938.07864</v>
      </c>
    </row>
    <row r="296" spans="1:9" ht="12" customHeight="1" x14ac:dyDescent="0.25">
      <c r="A296" s="91">
        <v>2026</v>
      </c>
      <c r="B296" s="92" t="s">
        <v>6</v>
      </c>
      <c r="C296" s="45">
        <v>0</v>
      </c>
      <c r="D296" s="45">
        <v>10071.217290000001</v>
      </c>
      <c r="E296" s="45">
        <v>0</v>
      </c>
      <c r="F296" s="45">
        <v>0</v>
      </c>
      <c r="G296" s="45">
        <v>0</v>
      </c>
      <c r="H296" s="45">
        <v>0</v>
      </c>
      <c r="I296" s="45">
        <v>10071.217290000001</v>
      </c>
    </row>
    <row r="297" spans="1:9" ht="12" customHeight="1" x14ac:dyDescent="0.25">
      <c r="A297" s="91">
        <v>2026</v>
      </c>
      <c r="B297" s="92" t="s">
        <v>7</v>
      </c>
      <c r="C297" s="45">
        <v>0</v>
      </c>
      <c r="D297" s="45">
        <v>4762.5891599999995</v>
      </c>
      <c r="E297" s="45">
        <v>0</v>
      </c>
      <c r="F297" s="45">
        <v>998.99968000000001</v>
      </c>
      <c r="G297" s="45">
        <v>0</v>
      </c>
      <c r="H297" s="45">
        <v>0</v>
      </c>
      <c r="I297" s="45">
        <v>5761.5888399999994</v>
      </c>
    </row>
    <row r="298" spans="1:9" ht="12" customHeight="1" x14ac:dyDescent="0.25">
      <c r="A298" s="91">
        <v>2026</v>
      </c>
      <c r="B298" s="92" t="s">
        <v>8</v>
      </c>
      <c r="C298" s="45">
        <v>0</v>
      </c>
      <c r="D298" s="45">
        <v>3127.1714400000005</v>
      </c>
      <c r="E298" s="45">
        <v>0</v>
      </c>
      <c r="F298" s="45">
        <v>0</v>
      </c>
      <c r="G298" s="45">
        <v>1065.39645</v>
      </c>
      <c r="H298" s="45">
        <v>0</v>
      </c>
      <c r="I298" s="45">
        <v>4192.5678900000003</v>
      </c>
    </row>
    <row r="299" spans="1:9" ht="12" customHeight="1" x14ac:dyDescent="0.25">
      <c r="A299" s="91">
        <v>2026</v>
      </c>
      <c r="B299" s="92" t="s">
        <v>9</v>
      </c>
      <c r="C299" s="45">
        <v>0</v>
      </c>
      <c r="D299" s="45">
        <v>2973.3290899999997</v>
      </c>
      <c r="E299" s="45">
        <v>0</v>
      </c>
      <c r="F299" s="45">
        <v>0</v>
      </c>
      <c r="G299" s="45">
        <v>0</v>
      </c>
      <c r="H299" s="45">
        <v>0</v>
      </c>
      <c r="I299" s="45">
        <v>2973.3290899999997</v>
      </c>
    </row>
    <row r="300" spans="1:9" ht="12" customHeight="1" x14ac:dyDescent="0.25">
      <c r="A300" s="91" t="s">
        <v>64</v>
      </c>
      <c r="B300" s="92" t="s">
        <v>64</v>
      </c>
      <c r="C300" s="45">
        <v>0</v>
      </c>
      <c r="D300" s="45">
        <v>0</v>
      </c>
      <c r="E300" s="45">
        <v>0</v>
      </c>
      <c r="F300" s="45">
        <v>0</v>
      </c>
      <c r="G300" s="45">
        <v>0</v>
      </c>
      <c r="H300" s="45">
        <v>0</v>
      </c>
      <c r="I300" s="45">
        <v>0</v>
      </c>
    </row>
    <row r="301" spans="1:9" ht="12" customHeight="1" x14ac:dyDescent="0.25">
      <c r="A301" s="91" t="s">
        <v>64</v>
      </c>
      <c r="B301" s="92" t="s">
        <v>64</v>
      </c>
      <c r="C301" s="45">
        <v>0</v>
      </c>
      <c r="D301" s="45">
        <v>0</v>
      </c>
      <c r="E301" s="45">
        <v>0</v>
      </c>
      <c r="F301" s="45">
        <v>0</v>
      </c>
      <c r="G301" s="45">
        <v>0</v>
      </c>
      <c r="H301" s="45">
        <v>0</v>
      </c>
      <c r="I301" s="45">
        <v>0</v>
      </c>
    </row>
    <row r="302" spans="1:9" ht="12" customHeight="1" x14ac:dyDescent="0.25">
      <c r="A302" s="91" t="s">
        <v>64</v>
      </c>
      <c r="B302" s="92" t="s">
        <v>64</v>
      </c>
      <c r="C302" s="45">
        <v>0</v>
      </c>
      <c r="D302" s="45">
        <v>0</v>
      </c>
      <c r="E302" s="45">
        <v>0</v>
      </c>
      <c r="F302" s="45">
        <v>0</v>
      </c>
      <c r="G302" s="45">
        <v>0</v>
      </c>
      <c r="H302" s="45">
        <v>0</v>
      </c>
      <c r="I302" s="45">
        <v>0</v>
      </c>
    </row>
    <row r="303" spans="1:9" ht="12" customHeight="1" x14ac:dyDescent="0.25">
      <c r="A303" s="91" t="s">
        <v>64</v>
      </c>
      <c r="B303" s="92" t="s">
        <v>64</v>
      </c>
      <c r="C303" s="45">
        <v>0</v>
      </c>
      <c r="D303" s="45">
        <v>0</v>
      </c>
      <c r="E303" s="45">
        <v>0</v>
      </c>
      <c r="F303" s="45">
        <v>0</v>
      </c>
      <c r="G303" s="45">
        <v>0</v>
      </c>
      <c r="H303" s="45">
        <v>0</v>
      </c>
      <c r="I303" s="45">
        <v>0</v>
      </c>
    </row>
    <row r="304" spans="1:9" x14ac:dyDescent="0.25">
      <c r="A304" t="s">
        <v>64</v>
      </c>
      <c r="B304" s="56" t="s">
        <v>64</v>
      </c>
      <c r="C304" s="45">
        <v>0</v>
      </c>
      <c r="D304" s="45">
        <v>0</v>
      </c>
      <c r="E304" s="45">
        <v>0</v>
      </c>
      <c r="F304" s="45">
        <v>0</v>
      </c>
      <c r="G304" s="45">
        <v>0</v>
      </c>
      <c r="H304" s="45">
        <v>0</v>
      </c>
      <c r="I304">
        <v>0</v>
      </c>
    </row>
    <row r="305" spans="2:8" x14ac:dyDescent="0.25">
      <c r="B305" s="56"/>
      <c r="C305" s="45"/>
      <c r="D305" s="45"/>
      <c r="E305" s="45"/>
      <c r="F305" s="45"/>
      <c r="G305" s="45"/>
      <c r="H305" s="45"/>
    </row>
    <row r="306" spans="2:8" x14ac:dyDescent="0.25">
      <c r="B306" s="56" t="s">
        <v>64</v>
      </c>
      <c r="C306" s="45">
        <v>0</v>
      </c>
      <c r="D306" s="45">
        <v>0</v>
      </c>
      <c r="E306" s="45"/>
      <c r="F306" s="45"/>
      <c r="G306" s="45">
        <v>0</v>
      </c>
      <c r="H306" s="45">
        <v>0</v>
      </c>
    </row>
    <row r="307" spans="2:8" x14ac:dyDescent="0.25">
      <c r="B307" s="56" t="s">
        <v>64</v>
      </c>
      <c r="C307" s="45">
        <v>0</v>
      </c>
      <c r="D307" s="45">
        <v>0</v>
      </c>
      <c r="E307" s="45"/>
      <c r="F307" s="45"/>
      <c r="G307" s="45">
        <v>0</v>
      </c>
      <c r="H307" s="45">
        <v>0</v>
      </c>
    </row>
    <row r="308" spans="2:8" x14ac:dyDescent="0.25">
      <c r="B308" s="56" t="s">
        <v>64</v>
      </c>
      <c r="C308" s="45">
        <v>0</v>
      </c>
      <c r="D308" s="45">
        <v>0</v>
      </c>
      <c r="E308" s="45"/>
      <c r="F308" s="45"/>
      <c r="G308" s="45">
        <v>0</v>
      </c>
      <c r="H308" s="45">
        <v>0</v>
      </c>
    </row>
    <row r="309" spans="2:8" x14ac:dyDescent="0.25">
      <c r="B309" s="56" t="s">
        <v>64</v>
      </c>
      <c r="C309" s="45">
        <v>0</v>
      </c>
      <c r="D309" s="45">
        <v>0</v>
      </c>
      <c r="E309" s="45"/>
      <c r="F309" s="45"/>
      <c r="G309" s="45">
        <v>0</v>
      </c>
      <c r="H309" s="45">
        <v>0</v>
      </c>
    </row>
    <row r="310" spans="2:8" x14ac:dyDescent="0.25">
      <c r="B310" s="56" t="s">
        <v>64</v>
      </c>
      <c r="C310" s="45">
        <v>0</v>
      </c>
      <c r="D310" s="45">
        <v>0</v>
      </c>
      <c r="E310" s="45"/>
      <c r="F310" s="45"/>
      <c r="G310" s="45">
        <v>0</v>
      </c>
      <c r="H310" s="45">
        <v>0</v>
      </c>
    </row>
    <row r="311" spans="2:8" x14ac:dyDescent="0.25">
      <c r="B311" s="56" t="s">
        <v>64</v>
      </c>
      <c r="C311" s="45">
        <v>0</v>
      </c>
      <c r="D311" s="45">
        <v>0</v>
      </c>
      <c r="E311" s="45"/>
      <c r="F311" s="45"/>
      <c r="G311" s="45">
        <v>0</v>
      </c>
      <c r="H311" s="45">
        <v>0</v>
      </c>
    </row>
    <row r="312" spans="2:8" x14ac:dyDescent="0.25">
      <c r="B312" s="56" t="s">
        <v>64</v>
      </c>
      <c r="C312" s="45">
        <v>0</v>
      </c>
      <c r="D312" s="45">
        <v>0</v>
      </c>
      <c r="E312" s="45"/>
      <c r="F312" s="45"/>
      <c r="G312" s="45">
        <v>0</v>
      </c>
      <c r="H312" s="45">
        <v>0</v>
      </c>
    </row>
    <row r="313" spans="2:8" x14ac:dyDescent="0.25">
      <c r="B313" s="56" t="s">
        <v>64</v>
      </c>
      <c r="C313" s="45">
        <v>0</v>
      </c>
      <c r="D313" s="45">
        <v>0</v>
      </c>
      <c r="E313" s="45"/>
      <c r="F313" s="45"/>
      <c r="G313" s="45">
        <v>0</v>
      </c>
      <c r="H313" s="45">
        <v>0</v>
      </c>
    </row>
    <row r="314" spans="2:8" x14ac:dyDescent="0.25">
      <c r="B314" s="56" t="s">
        <v>64</v>
      </c>
      <c r="C314" s="45">
        <v>0</v>
      </c>
      <c r="D314" s="45">
        <v>0</v>
      </c>
      <c r="E314" s="45"/>
      <c r="F314" s="45"/>
      <c r="G314" s="45">
        <v>0</v>
      </c>
      <c r="H314" s="45">
        <v>0</v>
      </c>
    </row>
    <row r="315" spans="2:8" x14ac:dyDescent="0.25">
      <c r="B315" s="56" t="s">
        <v>64</v>
      </c>
      <c r="C315" s="45">
        <v>0</v>
      </c>
      <c r="D315" s="45">
        <v>0</v>
      </c>
      <c r="E315" s="45"/>
      <c r="F315" s="45"/>
      <c r="G315" s="45">
        <v>0</v>
      </c>
      <c r="H315" s="45">
        <v>0</v>
      </c>
    </row>
    <row r="316" spans="2:8" x14ac:dyDescent="0.25">
      <c r="B316" s="56" t="s">
        <v>64</v>
      </c>
      <c r="C316" s="45">
        <v>0</v>
      </c>
      <c r="D316" s="45">
        <v>0</v>
      </c>
      <c r="E316" s="45"/>
      <c r="F316" s="45"/>
      <c r="G316" s="45">
        <v>0</v>
      </c>
      <c r="H316" s="45">
        <v>0</v>
      </c>
    </row>
    <row r="317" spans="2:8" x14ac:dyDescent="0.25">
      <c r="B317" s="56" t="s">
        <v>64</v>
      </c>
      <c r="C317" s="45">
        <v>0</v>
      </c>
      <c r="D317" s="45">
        <v>0</v>
      </c>
      <c r="E317" s="45"/>
      <c r="F317" s="45"/>
      <c r="G317" s="45">
        <v>0</v>
      </c>
      <c r="H317" s="45">
        <v>0</v>
      </c>
    </row>
    <row r="318" spans="2:8" x14ac:dyDescent="0.25">
      <c r="B318" s="56" t="s">
        <v>64</v>
      </c>
      <c r="C318" s="45">
        <v>0</v>
      </c>
      <c r="D318" s="45">
        <v>0</v>
      </c>
      <c r="E318" s="45"/>
      <c r="F318" s="45"/>
      <c r="G318" s="45">
        <v>0</v>
      </c>
      <c r="H318" s="45">
        <v>0</v>
      </c>
    </row>
    <row r="319" spans="2:8" x14ac:dyDescent="0.25">
      <c r="B319" s="56" t="s">
        <v>64</v>
      </c>
      <c r="C319" s="45">
        <v>0</v>
      </c>
      <c r="D319" s="45">
        <v>0</v>
      </c>
      <c r="E319" s="45"/>
      <c r="F319" s="45"/>
      <c r="G319" s="45">
        <v>0</v>
      </c>
      <c r="H319" s="45">
        <v>0</v>
      </c>
    </row>
    <row r="320" spans="2:8" x14ac:dyDescent="0.25">
      <c r="B320" s="56" t="s">
        <v>64</v>
      </c>
      <c r="C320" s="45">
        <v>0</v>
      </c>
      <c r="D320" s="45">
        <v>0</v>
      </c>
      <c r="E320" s="45"/>
      <c r="F320" s="45"/>
      <c r="G320" s="45">
        <v>0</v>
      </c>
      <c r="H320" s="45">
        <v>0</v>
      </c>
    </row>
    <row r="321" spans="2:8" x14ac:dyDescent="0.25">
      <c r="B321" s="56" t="s">
        <v>64</v>
      </c>
      <c r="C321" s="45">
        <v>0</v>
      </c>
      <c r="D321" s="45">
        <v>0</v>
      </c>
      <c r="E321" s="45"/>
      <c r="F321" s="45"/>
      <c r="G321" s="45">
        <v>0</v>
      </c>
      <c r="H321" s="45">
        <v>0</v>
      </c>
    </row>
    <row r="322" spans="2:8" x14ac:dyDescent="0.25">
      <c r="B322" s="56" t="s">
        <v>64</v>
      </c>
      <c r="C322" s="45">
        <v>0</v>
      </c>
      <c r="D322" s="45">
        <v>0</v>
      </c>
      <c r="E322" s="45"/>
      <c r="F322" s="45"/>
      <c r="G322" s="45">
        <v>0</v>
      </c>
      <c r="H322" s="45">
        <v>0</v>
      </c>
    </row>
    <row r="323" spans="2:8" x14ac:dyDescent="0.25">
      <c r="B323" s="56" t="s">
        <v>64</v>
      </c>
      <c r="C323" s="45">
        <v>0</v>
      </c>
      <c r="D323" s="45">
        <v>0</v>
      </c>
      <c r="E323" s="45"/>
      <c r="F323" s="45"/>
      <c r="G323" s="45">
        <v>0</v>
      </c>
      <c r="H323" s="45">
        <v>0</v>
      </c>
    </row>
    <row r="324" spans="2:8" x14ac:dyDescent="0.25">
      <c r="B324" s="56" t="s">
        <v>64</v>
      </c>
      <c r="C324" s="45">
        <v>0</v>
      </c>
      <c r="D324" s="45">
        <v>0</v>
      </c>
      <c r="E324" s="45"/>
      <c r="F324" s="45"/>
      <c r="G324" s="45">
        <v>0</v>
      </c>
      <c r="H324" s="45">
        <v>0</v>
      </c>
    </row>
    <row r="325" spans="2:8" x14ac:dyDescent="0.25">
      <c r="B325" s="56" t="s">
        <v>64</v>
      </c>
      <c r="C325" s="45">
        <v>0</v>
      </c>
      <c r="D325" s="45">
        <v>0</v>
      </c>
      <c r="E325" s="45"/>
      <c r="F325" s="45"/>
      <c r="G325" s="45">
        <v>0</v>
      </c>
      <c r="H325" s="45">
        <v>0</v>
      </c>
    </row>
    <row r="326" spans="2:8" x14ac:dyDescent="0.25">
      <c r="B326" s="56" t="s">
        <v>64</v>
      </c>
      <c r="C326" s="45">
        <v>0</v>
      </c>
      <c r="D326" s="45">
        <v>0</v>
      </c>
      <c r="E326" s="45"/>
      <c r="F326" s="45"/>
      <c r="G326" s="45">
        <v>0</v>
      </c>
      <c r="H326" s="45">
        <v>0</v>
      </c>
    </row>
    <row r="327" spans="2:8" x14ac:dyDescent="0.25">
      <c r="B327" s="56" t="s">
        <v>64</v>
      </c>
      <c r="C327" s="45">
        <v>0</v>
      </c>
      <c r="D327" s="45">
        <v>0</v>
      </c>
      <c r="E327" s="45"/>
      <c r="F327" s="45"/>
      <c r="G327" s="45">
        <v>0</v>
      </c>
      <c r="H327" s="45">
        <v>0</v>
      </c>
    </row>
    <row r="328" spans="2:8" x14ac:dyDescent="0.25">
      <c r="B328" s="56" t="s">
        <v>64</v>
      </c>
      <c r="C328" s="45">
        <v>0</v>
      </c>
      <c r="D328" s="45">
        <v>0</v>
      </c>
      <c r="E328" s="45"/>
      <c r="F328" s="45"/>
      <c r="G328" s="45">
        <v>0</v>
      </c>
      <c r="H328" s="45">
        <v>0</v>
      </c>
    </row>
    <row r="329" spans="2:8" x14ac:dyDescent="0.25">
      <c r="B329" s="56" t="s">
        <v>64</v>
      </c>
      <c r="C329" s="45">
        <v>0</v>
      </c>
      <c r="D329" s="45">
        <v>0</v>
      </c>
      <c r="E329" s="45"/>
      <c r="F329" s="45"/>
      <c r="G329" s="45">
        <v>0</v>
      </c>
      <c r="H329" s="45">
        <v>0</v>
      </c>
    </row>
    <row r="330" spans="2:8" x14ac:dyDescent="0.25">
      <c r="B330" s="56" t="s">
        <v>64</v>
      </c>
      <c r="C330" s="45">
        <v>0</v>
      </c>
      <c r="D330" s="45">
        <v>0</v>
      </c>
      <c r="E330" s="45"/>
      <c r="F330" s="45"/>
      <c r="G330" s="45">
        <v>0</v>
      </c>
      <c r="H330" s="45">
        <v>0</v>
      </c>
    </row>
    <row r="331" spans="2:8" x14ac:dyDescent="0.25">
      <c r="B331" s="56" t="s">
        <v>64</v>
      </c>
      <c r="C331" s="45">
        <v>0</v>
      </c>
      <c r="D331" s="45">
        <v>0</v>
      </c>
      <c r="E331" s="45"/>
      <c r="F331" s="45"/>
      <c r="G331" s="45">
        <v>0</v>
      </c>
      <c r="H331" s="45">
        <v>0</v>
      </c>
    </row>
    <row r="332" spans="2:8" x14ac:dyDescent="0.25">
      <c r="B332" s="56" t="s">
        <v>64</v>
      </c>
      <c r="C332" s="45">
        <v>0</v>
      </c>
      <c r="D332" s="45">
        <v>0</v>
      </c>
      <c r="E332" s="45"/>
      <c r="F332" s="45"/>
      <c r="G332" s="45">
        <v>0</v>
      </c>
      <c r="H332" s="45">
        <v>0</v>
      </c>
    </row>
    <row r="333" spans="2:8" x14ac:dyDescent="0.25">
      <c r="B333" s="56" t="s">
        <v>64</v>
      </c>
      <c r="C333" s="45">
        <v>0</v>
      </c>
      <c r="D333" s="45">
        <v>0</v>
      </c>
      <c r="E333" s="45"/>
      <c r="F333" s="45"/>
      <c r="G333" s="45">
        <v>0</v>
      </c>
      <c r="H333" s="45">
        <v>0</v>
      </c>
    </row>
    <row r="334" spans="2:8" x14ac:dyDescent="0.25">
      <c r="B334" s="56" t="s">
        <v>64</v>
      </c>
      <c r="C334" s="45">
        <v>0</v>
      </c>
      <c r="D334" s="45">
        <v>0</v>
      </c>
      <c r="E334" s="45"/>
      <c r="F334" s="45"/>
      <c r="G334" s="45">
        <v>0</v>
      </c>
      <c r="H334" s="45">
        <v>0</v>
      </c>
    </row>
    <row r="335" spans="2:8" x14ac:dyDescent="0.25">
      <c r="B335" s="56" t="s">
        <v>64</v>
      </c>
      <c r="C335" s="45">
        <v>0</v>
      </c>
      <c r="D335" s="45">
        <v>0</v>
      </c>
      <c r="E335" s="45"/>
      <c r="F335" s="45"/>
      <c r="G335" s="45">
        <v>0</v>
      </c>
      <c r="H335" s="45">
        <v>0</v>
      </c>
    </row>
    <row r="336" spans="2:8" x14ac:dyDescent="0.25">
      <c r="B336" s="56" t="s">
        <v>64</v>
      </c>
      <c r="C336" s="45">
        <v>0</v>
      </c>
      <c r="D336" s="45">
        <v>0</v>
      </c>
      <c r="E336" s="45"/>
      <c r="F336" s="45"/>
      <c r="G336" s="45">
        <v>0</v>
      </c>
      <c r="H336" s="45">
        <v>0</v>
      </c>
    </row>
    <row r="337" spans="2:8" x14ac:dyDescent="0.25">
      <c r="B337" s="56" t="s">
        <v>64</v>
      </c>
      <c r="C337" s="45">
        <v>0</v>
      </c>
      <c r="D337" s="45">
        <v>0</v>
      </c>
      <c r="E337" s="45"/>
      <c r="F337" s="45"/>
      <c r="G337" s="45">
        <v>0</v>
      </c>
      <c r="H337" s="45">
        <v>0</v>
      </c>
    </row>
    <row r="338" spans="2:8" x14ac:dyDescent="0.25">
      <c r="B338" s="56" t="s">
        <v>64</v>
      </c>
      <c r="C338" s="45">
        <v>0</v>
      </c>
      <c r="D338" s="45">
        <v>0</v>
      </c>
      <c r="E338" s="45"/>
      <c r="F338" s="45"/>
      <c r="G338" s="45">
        <v>0</v>
      </c>
      <c r="H338" s="45">
        <v>0</v>
      </c>
    </row>
    <row r="339" spans="2:8" x14ac:dyDescent="0.25">
      <c r="B339" s="56" t="s">
        <v>64</v>
      </c>
      <c r="C339" s="45">
        <v>0</v>
      </c>
      <c r="D339" s="45">
        <v>0</v>
      </c>
      <c r="E339" s="45"/>
      <c r="F339" s="45"/>
      <c r="G339" s="45">
        <v>0</v>
      </c>
      <c r="H339" s="45">
        <v>0</v>
      </c>
    </row>
    <row r="340" spans="2:8" x14ac:dyDescent="0.25">
      <c r="B340" s="56" t="s">
        <v>64</v>
      </c>
      <c r="C340" s="45">
        <v>0</v>
      </c>
      <c r="D340" s="45">
        <v>0</v>
      </c>
      <c r="E340" s="45"/>
      <c r="F340" s="45"/>
      <c r="G340" s="45">
        <v>0</v>
      </c>
      <c r="H340" s="45">
        <v>0</v>
      </c>
    </row>
    <row r="341" spans="2:8" x14ac:dyDescent="0.25">
      <c r="B341" s="56" t="s">
        <v>64</v>
      </c>
      <c r="C341" s="45">
        <v>0</v>
      </c>
      <c r="D341" s="45">
        <v>0</v>
      </c>
      <c r="E341" s="45"/>
      <c r="F341" s="45"/>
      <c r="G341" s="45">
        <v>0</v>
      </c>
      <c r="H341" s="45">
        <v>0</v>
      </c>
    </row>
    <row r="342" spans="2:8" x14ac:dyDescent="0.25">
      <c r="B342" s="56" t="s">
        <v>64</v>
      </c>
      <c r="C342" s="45">
        <v>0</v>
      </c>
      <c r="D342" s="45">
        <v>0</v>
      </c>
      <c r="E342" s="45"/>
      <c r="F342" s="45"/>
      <c r="G342" s="45">
        <v>0</v>
      </c>
      <c r="H342" s="45">
        <v>0</v>
      </c>
    </row>
    <row r="343" spans="2:8" x14ac:dyDescent="0.25">
      <c r="B343" s="56" t="s">
        <v>64</v>
      </c>
      <c r="C343" s="45">
        <v>0</v>
      </c>
      <c r="D343" s="45">
        <v>0</v>
      </c>
      <c r="E343" s="45"/>
      <c r="F343" s="45"/>
      <c r="G343" s="45">
        <v>0</v>
      </c>
      <c r="H343" s="45">
        <v>0</v>
      </c>
    </row>
    <row r="344" spans="2:8" x14ac:dyDescent="0.25">
      <c r="B344" s="56" t="s">
        <v>64</v>
      </c>
      <c r="C344" s="45">
        <v>0</v>
      </c>
      <c r="D344" s="45">
        <v>0</v>
      </c>
      <c r="E344" s="45"/>
      <c r="F344" s="45"/>
      <c r="G344" s="45">
        <v>0</v>
      </c>
      <c r="H344" s="45">
        <v>0</v>
      </c>
    </row>
    <row r="345" spans="2:8" x14ac:dyDescent="0.25">
      <c r="B345" s="56" t="s">
        <v>64</v>
      </c>
      <c r="C345" s="45">
        <v>0</v>
      </c>
      <c r="D345" s="45">
        <v>0</v>
      </c>
      <c r="E345" s="45"/>
      <c r="F345" s="45"/>
      <c r="G345" s="45">
        <v>0</v>
      </c>
      <c r="H345" s="45">
        <v>0</v>
      </c>
    </row>
    <row r="346" spans="2:8" x14ac:dyDescent="0.25">
      <c r="B346" s="56" t="s">
        <v>64</v>
      </c>
      <c r="C346" s="45">
        <v>0</v>
      </c>
      <c r="D346" s="45">
        <v>0</v>
      </c>
      <c r="E346" s="45"/>
      <c r="F346" s="45"/>
      <c r="G346" s="45">
        <v>0</v>
      </c>
      <c r="H346" s="45">
        <v>0</v>
      </c>
    </row>
    <row r="347" spans="2:8" x14ac:dyDescent="0.25">
      <c r="B347" s="56" t="s">
        <v>64</v>
      </c>
      <c r="C347" s="45">
        <v>0</v>
      </c>
      <c r="D347" s="45">
        <v>0</v>
      </c>
      <c r="E347" s="45"/>
      <c r="F347" s="45"/>
      <c r="G347" s="45">
        <v>0</v>
      </c>
      <c r="H347" s="45">
        <v>0</v>
      </c>
    </row>
    <row r="348" spans="2:8" x14ac:dyDescent="0.25">
      <c r="B348" s="56" t="s">
        <v>64</v>
      </c>
      <c r="C348" s="45">
        <v>0</v>
      </c>
      <c r="D348" s="45">
        <v>0</v>
      </c>
      <c r="E348" s="45"/>
      <c r="F348" s="45"/>
      <c r="G348" s="45">
        <v>0</v>
      </c>
      <c r="H348" s="45">
        <v>0</v>
      </c>
    </row>
    <row r="349" spans="2:8" x14ac:dyDescent="0.25">
      <c r="B349" s="56" t="s">
        <v>64</v>
      </c>
      <c r="C349" s="45">
        <v>0</v>
      </c>
      <c r="D349" s="45">
        <v>0</v>
      </c>
      <c r="E349" s="45"/>
      <c r="F349" s="45"/>
      <c r="G349" s="45">
        <v>0</v>
      </c>
      <c r="H349" s="45">
        <v>0</v>
      </c>
    </row>
    <row r="350" spans="2:8" x14ac:dyDescent="0.25">
      <c r="B350" s="56" t="s">
        <v>64</v>
      </c>
      <c r="C350" s="45">
        <v>0</v>
      </c>
      <c r="D350" s="45">
        <v>0</v>
      </c>
      <c r="E350" s="45"/>
      <c r="F350" s="45"/>
      <c r="G350" s="45">
        <v>0</v>
      </c>
      <c r="H350" s="45">
        <v>0</v>
      </c>
    </row>
    <row r="351" spans="2:8" x14ac:dyDescent="0.25">
      <c r="B351" s="56" t="s">
        <v>64</v>
      </c>
      <c r="C351" s="45">
        <v>0</v>
      </c>
      <c r="D351" s="45">
        <v>0</v>
      </c>
      <c r="E351" s="45"/>
      <c r="F351" s="45"/>
      <c r="G351" s="45">
        <v>0</v>
      </c>
      <c r="H351" s="45">
        <v>0</v>
      </c>
    </row>
    <row r="352" spans="2:8" x14ac:dyDescent="0.25">
      <c r="B352" s="56" t="s">
        <v>64</v>
      </c>
      <c r="C352" s="45">
        <v>0</v>
      </c>
      <c r="D352" s="45">
        <v>0</v>
      </c>
      <c r="E352" s="45"/>
      <c r="F352" s="45"/>
      <c r="G352" s="45">
        <v>0</v>
      </c>
      <c r="H352" s="45">
        <v>0</v>
      </c>
    </row>
    <row r="353" spans="2:8" x14ac:dyDescent="0.25">
      <c r="B353" s="56" t="s">
        <v>64</v>
      </c>
      <c r="C353" s="45">
        <v>0</v>
      </c>
      <c r="D353" s="45">
        <v>0</v>
      </c>
      <c r="E353" s="45"/>
      <c r="F353" s="45"/>
      <c r="G353" s="45">
        <v>0</v>
      </c>
      <c r="H353" s="45">
        <v>0</v>
      </c>
    </row>
    <row r="354" spans="2:8" x14ac:dyDescent="0.25">
      <c r="B354" s="56" t="s">
        <v>64</v>
      </c>
      <c r="C354" s="45">
        <v>0</v>
      </c>
      <c r="D354" s="45">
        <v>0</v>
      </c>
      <c r="E354" s="45"/>
      <c r="F354" s="45"/>
      <c r="G354" s="45">
        <v>0</v>
      </c>
      <c r="H354" s="45">
        <v>0</v>
      </c>
    </row>
    <row r="355" spans="2:8" x14ac:dyDescent="0.25">
      <c r="B355" s="56" t="s">
        <v>64</v>
      </c>
      <c r="C355" s="45">
        <v>0</v>
      </c>
      <c r="D355" s="45">
        <v>0</v>
      </c>
      <c r="E355" s="45"/>
      <c r="F355" s="45"/>
      <c r="G355" s="45">
        <v>0</v>
      </c>
      <c r="H355" s="45">
        <v>0</v>
      </c>
    </row>
    <row r="356" spans="2:8" x14ac:dyDescent="0.25">
      <c r="B356" s="56" t="s">
        <v>64</v>
      </c>
      <c r="C356" s="45">
        <v>0</v>
      </c>
      <c r="D356" s="45">
        <v>0</v>
      </c>
      <c r="E356" s="45"/>
      <c r="F356" s="45"/>
      <c r="G356" s="45">
        <v>0</v>
      </c>
      <c r="H356" s="45">
        <v>0</v>
      </c>
    </row>
    <row r="357" spans="2:8" x14ac:dyDescent="0.25">
      <c r="B357" s="56" t="s">
        <v>64</v>
      </c>
      <c r="C357" s="45">
        <v>0</v>
      </c>
      <c r="D357" s="45">
        <v>0</v>
      </c>
      <c r="E357" s="45"/>
      <c r="F357" s="45"/>
      <c r="G357" s="45">
        <v>0</v>
      </c>
      <c r="H357" s="45">
        <v>0</v>
      </c>
    </row>
    <row r="358" spans="2:8" x14ac:dyDescent="0.25">
      <c r="B358" s="56" t="s">
        <v>64</v>
      </c>
      <c r="C358" s="45">
        <v>0</v>
      </c>
      <c r="D358" s="45">
        <v>0</v>
      </c>
      <c r="E358" s="45"/>
      <c r="F358" s="45"/>
      <c r="G358" s="45">
        <v>0</v>
      </c>
      <c r="H358" s="45">
        <v>0</v>
      </c>
    </row>
    <row r="359" spans="2:8" x14ac:dyDescent="0.25">
      <c r="B359" s="56" t="s">
        <v>64</v>
      </c>
      <c r="C359" s="45">
        <v>0</v>
      </c>
      <c r="D359" s="45">
        <v>0</v>
      </c>
      <c r="E359" s="45"/>
      <c r="F359" s="45"/>
      <c r="G359" s="45">
        <v>0</v>
      </c>
      <c r="H359" s="45">
        <v>0</v>
      </c>
    </row>
    <row r="360" spans="2:8" x14ac:dyDescent="0.25">
      <c r="B360" s="56" t="s">
        <v>64</v>
      </c>
      <c r="C360" s="45">
        <v>0</v>
      </c>
      <c r="D360" s="45">
        <v>0</v>
      </c>
      <c r="E360" s="45"/>
      <c r="F360" s="45"/>
      <c r="G360" s="45">
        <v>0</v>
      </c>
      <c r="H360" s="45">
        <v>0</v>
      </c>
    </row>
    <row r="361" spans="2:8" x14ac:dyDescent="0.25">
      <c r="B361" s="56" t="s">
        <v>64</v>
      </c>
      <c r="C361" s="45">
        <v>0</v>
      </c>
      <c r="D361" s="45">
        <v>0</v>
      </c>
      <c r="E361" s="45"/>
      <c r="F361" s="45"/>
      <c r="G361" s="45">
        <v>0</v>
      </c>
      <c r="H361" s="45">
        <v>0</v>
      </c>
    </row>
    <row r="362" spans="2:8" x14ac:dyDescent="0.25">
      <c r="B362" s="56" t="s">
        <v>64</v>
      </c>
      <c r="C362" s="45">
        <v>0</v>
      </c>
      <c r="D362" s="45">
        <v>0</v>
      </c>
      <c r="E362" s="45"/>
      <c r="F362" s="45"/>
      <c r="G362" s="45">
        <v>0</v>
      </c>
      <c r="H362" s="45">
        <v>0</v>
      </c>
    </row>
    <row r="363" spans="2:8" x14ac:dyDescent="0.25">
      <c r="B363" s="56" t="s">
        <v>64</v>
      </c>
      <c r="C363" s="45">
        <v>0</v>
      </c>
      <c r="D363" s="45">
        <v>0</v>
      </c>
      <c r="E363" s="45"/>
      <c r="F363" s="45"/>
      <c r="G363" s="45">
        <v>0</v>
      </c>
      <c r="H363" s="45">
        <v>0</v>
      </c>
    </row>
    <row r="364" spans="2:8" x14ac:dyDescent="0.25">
      <c r="B364" s="56" t="s">
        <v>64</v>
      </c>
      <c r="C364" s="45">
        <v>0</v>
      </c>
      <c r="D364" s="45">
        <v>0</v>
      </c>
      <c r="E364" s="45"/>
      <c r="F364" s="45"/>
      <c r="G364" s="45">
        <v>0</v>
      </c>
      <c r="H364" s="45">
        <v>0</v>
      </c>
    </row>
    <row r="365" spans="2:8" x14ac:dyDescent="0.25">
      <c r="B365" s="56" t="s">
        <v>64</v>
      </c>
      <c r="C365" s="45">
        <v>0</v>
      </c>
      <c r="D365" s="45">
        <v>0</v>
      </c>
      <c r="E365" s="45"/>
      <c r="F365" s="45"/>
      <c r="G365" s="45">
        <v>0</v>
      </c>
      <c r="H365" s="45">
        <v>0</v>
      </c>
    </row>
    <row r="366" spans="2:8" x14ac:dyDescent="0.25">
      <c r="B366" s="56" t="s">
        <v>64</v>
      </c>
      <c r="C366" s="45">
        <v>0</v>
      </c>
      <c r="D366" s="45">
        <v>0</v>
      </c>
      <c r="E366" s="45"/>
      <c r="F366" s="45"/>
      <c r="G366" s="45">
        <v>0</v>
      </c>
      <c r="H366" s="45">
        <v>0</v>
      </c>
    </row>
    <row r="367" spans="2:8" x14ac:dyDescent="0.25">
      <c r="B367" s="56" t="s">
        <v>64</v>
      </c>
      <c r="C367" s="45">
        <v>0</v>
      </c>
      <c r="D367" s="45">
        <v>0</v>
      </c>
      <c r="E367" s="45"/>
      <c r="F367" s="45"/>
      <c r="G367" s="45">
        <v>0</v>
      </c>
      <c r="H367" s="45">
        <v>0</v>
      </c>
    </row>
    <row r="368" spans="2:8" x14ac:dyDescent="0.25">
      <c r="B368" s="56" t="s">
        <v>64</v>
      </c>
      <c r="C368" s="45">
        <v>0</v>
      </c>
      <c r="D368" s="45">
        <v>0</v>
      </c>
      <c r="E368" s="45"/>
      <c r="F368" s="45"/>
      <c r="G368" s="45">
        <v>0</v>
      </c>
      <c r="H368" s="45">
        <v>0</v>
      </c>
    </row>
    <row r="369" spans="2:8" x14ac:dyDescent="0.25">
      <c r="B369" s="56" t="s">
        <v>64</v>
      </c>
      <c r="C369" s="45">
        <v>0</v>
      </c>
      <c r="D369" s="45">
        <v>0</v>
      </c>
      <c r="E369" s="45"/>
      <c r="F369" s="45"/>
      <c r="G369" s="45">
        <v>0</v>
      </c>
      <c r="H369" s="45">
        <v>0</v>
      </c>
    </row>
    <row r="370" spans="2:8" x14ac:dyDescent="0.25">
      <c r="B370" s="56" t="s">
        <v>64</v>
      </c>
      <c r="C370" s="45">
        <v>0</v>
      </c>
      <c r="D370" s="45">
        <v>0</v>
      </c>
      <c r="E370" s="45"/>
      <c r="F370" s="45"/>
      <c r="G370" s="45">
        <v>0</v>
      </c>
      <c r="H370" s="45">
        <v>0</v>
      </c>
    </row>
    <row r="371" spans="2:8" x14ac:dyDescent="0.25">
      <c r="B371" s="56" t="s">
        <v>64</v>
      </c>
      <c r="C371" s="45">
        <v>0</v>
      </c>
      <c r="D371" s="45">
        <v>0</v>
      </c>
      <c r="E371" s="45"/>
      <c r="F371" s="45"/>
      <c r="G371" s="45">
        <v>0</v>
      </c>
      <c r="H371" s="45">
        <v>0</v>
      </c>
    </row>
    <row r="372" spans="2:8" x14ac:dyDescent="0.25">
      <c r="B372" s="56" t="s">
        <v>64</v>
      </c>
      <c r="C372" s="45">
        <v>0</v>
      </c>
      <c r="D372" s="45">
        <v>0</v>
      </c>
      <c r="E372" s="45"/>
      <c r="F372" s="45"/>
      <c r="G372" s="45">
        <v>0</v>
      </c>
      <c r="H372" s="45">
        <v>0</v>
      </c>
    </row>
    <row r="373" spans="2:8" x14ac:dyDescent="0.25">
      <c r="B373" s="56" t="s">
        <v>64</v>
      </c>
      <c r="C373" s="45">
        <v>0</v>
      </c>
      <c r="D373" s="45">
        <v>0</v>
      </c>
      <c r="E373" s="45"/>
      <c r="F373" s="45"/>
      <c r="G373" s="45">
        <v>0</v>
      </c>
      <c r="H373" s="45">
        <v>0</v>
      </c>
    </row>
    <row r="374" spans="2:8" x14ac:dyDescent="0.25">
      <c r="B374" s="56" t="s">
        <v>64</v>
      </c>
      <c r="C374" s="45">
        <v>0</v>
      </c>
      <c r="D374" s="45">
        <v>0</v>
      </c>
      <c r="E374" s="45"/>
      <c r="F374" s="45"/>
      <c r="G374" s="45">
        <v>0</v>
      </c>
      <c r="H374" s="45">
        <v>0</v>
      </c>
    </row>
    <row r="375" spans="2:8" x14ac:dyDescent="0.25">
      <c r="B375" s="56" t="s">
        <v>64</v>
      </c>
      <c r="C375" s="45">
        <v>0</v>
      </c>
      <c r="D375" s="45">
        <v>0</v>
      </c>
      <c r="E375" s="45"/>
      <c r="F375" s="45"/>
      <c r="G375" s="45">
        <v>0</v>
      </c>
      <c r="H375" s="45">
        <v>0</v>
      </c>
    </row>
    <row r="376" spans="2:8" x14ac:dyDescent="0.25">
      <c r="B376" s="56" t="s">
        <v>64</v>
      </c>
      <c r="C376" s="45">
        <v>0</v>
      </c>
      <c r="D376" s="45">
        <v>0</v>
      </c>
      <c r="E376" s="45"/>
      <c r="F376" s="45"/>
      <c r="G376" s="45">
        <v>0</v>
      </c>
      <c r="H376" s="45">
        <v>0</v>
      </c>
    </row>
    <row r="377" spans="2:8" x14ac:dyDescent="0.25">
      <c r="B377" s="56" t="s">
        <v>64</v>
      </c>
      <c r="C377" s="45">
        <v>0</v>
      </c>
      <c r="D377" s="45">
        <v>0</v>
      </c>
      <c r="E377" s="45"/>
      <c r="F377" s="45"/>
      <c r="G377" s="45">
        <v>0</v>
      </c>
      <c r="H377" s="45">
        <v>0</v>
      </c>
    </row>
    <row r="378" spans="2:8" x14ac:dyDescent="0.25">
      <c r="B378" s="56" t="s">
        <v>64</v>
      </c>
      <c r="C378" s="45">
        <v>0</v>
      </c>
      <c r="D378" s="45">
        <v>0</v>
      </c>
      <c r="E378" s="45"/>
      <c r="F378" s="45"/>
      <c r="G378" s="45">
        <v>0</v>
      </c>
      <c r="H378" s="45">
        <v>0</v>
      </c>
    </row>
    <row r="379" spans="2:8" x14ac:dyDescent="0.25">
      <c r="B379" s="56" t="s">
        <v>64</v>
      </c>
      <c r="C379" s="45">
        <v>0</v>
      </c>
      <c r="D379" s="45">
        <v>0</v>
      </c>
      <c r="E379" s="45"/>
      <c r="F379" s="45"/>
      <c r="G379" s="45">
        <v>0</v>
      </c>
      <c r="H379" s="45">
        <v>0</v>
      </c>
    </row>
    <row r="380" spans="2:8" x14ac:dyDescent="0.25">
      <c r="B380" s="56" t="s">
        <v>64</v>
      </c>
      <c r="C380" s="45">
        <v>0</v>
      </c>
      <c r="D380" s="45">
        <v>0</v>
      </c>
      <c r="E380" s="45"/>
      <c r="F380" s="45"/>
      <c r="G380" s="45">
        <v>0</v>
      </c>
      <c r="H380" s="45">
        <v>0</v>
      </c>
    </row>
    <row r="381" spans="2:8" x14ac:dyDescent="0.25">
      <c r="B381" s="56" t="s">
        <v>64</v>
      </c>
      <c r="C381" s="45">
        <v>0</v>
      </c>
      <c r="D381" s="45">
        <v>0</v>
      </c>
      <c r="E381" s="45"/>
      <c r="F381" s="45"/>
      <c r="G381" s="45">
        <v>0</v>
      </c>
      <c r="H381" s="45">
        <v>0</v>
      </c>
    </row>
    <row r="382" spans="2:8" x14ac:dyDescent="0.25">
      <c r="B382" s="56" t="s">
        <v>64</v>
      </c>
      <c r="C382" s="45">
        <v>0</v>
      </c>
      <c r="D382" s="45">
        <v>0</v>
      </c>
      <c r="E382" s="45"/>
      <c r="F382" s="45"/>
      <c r="G382" s="45">
        <v>0</v>
      </c>
      <c r="H382" s="45">
        <v>0</v>
      </c>
    </row>
    <row r="383" spans="2:8" x14ac:dyDescent="0.25">
      <c r="B383" s="56" t="s">
        <v>64</v>
      </c>
      <c r="C383" s="45">
        <v>0</v>
      </c>
      <c r="D383" s="45">
        <v>0</v>
      </c>
      <c r="E383" s="45"/>
      <c r="F383" s="45"/>
      <c r="G383" s="45">
        <v>0</v>
      </c>
      <c r="H383" s="45">
        <v>0</v>
      </c>
    </row>
    <row r="384" spans="2:8" x14ac:dyDescent="0.25">
      <c r="B384" s="56" t="s">
        <v>64</v>
      </c>
      <c r="C384" s="45">
        <v>0</v>
      </c>
      <c r="D384" s="45">
        <v>0</v>
      </c>
      <c r="E384" s="45"/>
      <c r="F384" s="45"/>
      <c r="G384" s="45">
        <v>0</v>
      </c>
      <c r="H384" s="45">
        <v>0</v>
      </c>
    </row>
    <row r="385" spans="2:8" x14ac:dyDescent="0.25">
      <c r="B385" s="56" t="s">
        <v>64</v>
      </c>
      <c r="C385" s="45">
        <v>0</v>
      </c>
      <c r="D385" s="45">
        <v>0</v>
      </c>
      <c r="E385" s="45"/>
      <c r="F385" s="45"/>
      <c r="G385" s="45">
        <v>0</v>
      </c>
      <c r="H385" s="45">
        <v>0</v>
      </c>
    </row>
    <row r="386" spans="2:8" x14ac:dyDescent="0.25">
      <c r="B386" s="56" t="s">
        <v>64</v>
      </c>
      <c r="C386" s="45">
        <v>0</v>
      </c>
      <c r="D386" s="45">
        <v>0</v>
      </c>
      <c r="E386" s="45"/>
      <c r="F386" s="45"/>
      <c r="G386" s="45">
        <v>0</v>
      </c>
      <c r="H386" s="45">
        <v>0</v>
      </c>
    </row>
    <row r="387" spans="2:8" x14ac:dyDescent="0.25">
      <c r="B387" s="56" t="s">
        <v>64</v>
      </c>
      <c r="C387" s="45">
        <v>0</v>
      </c>
      <c r="D387" s="45">
        <v>0</v>
      </c>
      <c r="E387" s="45"/>
      <c r="F387" s="45"/>
      <c r="G387" s="45">
        <v>0</v>
      </c>
      <c r="H387" s="45">
        <v>0</v>
      </c>
    </row>
    <row r="388" spans="2:8" x14ac:dyDescent="0.25">
      <c r="B388" s="56" t="s">
        <v>64</v>
      </c>
      <c r="C388" s="45">
        <v>0</v>
      </c>
      <c r="D388" s="45">
        <v>0</v>
      </c>
      <c r="E388" s="45"/>
      <c r="F388" s="45"/>
      <c r="G388" s="45">
        <v>0</v>
      </c>
      <c r="H388" s="45">
        <v>0</v>
      </c>
    </row>
    <row r="389" spans="2:8" x14ac:dyDescent="0.25">
      <c r="B389" s="56" t="s">
        <v>64</v>
      </c>
      <c r="C389" s="45">
        <v>0</v>
      </c>
      <c r="D389" s="45">
        <v>0</v>
      </c>
      <c r="E389" s="45"/>
      <c r="F389" s="45"/>
      <c r="G389" s="45">
        <v>0</v>
      </c>
      <c r="H389" s="45">
        <v>0</v>
      </c>
    </row>
    <row r="390" spans="2:8" x14ac:dyDescent="0.25">
      <c r="B390" s="56" t="s">
        <v>64</v>
      </c>
      <c r="C390" s="45">
        <v>0</v>
      </c>
      <c r="D390" s="45">
        <v>0</v>
      </c>
      <c r="E390" s="45"/>
      <c r="F390" s="45"/>
      <c r="G390" s="45">
        <v>0</v>
      </c>
      <c r="H390" s="45">
        <v>0</v>
      </c>
    </row>
    <row r="391" spans="2:8" x14ac:dyDescent="0.25">
      <c r="B391" s="56" t="s">
        <v>64</v>
      </c>
      <c r="C391" s="45">
        <v>0</v>
      </c>
      <c r="D391" s="45">
        <v>0</v>
      </c>
      <c r="E391" s="45"/>
      <c r="F391" s="45"/>
      <c r="G391" s="45">
        <v>0</v>
      </c>
      <c r="H391" s="45">
        <v>0</v>
      </c>
    </row>
    <row r="392" spans="2:8" x14ac:dyDescent="0.25">
      <c r="B392" s="56" t="s">
        <v>64</v>
      </c>
      <c r="C392" s="45">
        <v>0</v>
      </c>
      <c r="D392" s="45">
        <v>0</v>
      </c>
      <c r="E392" s="45"/>
      <c r="F392" s="45"/>
      <c r="G392" s="45">
        <v>0</v>
      </c>
      <c r="H392" s="45">
        <v>0</v>
      </c>
    </row>
    <row r="393" spans="2:8" x14ac:dyDescent="0.25">
      <c r="B393" s="56" t="s">
        <v>64</v>
      </c>
      <c r="C393" s="45">
        <v>0</v>
      </c>
      <c r="D393" s="45">
        <v>0</v>
      </c>
      <c r="E393" s="45"/>
      <c r="F393" s="45"/>
      <c r="G393" s="45">
        <v>0</v>
      </c>
      <c r="H393" s="45">
        <v>0</v>
      </c>
    </row>
    <row r="394" spans="2:8" x14ac:dyDescent="0.25">
      <c r="B394" s="56" t="s">
        <v>64</v>
      </c>
      <c r="C394" s="45">
        <v>0</v>
      </c>
      <c r="D394" s="45">
        <v>0</v>
      </c>
      <c r="E394" s="45"/>
      <c r="F394" s="45"/>
      <c r="G394" s="45">
        <v>0</v>
      </c>
      <c r="H394" s="45">
        <v>0</v>
      </c>
    </row>
    <row r="395" spans="2:8" x14ac:dyDescent="0.25">
      <c r="B395" s="56" t="s">
        <v>64</v>
      </c>
      <c r="C395" s="45">
        <v>0</v>
      </c>
      <c r="D395" s="45">
        <v>0</v>
      </c>
      <c r="E395" s="45"/>
      <c r="F395" s="45"/>
      <c r="G395" s="45">
        <v>0</v>
      </c>
      <c r="H395" s="45">
        <v>0</v>
      </c>
    </row>
    <row r="396" spans="2:8" x14ac:dyDescent="0.25">
      <c r="B396" s="56" t="s">
        <v>64</v>
      </c>
      <c r="C396" s="45">
        <v>0</v>
      </c>
      <c r="D396" s="45">
        <v>0</v>
      </c>
      <c r="E396" s="45"/>
      <c r="F396" s="45"/>
      <c r="G396" s="45">
        <v>0</v>
      </c>
      <c r="H396" s="45">
        <v>0</v>
      </c>
    </row>
    <row r="397" spans="2:8" x14ac:dyDescent="0.25">
      <c r="B397" s="56" t="s">
        <v>64</v>
      </c>
      <c r="C397" s="45">
        <v>0</v>
      </c>
      <c r="D397" s="45">
        <v>0</v>
      </c>
      <c r="E397" s="45"/>
      <c r="F397" s="45"/>
      <c r="G397" s="45">
        <v>0</v>
      </c>
      <c r="H397" s="45">
        <v>0</v>
      </c>
    </row>
    <row r="398" spans="2:8" x14ac:dyDescent="0.25">
      <c r="B398" s="56" t="s">
        <v>64</v>
      </c>
      <c r="C398" s="45">
        <v>0</v>
      </c>
      <c r="D398" s="45">
        <v>0</v>
      </c>
      <c r="E398" s="45"/>
      <c r="F398" s="45"/>
      <c r="G398" s="45">
        <v>0</v>
      </c>
      <c r="H398" s="45">
        <v>0</v>
      </c>
    </row>
    <row r="399" spans="2:8" x14ac:dyDescent="0.25">
      <c r="B399" s="56" t="s">
        <v>64</v>
      </c>
      <c r="C399" s="45">
        <v>0</v>
      </c>
      <c r="D399" s="45">
        <v>0</v>
      </c>
      <c r="E399" s="45"/>
      <c r="F399" s="45"/>
      <c r="G399" s="45">
        <v>0</v>
      </c>
      <c r="H399" s="45">
        <v>0</v>
      </c>
    </row>
    <row r="400" spans="2:8" x14ac:dyDescent="0.25">
      <c r="B400" s="56" t="s">
        <v>64</v>
      </c>
      <c r="C400" s="45">
        <v>0</v>
      </c>
      <c r="D400" s="45">
        <v>0</v>
      </c>
      <c r="E400" s="45"/>
      <c r="F400" s="45"/>
      <c r="G400" s="45">
        <v>0</v>
      </c>
      <c r="H400" s="45">
        <v>0</v>
      </c>
    </row>
    <row r="401" spans="2:8" x14ac:dyDescent="0.25">
      <c r="B401" s="56" t="s">
        <v>64</v>
      </c>
      <c r="C401" s="45">
        <v>0</v>
      </c>
      <c r="D401" s="45">
        <v>0</v>
      </c>
      <c r="E401" s="45"/>
      <c r="F401" s="45"/>
      <c r="G401" s="45">
        <v>0</v>
      </c>
      <c r="H401" s="45">
        <v>0</v>
      </c>
    </row>
    <row r="402" spans="2:8" x14ac:dyDescent="0.25">
      <c r="B402" s="56" t="s">
        <v>64</v>
      </c>
      <c r="C402" s="45">
        <v>0</v>
      </c>
      <c r="D402" s="45">
        <v>0</v>
      </c>
      <c r="E402" s="45"/>
      <c r="F402" s="45"/>
      <c r="G402" s="45">
        <v>0</v>
      </c>
      <c r="H402" s="45">
        <v>0</v>
      </c>
    </row>
    <row r="403" spans="2:8" x14ac:dyDescent="0.25">
      <c r="B403" s="56" t="s">
        <v>64</v>
      </c>
      <c r="C403" s="45">
        <v>0</v>
      </c>
      <c r="D403" s="45">
        <v>0</v>
      </c>
      <c r="E403" s="45"/>
      <c r="F403" s="45"/>
      <c r="G403" s="45">
        <v>0</v>
      </c>
      <c r="H403" s="45">
        <v>0</v>
      </c>
    </row>
    <row r="404" spans="2:8" x14ac:dyDescent="0.25">
      <c r="B404" s="56" t="s">
        <v>64</v>
      </c>
      <c r="C404" s="45">
        <v>0</v>
      </c>
      <c r="D404" s="45">
        <v>0</v>
      </c>
      <c r="E404" s="45"/>
      <c r="F404" s="45"/>
      <c r="G404" s="45">
        <v>0</v>
      </c>
      <c r="H404" s="45">
        <v>0</v>
      </c>
    </row>
    <row r="405" spans="2:8" x14ac:dyDescent="0.25">
      <c r="B405" s="56" t="s">
        <v>64</v>
      </c>
      <c r="C405" s="45">
        <v>0</v>
      </c>
      <c r="D405" s="45">
        <v>0</v>
      </c>
      <c r="E405" s="45"/>
      <c r="F405" s="45"/>
      <c r="G405" s="45">
        <v>0</v>
      </c>
      <c r="H405" s="45">
        <v>0</v>
      </c>
    </row>
    <row r="406" spans="2:8" x14ac:dyDescent="0.25">
      <c r="B406" s="56" t="s">
        <v>64</v>
      </c>
      <c r="C406" s="45">
        <v>0</v>
      </c>
      <c r="D406" s="45">
        <v>0</v>
      </c>
      <c r="E406" s="45"/>
      <c r="F406" s="45"/>
      <c r="G406" s="45">
        <v>0</v>
      </c>
      <c r="H406" s="45">
        <v>0</v>
      </c>
    </row>
    <row r="407" spans="2:8" x14ac:dyDescent="0.25">
      <c r="B407" s="56" t="s">
        <v>64</v>
      </c>
      <c r="C407" s="45">
        <v>0</v>
      </c>
      <c r="D407" s="45">
        <v>0</v>
      </c>
      <c r="E407" s="45"/>
      <c r="F407" s="45"/>
      <c r="G407" s="45">
        <v>0</v>
      </c>
      <c r="H407" s="45">
        <v>0</v>
      </c>
    </row>
    <row r="408" spans="2:8" x14ac:dyDescent="0.25">
      <c r="B408" s="56" t="s">
        <v>64</v>
      </c>
      <c r="C408" s="45">
        <v>0</v>
      </c>
      <c r="D408" s="45">
        <v>0</v>
      </c>
      <c r="E408" s="45"/>
      <c r="F408" s="45"/>
      <c r="G408" s="45">
        <v>0</v>
      </c>
      <c r="H408" s="45">
        <v>0</v>
      </c>
    </row>
    <row r="409" spans="2:8" x14ac:dyDescent="0.25">
      <c r="B409" s="56" t="s">
        <v>64</v>
      </c>
      <c r="C409" s="45">
        <v>0</v>
      </c>
      <c r="D409" s="45">
        <v>0</v>
      </c>
      <c r="E409" s="45"/>
      <c r="F409" s="45"/>
      <c r="G409" s="45">
        <v>0</v>
      </c>
      <c r="H409" s="45">
        <v>0</v>
      </c>
    </row>
    <row r="410" spans="2:8" x14ac:dyDescent="0.25">
      <c r="B410" s="56" t="s">
        <v>64</v>
      </c>
      <c r="C410" s="45">
        <v>0</v>
      </c>
      <c r="D410" s="45">
        <v>0</v>
      </c>
      <c r="E410" s="45"/>
      <c r="F410" s="45"/>
      <c r="G410" s="45">
        <v>0</v>
      </c>
      <c r="H410" s="45">
        <v>0</v>
      </c>
    </row>
    <row r="411" spans="2:8" x14ac:dyDescent="0.25">
      <c r="B411" s="56" t="s">
        <v>64</v>
      </c>
      <c r="C411" s="45">
        <v>0</v>
      </c>
      <c r="D411" s="45">
        <v>0</v>
      </c>
      <c r="E411" s="45"/>
      <c r="F411" s="45"/>
      <c r="G411" s="45">
        <v>0</v>
      </c>
      <c r="H411" s="45">
        <v>0</v>
      </c>
    </row>
    <row r="412" spans="2:8" x14ac:dyDescent="0.25">
      <c r="B412" s="56" t="s">
        <v>64</v>
      </c>
      <c r="C412" s="45">
        <v>0</v>
      </c>
      <c r="D412" s="45">
        <v>0</v>
      </c>
      <c r="E412" s="45"/>
      <c r="F412" s="45"/>
      <c r="G412" s="45">
        <v>0</v>
      </c>
      <c r="H412" s="45">
        <v>0</v>
      </c>
    </row>
    <row r="413" spans="2:8" x14ac:dyDescent="0.25">
      <c r="B413" s="56" t="s">
        <v>64</v>
      </c>
      <c r="C413" s="45">
        <v>0</v>
      </c>
      <c r="D413" s="45">
        <v>0</v>
      </c>
      <c r="E413" s="45"/>
      <c r="F413" s="45"/>
      <c r="G413" s="45">
        <v>0</v>
      </c>
      <c r="H413" s="45">
        <v>0</v>
      </c>
    </row>
    <row r="414" spans="2:8" x14ac:dyDescent="0.25">
      <c r="B414" s="56" t="s">
        <v>64</v>
      </c>
      <c r="C414" s="45">
        <v>0</v>
      </c>
      <c r="D414" s="45">
        <v>0</v>
      </c>
      <c r="E414" s="45"/>
      <c r="F414" s="45"/>
      <c r="G414" s="45">
        <v>0</v>
      </c>
      <c r="H414" s="45">
        <v>0</v>
      </c>
    </row>
    <row r="415" spans="2:8" x14ac:dyDescent="0.25">
      <c r="B415" s="56" t="s">
        <v>64</v>
      </c>
      <c r="C415" s="45">
        <v>0</v>
      </c>
      <c r="D415" s="45">
        <v>0</v>
      </c>
      <c r="E415" s="45"/>
      <c r="F415" s="45"/>
      <c r="G415" s="45">
        <v>0</v>
      </c>
      <c r="H415" s="45">
        <v>0</v>
      </c>
    </row>
    <row r="416" spans="2:8" x14ac:dyDescent="0.25">
      <c r="B416" s="56" t="s">
        <v>64</v>
      </c>
      <c r="C416" s="45">
        <v>0</v>
      </c>
      <c r="D416" s="45">
        <v>0</v>
      </c>
      <c r="E416" s="45"/>
      <c r="F416" s="45"/>
      <c r="G416" s="45">
        <v>0</v>
      </c>
      <c r="H416" s="45">
        <v>0</v>
      </c>
    </row>
    <row r="417" spans="2:8" x14ac:dyDescent="0.25">
      <c r="B417" s="56" t="s">
        <v>64</v>
      </c>
      <c r="C417" s="45">
        <v>0</v>
      </c>
      <c r="D417" s="45">
        <v>0</v>
      </c>
      <c r="E417" s="45"/>
      <c r="F417" s="45"/>
      <c r="G417" s="45">
        <v>0</v>
      </c>
      <c r="H417" s="45">
        <v>0</v>
      </c>
    </row>
    <row r="418" spans="2:8" x14ac:dyDescent="0.25">
      <c r="B418" s="56" t="s">
        <v>64</v>
      </c>
      <c r="C418" s="45">
        <v>0</v>
      </c>
      <c r="D418" s="45">
        <v>0</v>
      </c>
      <c r="E418" s="45"/>
      <c r="F418" s="45"/>
      <c r="G418" s="45">
        <v>0</v>
      </c>
      <c r="H418" s="45">
        <v>0</v>
      </c>
    </row>
    <row r="419" spans="2:8" x14ac:dyDescent="0.25">
      <c r="B419" s="56" t="s">
        <v>64</v>
      </c>
      <c r="C419" s="45">
        <v>0</v>
      </c>
      <c r="D419" s="45">
        <v>0</v>
      </c>
      <c r="E419" s="45"/>
      <c r="F419" s="45"/>
      <c r="G419" s="45">
        <v>0</v>
      </c>
      <c r="H419" s="45">
        <v>0</v>
      </c>
    </row>
    <row r="420" spans="2:8" x14ac:dyDescent="0.25">
      <c r="B420" s="56" t="s">
        <v>64</v>
      </c>
      <c r="C420" s="45">
        <v>0</v>
      </c>
      <c r="D420" s="45">
        <v>0</v>
      </c>
      <c r="E420" s="45"/>
      <c r="F420" s="45"/>
      <c r="G420" s="45">
        <v>0</v>
      </c>
      <c r="H420" s="45">
        <v>0</v>
      </c>
    </row>
    <row r="421" spans="2:8" x14ac:dyDescent="0.25">
      <c r="B421" s="56" t="s">
        <v>64</v>
      </c>
      <c r="C421" s="45">
        <v>0</v>
      </c>
      <c r="D421" s="45">
        <v>0</v>
      </c>
      <c r="E421" s="45"/>
      <c r="F421" s="45"/>
      <c r="G421" s="45">
        <v>0</v>
      </c>
      <c r="H421" s="45">
        <v>0</v>
      </c>
    </row>
    <row r="422" spans="2:8" x14ac:dyDescent="0.25">
      <c r="B422" s="56" t="s">
        <v>64</v>
      </c>
      <c r="C422" s="45">
        <v>0</v>
      </c>
      <c r="D422" s="45">
        <v>0</v>
      </c>
      <c r="E422" s="45"/>
      <c r="F422" s="45"/>
      <c r="G422" s="45">
        <v>0</v>
      </c>
      <c r="H422" s="45">
        <v>0</v>
      </c>
    </row>
    <row r="423" spans="2:8" x14ac:dyDescent="0.25">
      <c r="B423" s="56" t="s">
        <v>64</v>
      </c>
      <c r="C423" s="45">
        <v>0</v>
      </c>
      <c r="D423" s="45">
        <v>0</v>
      </c>
      <c r="E423" s="45"/>
      <c r="F423" s="45"/>
      <c r="G423" s="45">
        <v>0</v>
      </c>
      <c r="H423" s="45">
        <v>0</v>
      </c>
    </row>
    <row r="424" spans="2:8" x14ac:dyDescent="0.25">
      <c r="B424" s="56" t="s">
        <v>64</v>
      </c>
      <c r="C424" s="45">
        <v>0</v>
      </c>
      <c r="D424" s="45">
        <v>0</v>
      </c>
      <c r="E424" s="45"/>
      <c r="F424" s="45"/>
      <c r="G424" s="45">
        <v>0</v>
      </c>
      <c r="H424" s="45">
        <v>0</v>
      </c>
    </row>
    <row r="425" spans="2:8" x14ac:dyDescent="0.25">
      <c r="B425" s="56" t="s">
        <v>64</v>
      </c>
      <c r="C425" s="45">
        <v>0</v>
      </c>
      <c r="D425" s="45">
        <v>0</v>
      </c>
      <c r="E425" s="45"/>
      <c r="F425" s="45"/>
      <c r="G425" s="45">
        <v>0</v>
      </c>
      <c r="H425" s="45">
        <v>0</v>
      </c>
    </row>
    <row r="426" spans="2:8" x14ac:dyDescent="0.25">
      <c r="B426" s="56" t="s">
        <v>64</v>
      </c>
      <c r="C426" s="45">
        <v>0</v>
      </c>
      <c r="D426" s="45">
        <v>0</v>
      </c>
      <c r="E426" s="45"/>
      <c r="F426" s="45"/>
      <c r="G426" s="45">
        <v>0</v>
      </c>
      <c r="H426" s="45">
        <v>0</v>
      </c>
    </row>
    <row r="427" spans="2:8" x14ac:dyDescent="0.25">
      <c r="B427" s="56" t="s">
        <v>64</v>
      </c>
      <c r="C427" s="45">
        <v>0</v>
      </c>
      <c r="D427" s="45">
        <v>0</v>
      </c>
      <c r="E427" s="45"/>
      <c r="F427" s="45"/>
      <c r="G427" s="45">
        <v>0</v>
      </c>
      <c r="H427" s="45">
        <v>0</v>
      </c>
    </row>
    <row r="428" spans="2:8" x14ac:dyDescent="0.25">
      <c r="B428" s="56" t="s">
        <v>64</v>
      </c>
      <c r="C428" s="45">
        <v>0</v>
      </c>
      <c r="D428" s="45">
        <v>0</v>
      </c>
      <c r="E428" s="45"/>
      <c r="F428" s="45"/>
      <c r="G428" s="45">
        <v>0</v>
      </c>
      <c r="H428" s="45">
        <v>0</v>
      </c>
    </row>
    <row r="429" spans="2:8" x14ac:dyDescent="0.25">
      <c r="B429" s="56" t="s">
        <v>64</v>
      </c>
      <c r="C429" s="45">
        <v>0</v>
      </c>
      <c r="D429" s="45">
        <v>0</v>
      </c>
      <c r="E429" s="45"/>
      <c r="F429" s="45"/>
      <c r="G429" s="45">
        <v>0</v>
      </c>
      <c r="H429" s="45">
        <v>0</v>
      </c>
    </row>
    <row r="430" spans="2:8" x14ac:dyDescent="0.25">
      <c r="B430" s="56" t="s">
        <v>64</v>
      </c>
      <c r="C430" s="45">
        <v>0</v>
      </c>
      <c r="D430" s="45">
        <v>0</v>
      </c>
      <c r="E430" s="45"/>
      <c r="F430" s="45"/>
      <c r="G430" s="45">
        <v>0</v>
      </c>
      <c r="H430" s="45">
        <v>0</v>
      </c>
    </row>
    <row r="431" spans="2:8" x14ac:dyDescent="0.25">
      <c r="B431" s="56" t="s">
        <v>64</v>
      </c>
      <c r="C431" s="45">
        <v>0</v>
      </c>
      <c r="D431" s="45">
        <v>0</v>
      </c>
      <c r="E431" s="45"/>
      <c r="F431" s="45"/>
      <c r="G431" s="45">
        <v>0</v>
      </c>
      <c r="H431" s="45">
        <v>0</v>
      </c>
    </row>
    <row r="432" spans="2:8" x14ac:dyDescent="0.25">
      <c r="B432" s="56" t="s">
        <v>64</v>
      </c>
      <c r="C432" s="45">
        <v>0</v>
      </c>
      <c r="D432" s="45">
        <v>0</v>
      </c>
      <c r="E432" s="45"/>
      <c r="F432" s="45"/>
      <c r="G432" s="45">
        <v>0</v>
      </c>
      <c r="H432" s="45">
        <v>0</v>
      </c>
    </row>
    <row r="433" spans="2:8" x14ac:dyDescent="0.25">
      <c r="B433" s="56" t="s">
        <v>64</v>
      </c>
      <c r="C433" s="45">
        <v>0</v>
      </c>
      <c r="D433" s="45">
        <v>0</v>
      </c>
      <c r="E433" s="45"/>
      <c r="F433" s="45"/>
      <c r="G433" s="45">
        <v>0</v>
      </c>
      <c r="H433" s="45">
        <v>0</v>
      </c>
    </row>
    <row r="434" spans="2:8" x14ac:dyDescent="0.25">
      <c r="B434" s="56" t="s">
        <v>64</v>
      </c>
      <c r="C434" s="45">
        <v>0</v>
      </c>
      <c r="D434" s="45">
        <v>0</v>
      </c>
      <c r="E434" s="45"/>
      <c r="F434" s="45"/>
      <c r="G434" s="45">
        <v>0</v>
      </c>
      <c r="H434" s="45">
        <v>0</v>
      </c>
    </row>
    <row r="435" spans="2:8" x14ac:dyDescent="0.25">
      <c r="B435" s="56" t="s">
        <v>64</v>
      </c>
      <c r="C435" s="45">
        <v>0</v>
      </c>
      <c r="D435" s="45">
        <v>0</v>
      </c>
      <c r="E435" s="45"/>
      <c r="F435" s="45"/>
      <c r="G435" s="45">
        <v>0</v>
      </c>
      <c r="H435" s="45">
        <v>0</v>
      </c>
    </row>
    <row r="436" spans="2:8" x14ac:dyDescent="0.25">
      <c r="B436" s="56" t="s">
        <v>64</v>
      </c>
      <c r="C436" s="45">
        <v>0</v>
      </c>
      <c r="D436" s="45">
        <v>0</v>
      </c>
      <c r="E436" s="45"/>
      <c r="F436" s="45"/>
      <c r="G436" s="45">
        <v>0</v>
      </c>
      <c r="H436" s="45">
        <v>0</v>
      </c>
    </row>
    <row r="437" spans="2:8" x14ac:dyDescent="0.25">
      <c r="B437" s="56" t="s">
        <v>64</v>
      </c>
      <c r="C437" s="45">
        <v>0</v>
      </c>
      <c r="D437" s="45">
        <v>0</v>
      </c>
      <c r="E437" s="45"/>
      <c r="F437" s="45"/>
      <c r="G437" s="45">
        <v>0</v>
      </c>
      <c r="H437" s="45">
        <v>0</v>
      </c>
    </row>
    <row r="438" spans="2:8" x14ac:dyDescent="0.25">
      <c r="B438" s="56" t="s">
        <v>64</v>
      </c>
      <c r="C438" s="45">
        <v>0</v>
      </c>
      <c r="D438" s="45">
        <v>0</v>
      </c>
      <c r="E438" s="45"/>
      <c r="F438" s="45"/>
      <c r="G438" s="45">
        <v>0</v>
      </c>
      <c r="H438" s="45">
        <v>0</v>
      </c>
    </row>
    <row r="439" spans="2:8" x14ac:dyDescent="0.25">
      <c r="B439" s="56" t="s">
        <v>64</v>
      </c>
      <c r="C439" s="45">
        <v>0</v>
      </c>
      <c r="D439" s="45">
        <v>0</v>
      </c>
      <c r="E439" s="45"/>
      <c r="F439" s="45"/>
      <c r="G439" s="45">
        <v>0</v>
      </c>
      <c r="H439" s="45">
        <v>0</v>
      </c>
    </row>
    <row r="440" spans="2:8" x14ac:dyDescent="0.25">
      <c r="B440" s="56" t="s">
        <v>64</v>
      </c>
      <c r="C440" s="45">
        <v>0</v>
      </c>
      <c r="D440" s="45">
        <v>0</v>
      </c>
      <c r="E440" s="45"/>
      <c r="F440" s="45"/>
      <c r="G440" s="45">
        <v>0</v>
      </c>
      <c r="H440" s="45">
        <v>0</v>
      </c>
    </row>
    <row r="441" spans="2:8" x14ac:dyDescent="0.25">
      <c r="B441" s="56" t="s">
        <v>64</v>
      </c>
      <c r="C441" s="45">
        <v>0</v>
      </c>
      <c r="D441" s="45">
        <v>0</v>
      </c>
      <c r="E441" s="45"/>
      <c r="F441" s="45"/>
      <c r="G441" s="45">
        <v>0</v>
      </c>
      <c r="H441" s="45">
        <v>0</v>
      </c>
    </row>
    <row r="442" spans="2:8" x14ac:dyDescent="0.25">
      <c r="B442" s="56" t="s">
        <v>64</v>
      </c>
      <c r="C442" s="45">
        <v>0</v>
      </c>
      <c r="D442" s="45">
        <v>0</v>
      </c>
      <c r="E442" s="45"/>
      <c r="F442" s="45"/>
      <c r="G442" s="45">
        <v>0</v>
      </c>
      <c r="H442" s="45">
        <v>0</v>
      </c>
    </row>
    <row r="443" spans="2:8" x14ac:dyDescent="0.25">
      <c r="B443" s="56" t="s">
        <v>64</v>
      </c>
      <c r="C443" s="45">
        <v>0</v>
      </c>
      <c r="D443" s="45">
        <v>0</v>
      </c>
      <c r="E443" s="45"/>
      <c r="F443" s="45"/>
      <c r="G443" s="45">
        <v>0</v>
      </c>
      <c r="H443" s="45">
        <v>0</v>
      </c>
    </row>
    <row r="444" spans="2:8" x14ac:dyDescent="0.25">
      <c r="B444" s="56" t="s">
        <v>64</v>
      </c>
      <c r="C444" s="45">
        <v>0</v>
      </c>
      <c r="D444" s="45">
        <v>0</v>
      </c>
      <c r="E444" s="45"/>
      <c r="F444" s="45"/>
      <c r="G444" s="45">
        <v>0</v>
      </c>
      <c r="H444" s="45">
        <v>0</v>
      </c>
    </row>
    <row r="445" spans="2:8" x14ac:dyDescent="0.25">
      <c r="B445" s="56" t="s">
        <v>64</v>
      </c>
      <c r="C445" s="45">
        <v>0</v>
      </c>
      <c r="D445" s="45">
        <v>0</v>
      </c>
      <c r="E445" s="45"/>
      <c r="F445" s="45"/>
      <c r="G445" s="45">
        <v>0</v>
      </c>
      <c r="H445" s="45">
        <v>0</v>
      </c>
    </row>
    <row r="446" spans="2:8" x14ac:dyDescent="0.25">
      <c r="B446" s="56" t="s">
        <v>64</v>
      </c>
      <c r="C446" s="45">
        <v>0</v>
      </c>
      <c r="D446" s="45">
        <v>0</v>
      </c>
      <c r="E446" s="45"/>
      <c r="F446" s="45"/>
      <c r="G446" s="45">
        <v>0</v>
      </c>
      <c r="H446" s="45">
        <v>0</v>
      </c>
    </row>
    <row r="447" spans="2:8" x14ac:dyDescent="0.25">
      <c r="B447" s="56" t="s">
        <v>64</v>
      </c>
      <c r="C447" s="45">
        <v>0</v>
      </c>
      <c r="D447" s="45">
        <v>0</v>
      </c>
      <c r="E447" s="45"/>
      <c r="F447" s="45"/>
      <c r="G447" s="45">
        <v>0</v>
      </c>
      <c r="H447" s="45">
        <v>0</v>
      </c>
    </row>
    <row r="448" spans="2:8" x14ac:dyDescent="0.25">
      <c r="B448" s="56" t="s">
        <v>64</v>
      </c>
      <c r="C448" s="45">
        <v>0</v>
      </c>
      <c r="D448" s="45">
        <v>0</v>
      </c>
      <c r="E448" s="45"/>
      <c r="F448" s="45"/>
      <c r="G448" s="45">
        <v>0</v>
      </c>
      <c r="H448" s="45">
        <v>0</v>
      </c>
    </row>
    <row r="449" spans="2:8" x14ac:dyDescent="0.25">
      <c r="B449" s="56" t="s">
        <v>64</v>
      </c>
      <c r="C449" s="45">
        <v>0</v>
      </c>
      <c r="D449" s="45">
        <v>0</v>
      </c>
      <c r="E449" s="45"/>
      <c r="F449" s="45"/>
      <c r="G449" s="45">
        <v>0</v>
      </c>
      <c r="H449" s="45">
        <v>0</v>
      </c>
    </row>
    <row r="450" spans="2:8" x14ac:dyDescent="0.25">
      <c r="B450" s="56" t="s">
        <v>64</v>
      </c>
      <c r="C450" s="45">
        <v>0</v>
      </c>
      <c r="D450" s="45">
        <v>0</v>
      </c>
      <c r="E450" s="45"/>
      <c r="F450" s="45"/>
      <c r="G450" s="45">
        <v>0</v>
      </c>
      <c r="H450" s="45">
        <v>0</v>
      </c>
    </row>
    <row r="451" spans="2:8" x14ac:dyDescent="0.25">
      <c r="B451" s="56" t="s">
        <v>64</v>
      </c>
      <c r="C451" s="45">
        <v>0</v>
      </c>
      <c r="D451" s="45">
        <v>0</v>
      </c>
      <c r="E451" s="45"/>
      <c r="F451" s="45"/>
      <c r="G451" s="45">
        <v>0</v>
      </c>
      <c r="H451" s="45">
        <v>0</v>
      </c>
    </row>
    <row r="452" spans="2:8" x14ac:dyDescent="0.25">
      <c r="B452" s="56" t="s">
        <v>64</v>
      </c>
      <c r="C452" s="45">
        <v>0</v>
      </c>
      <c r="D452" s="45">
        <v>0</v>
      </c>
      <c r="E452" s="45"/>
      <c r="F452" s="45"/>
      <c r="G452" s="45">
        <v>0</v>
      </c>
      <c r="H452" s="45">
        <v>0</v>
      </c>
    </row>
    <row r="453" spans="2:8" x14ac:dyDescent="0.25">
      <c r="B453" s="56" t="s">
        <v>64</v>
      </c>
      <c r="C453" s="45">
        <v>0</v>
      </c>
      <c r="D453" s="45">
        <v>0</v>
      </c>
      <c r="E453" s="45"/>
      <c r="F453" s="45"/>
      <c r="G453" s="45">
        <v>0</v>
      </c>
      <c r="H453" s="45">
        <v>0</v>
      </c>
    </row>
    <row r="454" spans="2:8" x14ac:dyDescent="0.25">
      <c r="B454" s="56" t="s">
        <v>64</v>
      </c>
      <c r="C454" s="45">
        <v>0</v>
      </c>
      <c r="D454" s="45">
        <v>0</v>
      </c>
      <c r="E454" s="45"/>
      <c r="F454" s="45"/>
      <c r="G454" s="45">
        <v>0</v>
      </c>
      <c r="H454" s="45">
        <v>0</v>
      </c>
    </row>
    <row r="455" spans="2:8" x14ac:dyDescent="0.25">
      <c r="B455" s="56" t="s">
        <v>64</v>
      </c>
      <c r="C455" s="45">
        <v>0</v>
      </c>
      <c r="D455" s="45">
        <v>0</v>
      </c>
      <c r="E455" s="45"/>
      <c r="F455" s="45"/>
      <c r="G455" s="45">
        <v>0</v>
      </c>
      <c r="H455" s="45">
        <v>0</v>
      </c>
    </row>
    <row r="456" spans="2:8" x14ac:dyDescent="0.25">
      <c r="B456" s="56" t="s">
        <v>64</v>
      </c>
      <c r="C456" s="45">
        <v>0</v>
      </c>
      <c r="D456" s="45">
        <v>0</v>
      </c>
      <c r="E456" s="45"/>
      <c r="F456" s="45"/>
      <c r="G456" s="45">
        <v>0</v>
      </c>
      <c r="H456" s="45">
        <v>0</v>
      </c>
    </row>
    <row r="457" spans="2:8" x14ac:dyDescent="0.25">
      <c r="B457" s="56" t="s">
        <v>64</v>
      </c>
      <c r="C457" s="45">
        <v>0</v>
      </c>
      <c r="D457" s="45">
        <v>0</v>
      </c>
      <c r="E457" s="45"/>
      <c r="F457" s="45"/>
      <c r="G457" s="45">
        <v>0</v>
      </c>
      <c r="H457" s="45">
        <v>0</v>
      </c>
    </row>
    <row r="458" spans="2:8" x14ac:dyDescent="0.25">
      <c r="B458" s="56" t="s">
        <v>64</v>
      </c>
      <c r="C458" s="45">
        <v>0</v>
      </c>
      <c r="D458" s="45">
        <v>0</v>
      </c>
      <c r="E458" s="45"/>
      <c r="F458" s="45"/>
      <c r="G458" s="45">
        <v>0</v>
      </c>
      <c r="H458" s="45">
        <v>0</v>
      </c>
    </row>
    <row r="459" spans="2:8" x14ac:dyDescent="0.25">
      <c r="B459" s="56" t="s">
        <v>64</v>
      </c>
      <c r="C459" s="45">
        <v>0</v>
      </c>
      <c r="D459" s="45">
        <v>0</v>
      </c>
      <c r="E459" s="45"/>
      <c r="F459" s="45"/>
      <c r="G459" s="45">
        <v>0</v>
      </c>
      <c r="H459" s="45">
        <v>0</v>
      </c>
    </row>
    <row r="460" spans="2:8" x14ac:dyDescent="0.25">
      <c r="B460" s="56" t="s">
        <v>64</v>
      </c>
      <c r="C460" s="45">
        <v>0</v>
      </c>
      <c r="D460" s="45">
        <v>0</v>
      </c>
      <c r="E460" s="45"/>
      <c r="F460" s="45"/>
      <c r="G460" s="45">
        <v>0</v>
      </c>
      <c r="H460" s="45">
        <v>0</v>
      </c>
    </row>
    <row r="461" spans="2:8" x14ac:dyDescent="0.25">
      <c r="B461" s="56" t="s">
        <v>64</v>
      </c>
      <c r="C461" s="45">
        <v>0</v>
      </c>
      <c r="D461" s="45">
        <v>0</v>
      </c>
      <c r="E461" s="45"/>
      <c r="F461" s="45"/>
      <c r="G461" s="45">
        <v>0</v>
      </c>
      <c r="H461" s="45">
        <v>0</v>
      </c>
    </row>
    <row r="462" spans="2:8" x14ac:dyDescent="0.25">
      <c r="B462" s="56" t="s">
        <v>64</v>
      </c>
      <c r="C462" s="45">
        <v>0</v>
      </c>
      <c r="D462" s="45">
        <v>0</v>
      </c>
      <c r="E462" s="45"/>
      <c r="F462" s="45"/>
      <c r="G462" s="45">
        <v>0</v>
      </c>
      <c r="H462" s="45">
        <v>0</v>
      </c>
    </row>
    <row r="463" spans="2:8" x14ac:dyDescent="0.25">
      <c r="B463" s="56" t="s">
        <v>64</v>
      </c>
      <c r="C463" s="45">
        <v>0</v>
      </c>
      <c r="D463" s="45">
        <v>0</v>
      </c>
      <c r="E463" s="45"/>
      <c r="F463" s="45"/>
      <c r="G463" s="45">
        <v>0</v>
      </c>
      <c r="H463" s="45">
        <v>0</v>
      </c>
    </row>
    <row r="464" spans="2:8" x14ac:dyDescent="0.25">
      <c r="B464" s="56" t="s">
        <v>64</v>
      </c>
      <c r="C464" s="45">
        <v>0</v>
      </c>
      <c r="D464" s="45">
        <v>0</v>
      </c>
      <c r="E464" s="45"/>
      <c r="F464" s="45"/>
      <c r="G464" s="45">
        <v>0</v>
      </c>
      <c r="H464" s="45">
        <v>0</v>
      </c>
    </row>
    <row r="465" spans="2:8" x14ac:dyDescent="0.25">
      <c r="B465" s="56" t="s">
        <v>64</v>
      </c>
      <c r="C465" s="45">
        <v>0</v>
      </c>
      <c r="D465" s="45">
        <v>0</v>
      </c>
      <c r="E465" s="45"/>
      <c r="F465" s="45"/>
      <c r="G465" s="45">
        <v>0</v>
      </c>
      <c r="H465" s="45">
        <v>0</v>
      </c>
    </row>
    <row r="466" spans="2:8" x14ac:dyDescent="0.25">
      <c r="B466" s="56" t="s">
        <v>64</v>
      </c>
      <c r="C466" s="45">
        <v>0</v>
      </c>
      <c r="D466" s="45">
        <v>0</v>
      </c>
      <c r="E466" s="45"/>
      <c r="F466" s="45"/>
      <c r="G466" s="45">
        <v>0</v>
      </c>
      <c r="H466" s="45">
        <v>0</v>
      </c>
    </row>
    <row r="467" spans="2:8" x14ac:dyDescent="0.25">
      <c r="B467" s="56" t="s">
        <v>64</v>
      </c>
      <c r="C467" s="45">
        <v>0</v>
      </c>
      <c r="D467" s="45">
        <v>0</v>
      </c>
      <c r="E467" s="45"/>
      <c r="F467" s="45"/>
      <c r="G467" s="45">
        <v>0</v>
      </c>
      <c r="H467" s="45">
        <v>0</v>
      </c>
    </row>
    <row r="468" spans="2:8" x14ac:dyDescent="0.25">
      <c r="B468" s="56" t="s">
        <v>64</v>
      </c>
      <c r="C468" s="45">
        <v>0</v>
      </c>
      <c r="D468" s="45">
        <v>0</v>
      </c>
      <c r="E468" s="45"/>
      <c r="F468" s="45"/>
      <c r="G468" s="45">
        <v>0</v>
      </c>
      <c r="H468" s="45">
        <v>0</v>
      </c>
    </row>
    <row r="469" spans="2:8" x14ac:dyDescent="0.25">
      <c r="B469" s="56" t="s">
        <v>64</v>
      </c>
      <c r="C469" s="45">
        <v>0</v>
      </c>
      <c r="D469" s="45">
        <v>0</v>
      </c>
      <c r="E469" s="45"/>
      <c r="F469" s="45"/>
      <c r="G469" s="45">
        <v>0</v>
      </c>
      <c r="H469" s="45">
        <v>0</v>
      </c>
    </row>
    <row r="470" spans="2:8" x14ac:dyDescent="0.25">
      <c r="B470" s="56" t="s">
        <v>64</v>
      </c>
      <c r="C470" s="45">
        <v>0</v>
      </c>
      <c r="D470" s="45">
        <v>0</v>
      </c>
      <c r="E470" s="45"/>
      <c r="F470" s="45"/>
      <c r="G470" s="45">
        <v>0</v>
      </c>
      <c r="H470" s="45">
        <v>0</v>
      </c>
    </row>
    <row r="471" spans="2:8" x14ac:dyDescent="0.25">
      <c r="B471" s="56" t="s">
        <v>64</v>
      </c>
      <c r="C471" s="45">
        <v>0</v>
      </c>
      <c r="D471" s="45">
        <v>0</v>
      </c>
      <c r="E471" s="45"/>
      <c r="F471" s="45"/>
      <c r="G471" s="45">
        <v>0</v>
      </c>
      <c r="H471" s="45">
        <v>0</v>
      </c>
    </row>
    <row r="472" spans="2:8" x14ac:dyDescent="0.25">
      <c r="B472" s="56" t="s">
        <v>64</v>
      </c>
      <c r="C472" s="45">
        <v>0</v>
      </c>
      <c r="D472" s="45">
        <v>0</v>
      </c>
      <c r="E472" s="45"/>
      <c r="F472" s="45"/>
      <c r="G472" s="45">
        <v>0</v>
      </c>
      <c r="H472" s="45">
        <v>0</v>
      </c>
    </row>
    <row r="473" spans="2:8" x14ac:dyDescent="0.25">
      <c r="B473" s="56" t="s">
        <v>64</v>
      </c>
      <c r="C473" s="45">
        <v>0</v>
      </c>
      <c r="D473" s="45">
        <v>0</v>
      </c>
      <c r="E473" s="45"/>
      <c r="F473" s="45"/>
      <c r="G473" s="45">
        <v>0</v>
      </c>
      <c r="H473" s="45">
        <v>0</v>
      </c>
    </row>
    <row r="474" spans="2:8" x14ac:dyDescent="0.25">
      <c r="B474" s="56" t="s">
        <v>64</v>
      </c>
      <c r="C474" s="45">
        <v>0</v>
      </c>
      <c r="D474" s="45">
        <v>0</v>
      </c>
      <c r="E474" s="45"/>
      <c r="F474" s="45"/>
      <c r="G474" s="45">
        <v>0</v>
      </c>
      <c r="H474" s="45">
        <v>0</v>
      </c>
    </row>
    <row r="475" spans="2:8" x14ac:dyDescent="0.25">
      <c r="B475" s="56" t="s">
        <v>64</v>
      </c>
      <c r="C475" s="45">
        <v>0</v>
      </c>
      <c r="D475" s="45">
        <v>0</v>
      </c>
      <c r="E475" s="45"/>
      <c r="F475" s="45"/>
      <c r="G475" s="45">
        <v>0</v>
      </c>
      <c r="H475" s="45">
        <v>0</v>
      </c>
    </row>
    <row r="476" spans="2:8" x14ac:dyDescent="0.25">
      <c r="B476" s="56" t="s">
        <v>64</v>
      </c>
      <c r="C476" s="45">
        <v>0</v>
      </c>
      <c r="D476" s="45">
        <v>0</v>
      </c>
      <c r="E476" s="45"/>
      <c r="F476" s="45"/>
      <c r="G476" s="45">
        <v>0</v>
      </c>
      <c r="H476" s="45">
        <v>0</v>
      </c>
    </row>
    <row r="477" spans="2:8" x14ac:dyDescent="0.25">
      <c r="B477" s="56" t="s">
        <v>64</v>
      </c>
      <c r="C477" s="45">
        <v>0</v>
      </c>
      <c r="D477" s="45">
        <v>0</v>
      </c>
      <c r="E477" s="45"/>
      <c r="F477" s="45"/>
      <c r="G477" s="45">
        <v>0</v>
      </c>
      <c r="H477" s="45">
        <v>0</v>
      </c>
    </row>
    <row r="478" spans="2:8" x14ac:dyDescent="0.25">
      <c r="B478" s="56" t="s">
        <v>64</v>
      </c>
      <c r="C478" s="45">
        <v>0</v>
      </c>
      <c r="D478" s="45">
        <v>0</v>
      </c>
      <c r="E478" s="45"/>
      <c r="F478" s="45"/>
      <c r="G478" s="45">
        <v>0</v>
      </c>
      <c r="H478" s="45">
        <v>0</v>
      </c>
    </row>
    <row r="479" spans="2:8" x14ac:dyDescent="0.25">
      <c r="B479" s="56" t="s">
        <v>64</v>
      </c>
      <c r="C479" s="45">
        <v>0</v>
      </c>
      <c r="D479" s="45">
        <v>0</v>
      </c>
      <c r="E479" s="45"/>
      <c r="F479" s="45"/>
      <c r="G479" s="45">
        <v>0</v>
      </c>
      <c r="H479" s="45">
        <v>0</v>
      </c>
    </row>
    <row r="480" spans="2:8" x14ac:dyDescent="0.25">
      <c r="B480" s="56" t="s">
        <v>64</v>
      </c>
      <c r="C480" s="45">
        <v>0</v>
      </c>
      <c r="D480" s="45">
        <v>0</v>
      </c>
      <c r="E480" s="45"/>
      <c r="F480" s="45"/>
      <c r="G480" s="45">
        <v>0</v>
      </c>
      <c r="H480" s="45">
        <v>0</v>
      </c>
    </row>
    <row r="481" spans="2:8" x14ac:dyDescent="0.25">
      <c r="B481" s="56" t="s">
        <v>64</v>
      </c>
      <c r="C481" s="45">
        <v>0</v>
      </c>
      <c r="D481" s="45">
        <v>0</v>
      </c>
      <c r="E481" s="45"/>
      <c r="F481" s="45"/>
      <c r="G481" s="45">
        <v>0</v>
      </c>
      <c r="H481" s="45">
        <v>0</v>
      </c>
    </row>
    <row r="482" spans="2:8" x14ac:dyDescent="0.25">
      <c r="B482" s="56" t="s">
        <v>64</v>
      </c>
      <c r="C482" s="45">
        <v>0</v>
      </c>
      <c r="D482" s="45">
        <v>0</v>
      </c>
      <c r="E482" s="45"/>
      <c r="F482" s="45"/>
      <c r="G482" s="45">
        <v>0</v>
      </c>
      <c r="H482" s="45">
        <v>0</v>
      </c>
    </row>
    <row r="483" spans="2:8" x14ac:dyDescent="0.25">
      <c r="B483" s="56" t="s">
        <v>64</v>
      </c>
      <c r="C483" s="45">
        <v>0</v>
      </c>
      <c r="D483" s="45">
        <v>0</v>
      </c>
      <c r="E483" s="45"/>
      <c r="F483" s="45"/>
      <c r="G483" s="45">
        <v>0</v>
      </c>
      <c r="H483" s="45">
        <v>0</v>
      </c>
    </row>
    <row r="484" spans="2:8" x14ac:dyDescent="0.25">
      <c r="B484" s="56" t="s">
        <v>64</v>
      </c>
      <c r="C484" s="45">
        <v>0</v>
      </c>
      <c r="D484" s="45">
        <v>0</v>
      </c>
      <c r="E484" s="45"/>
      <c r="F484" s="45"/>
      <c r="G484" s="45">
        <v>0</v>
      </c>
      <c r="H484" s="45">
        <v>0</v>
      </c>
    </row>
    <row r="485" spans="2:8" x14ac:dyDescent="0.25">
      <c r="B485" s="56" t="s">
        <v>64</v>
      </c>
      <c r="C485" s="45">
        <v>0</v>
      </c>
      <c r="D485" s="45">
        <v>0</v>
      </c>
      <c r="E485" s="45"/>
      <c r="F485" s="45"/>
      <c r="G485" s="45">
        <v>0</v>
      </c>
      <c r="H485" s="45">
        <v>0</v>
      </c>
    </row>
    <row r="486" spans="2:8" x14ac:dyDescent="0.25">
      <c r="B486" s="56" t="s">
        <v>64</v>
      </c>
      <c r="C486" s="45">
        <v>0</v>
      </c>
      <c r="D486" s="45">
        <v>0</v>
      </c>
      <c r="E486" s="45"/>
      <c r="F486" s="45"/>
      <c r="G486" s="45">
        <v>0</v>
      </c>
      <c r="H486" s="45">
        <v>0</v>
      </c>
    </row>
    <row r="487" spans="2:8" x14ac:dyDescent="0.25">
      <c r="B487" s="56" t="s">
        <v>64</v>
      </c>
      <c r="C487" s="45">
        <v>0</v>
      </c>
      <c r="D487" s="45">
        <v>0</v>
      </c>
      <c r="E487" s="45"/>
      <c r="F487" s="45"/>
      <c r="G487" s="45">
        <v>0</v>
      </c>
      <c r="H487" s="45">
        <v>0</v>
      </c>
    </row>
    <row r="488" spans="2:8" x14ac:dyDescent="0.25">
      <c r="B488" s="56" t="s">
        <v>64</v>
      </c>
      <c r="C488" s="45">
        <v>0</v>
      </c>
      <c r="D488" s="45">
        <v>0</v>
      </c>
      <c r="E488" s="45"/>
      <c r="F488" s="45"/>
      <c r="G488" s="45">
        <v>0</v>
      </c>
      <c r="H488" s="45">
        <v>0</v>
      </c>
    </row>
    <row r="489" spans="2:8" x14ac:dyDescent="0.25">
      <c r="B489" s="56" t="s">
        <v>64</v>
      </c>
      <c r="C489" s="45">
        <v>0</v>
      </c>
      <c r="D489" s="45">
        <v>0</v>
      </c>
      <c r="E489" s="45"/>
      <c r="F489" s="45"/>
      <c r="G489" s="45">
        <v>0</v>
      </c>
      <c r="H489" s="45">
        <v>0</v>
      </c>
    </row>
    <row r="490" spans="2:8" x14ac:dyDescent="0.25">
      <c r="B490" s="56" t="s">
        <v>64</v>
      </c>
      <c r="C490" s="45">
        <v>0</v>
      </c>
      <c r="D490" s="45">
        <v>0</v>
      </c>
      <c r="E490" s="45"/>
      <c r="F490" s="45"/>
      <c r="G490" s="45">
        <v>0</v>
      </c>
      <c r="H490" s="45">
        <v>0</v>
      </c>
    </row>
    <row r="491" spans="2:8" x14ac:dyDescent="0.25">
      <c r="B491" s="56" t="s">
        <v>64</v>
      </c>
      <c r="C491" s="45">
        <v>0</v>
      </c>
      <c r="D491" s="45">
        <v>0</v>
      </c>
      <c r="E491" s="45"/>
      <c r="F491" s="45"/>
      <c r="G491" s="45">
        <v>0</v>
      </c>
      <c r="H491" s="45">
        <v>0</v>
      </c>
    </row>
    <row r="492" spans="2:8" x14ac:dyDescent="0.25">
      <c r="B492" s="56" t="s">
        <v>64</v>
      </c>
      <c r="C492" s="45">
        <v>0</v>
      </c>
      <c r="D492" s="45">
        <v>0</v>
      </c>
      <c r="E492" s="45"/>
      <c r="F492" s="45"/>
      <c r="G492" s="45">
        <v>0</v>
      </c>
      <c r="H492" s="45">
        <v>0</v>
      </c>
    </row>
    <row r="493" spans="2:8" x14ac:dyDescent="0.25">
      <c r="B493" s="56" t="s">
        <v>64</v>
      </c>
      <c r="C493" s="45">
        <v>0</v>
      </c>
      <c r="D493" s="45">
        <v>0</v>
      </c>
      <c r="E493" s="45"/>
      <c r="F493" s="45"/>
      <c r="G493" s="45">
        <v>0</v>
      </c>
      <c r="H493" s="45">
        <v>0</v>
      </c>
    </row>
    <row r="494" spans="2:8" x14ac:dyDescent="0.25">
      <c r="B494" s="56" t="s">
        <v>64</v>
      </c>
      <c r="C494" s="45">
        <v>0</v>
      </c>
      <c r="D494" s="45">
        <v>0</v>
      </c>
      <c r="E494" s="45"/>
      <c r="F494" s="45"/>
      <c r="G494" s="45">
        <v>0</v>
      </c>
      <c r="H494" s="45">
        <v>0</v>
      </c>
    </row>
    <row r="495" spans="2:8" x14ac:dyDescent="0.25">
      <c r="B495" s="56" t="s">
        <v>64</v>
      </c>
      <c r="C495" s="45">
        <v>0</v>
      </c>
      <c r="D495" s="45">
        <v>0</v>
      </c>
      <c r="E495" s="45"/>
      <c r="F495" s="45"/>
      <c r="G495" s="45">
        <v>0</v>
      </c>
      <c r="H495" s="45">
        <v>0</v>
      </c>
    </row>
    <row r="496" spans="2:8" x14ac:dyDescent="0.25">
      <c r="B496" s="56" t="s">
        <v>64</v>
      </c>
      <c r="C496" s="45">
        <v>0</v>
      </c>
      <c r="D496" s="45">
        <v>0</v>
      </c>
      <c r="E496" s="45"/>
      <c r="F496" s="45"/>
      <c r="G496" s="45">
        <v>0</v>
      </c>
      <c r="H496" s="45">
        <v>0</v>
      </c>
    </row>
    <row r="497" spans="2:8" x14ac:dyDescent="0.25">
      <c r="B497" s="56" t="s">
        <v>64</v>
      </c>
      <c r="C497" s="45">
        <v>0</v>
      </c>
      <c r="D497" s="45">
        <v>0</v>
      </c>
      <c r="E497" s="45"/>
      <c r="F497" s="45"/>
      <c r="G497" s="45">
        <v>0</v>
      </c>
      <c r="H497" s="45">
        <v>0</v>
      </c>
    </row>
    <row r="498" spans="2:8" x14ac:dyDescent="0.25">
      <c r="B498" s="56" t="s">
        <v>64</v>
      </c>
      <c r="C498" s="45">
        <v>0</v>
      </c>
      <c r="D498" s="45">
        <v>0</v>
      </c>
      <c r="E498" s="45"/>
      <c r="F498" s="45"/>
      <c r="G498" s="45">
        <v>0</v>
      </c>
      <c r="H498" s="45">
        <v>0</v>
      </c>
    </row>
    <row r="499" spans="2:8" x14ac:dyDescent="0.25">
      <c r="B499" s="56" t="s">
        <v>64</v>
      </c>
      <c r="C499" s="45">
        <v>0</v>
      </c>
      <c r="D499" s="45">
        <v>0</v>
      </c>
      <c r="E499" s="45"/>
      <c r="F499" s="45"/>
      <c r="G499" s="45">
        <v>0</v>
      </c>
      <c r="H499" s="45">
        <v>0</v>
      </c>
    </row>
    <row r="500" spans="2:8" x14ac:dyDescent="0.25">
      <c r="B500" s="56" t="s">
        <v>64</v>
      </c>
      <c r="C500" s="45">
        <v>0</v>
      </c>
      <c r="D500" s="45">
        <v>0</v>
      </c>
      <c r="E500" s="45"/>
      <c r="F500" s="45"/>
      <c r="G500" s="45">
        <v>0</v>
      </c>
      <c r="H500" s="45">
        <v>0</v>
      </c>
    </row>
    <row r="501" spans="2:8" x14ac:dyDescent="0.25">
      <c r="B501" s="56" t="s">
        <v>64</v>
      </c>
      <c r="C501" s="45">
        <v>0</v>
      </c>
      <c r="D501" s="45">
        <v>0</v>
      </c>
      <c r="E501" s="45"/>
      <c r="F501" s="45"/>
      <c r="G501" s="45">
        <v>0</v>
      </c>
      <c r="H501" s="45">
        <v>0</v>
      </c>
    </row>
    <row r="502" spans="2:8" x14ac:dyDescent="0.25">
      <c r="B502" s="56" t="s">
        <v>64</v>
      </c>
      <c r="C502" s="45">
        <v>0</v>
      </c>
      <c r="D502" s="45">
        <v>0</v>
      </c>
      <c r="E502" s="45"/>
      <c r="F502" s="45"/>
      <c r="G502" s="45">
        <v>0</v>
      </c>
      <c r="H502" s="45">
        <v>0</v>
      </c>
    </row>
    <row r="503" spans="2:8" x14ac:dyDescent="0.25">
      <c r="B503" s="56" t="s">
        <v>64</v>
      </c>
      <c r="C503" s="45">
        <v>0</v>
      </c>
      <c r="D503" s="45">
        <v>0</v>
      </c>
      <c r="E503" s="45"/>
      <c r="F503" s="45"/>
      <c r="G503" s="45">
        <v>0</v>
      </c>
      <c r="H503" s="45">
        <v>0</v>
      </c>
    </row>
    <row r="504" spans="2:8" x14ac:dyDescent="0.25">
      <c r="B504" s="56" t="s">
        <v>64</v>
      </c>
      <c r="C504" s="45">
        <v>0</v>
      </c>
      <c r="D504" s="45">
        <v>0</v>
      </c>
      <c r="E504" s="45"/>
      <c r="F504" s="45"/>
      <c r="G504" s="45">
        <v>0</v>
      </c>
      <c r="H504" s="45">
        <v>0</v>
      </c>
    </row>
    <row r="505" spans="2:8" x14ac:dyDescent="0.25">
      <c r="B505" s="56" t="s">
        <v>64</v>
      </c>
      <c r="C505" s="45">
        <v>0</v>
      </c>
      <c r="D505" s="45">
        <v>0</v>
      </c>
      <c r="E505" s="45"/>
      <c r="F505" s="45"/>
      <c r="G505" s="45">
        <v>0</v>
      </c>
      <c r="H505" s="45">
        <v>0</v>
      </c>
    </row>
    <row r="506" spans="2:8" x14ac:dyDescent="0.25">
      <c r="B506" s="56" t="s">
        <v>64</v>
      </c>
      <c r="C506" s="45">
        <v>0</v>
      </c>
      <c r="D506" s="45">
        <v>0</v>
      </c>
      <c r="E506" s="45"/>
      <c r="F506" s="45"/>
      <c r="G506" s="45">
        <v>0</v>
      </c>
      <c r="H506" s="45">
        <v>0</v>
      </c>
    </row>
    <row r="507" spans="2:8" x14ac:dyDescent="0.25">
      <c r="B507" s="56" t="s">
        <v>64</v>
      </c>
      <c r="C507" s="45">
        <v>0</v>
      </c>
      <c r="D507" s="45">
        <v>0</v>
      </c>
      <c r="E507" s="45"/>
      <c r="F507" s="45"/>
      <c r="G507" s="45">
        <v>0</v>
      </c>
      <c r="H507" s="45">
        <v>0</v>
      </c>
    </row>
    <row r="508" spans="2:8" x14ac:dyDescent="0.25">
      <c r="B508" s="56" t="s">
        <v>64</v>
      </c>
      <c r="C508" s="45">
        <v>0</v>
      </c>
      <c r="D508" s="45">
        <v>0</v>
      </c>
      <c r="E508" s="45"/>
      <c r="F508" s="45"/>
      <c r="G508" s="45">
        <v>0</v>
      </c>
      <c r="H508" s="45">
        <v>0</v>
      </c>
    </row>
    <row r="509" spans="2:8" x14ac:dyDescent="0.25">
      <c r="B509" s="56" t="s">
        <v>64</v>
      </c>
      <c r="C509" s="45">
        <v>0</v>
      </c>
      <c r="D509" s="45">
        <v>0</v>
      </c>
      <c r="E509" s="45"/>
      <c r="F509" s="45"/>
      <c r="G509" s="45">
        <v>0</v>
      </c>
      <c r="H509" s="45">
        <v>0</v>
      </c>
    </row>
    <row r="510" spans="2:8" x14ac:dyDescent="0.25">
      <c r="B510" s="56" t="s">
        <v>64</v>
      </c>
      <c r="C510" s="45">
        <v>0</v>
      </c>
      <c r="D510" s="45">
        <v>0</v>
      </c>
      <c r="E510" s="45"/>
      <c r="F510" s="45"/>
      <c r="G510" s="45">
        <v>0</v>
      </c>
      <c r="H510" s="45">
        <v>0</v>
      </c>
    </row>
    <row r="511" spans="2:8" x14ac:dyDescent="0.25">
      <c r="B511" s="56" t="s">
        <v>64</v>
      </c>
      <c r="C511" s="45">
        <v>0</v>
      </c>
      <c r="D511" s="45">
        <v>0</v>
      </c>
      <c r="E511" s="45"/>
      <c r="F511" s="45"/>
      <c r="G511" s="45">
        <v>0</v>
      </c>
      <c r="H511" s="45">
        <v>0</v>
      </c>
    </row>
    <row r="512" spans="2:8" x14ac:dyDescent="0.25">
      <c r="B512" s="56" t="s">
        <v>64</v>
      </c>
      <c r="C512" s="45">
        <v>0</v>
      </c>
      <c r="D512" s="45">
        <v>0</v>
      </c>
      <c r="E512" s="45"/>
      <c r="F512" s="45"/>
      <c r="G512" s="45">
        <v>0</v>
      </c>
      <c r="H512" s="45">
        <v>0</v>
      </c>
    </row>
    <row r="513" spans="2:8" x14ac:dyDescent="0.25">
      <c r="B513" s="56" t="s">
        <v>64</v>
      </c>
      <c r="C513" s="45">
        <v>0</v>
      </c>
      <c r="D513" s="45">
        <v>0</v>
      </c>
      <c r="E513" s="45"/>
      <c r="F513" s="45"/>
      <c r="G513" s="45">
        <v>0</v>
      </c>
      <c r="H513" s="45">
        <v>0</v>
      </c>
    </row>
    <row r="514" spans="2:8" x14ac:dyDescent="0.25">
      <c r="B514" s="56" t="s">
        <v>64</v>
      </c>
      <c r="C514" s="45">
        <v>0</v>
      </c>
      <c r="D514" s="45">
        <v>0</v>
      </c>
      <c r="E514" s="45"/>
      <c r="F514" s="45"/>
      <c r="G514" s="45">
        <v>0</v>
      </c>
      <c r="H514" s="45">
        <v>0</v>
      </c>
    </row>
    <row r="515" spans="2:8" x14ac:dyDescent="0.25">
      <c r="B515" s="56" t="s">
        <v>64</v>
      </c>
      <c r="C515" s="45">
        <v>0</v>
      </c>
      <c r="D515" s="45">
        <v>0</v>
      </c>
      <c r="E515" s="45"/>
      <c r="F515" s="45"/>
      <c r="G515" s="45">
        <v>0</v>
      </c>
      <c r="H515" s="45">
        <v>0</v>
      </c>
    </row>
    <row r="516" spans="2:8" x14ac:dyDescent="0.25">
      <c r="B516" s="56" t="s">
        <v>64</v>
      </c>
      <c r="C516" s="45">
        <v>0</v>
      </c>
      <c r="D516" s="45">
        <v>0</v>
      </c>
      <c r="E516" s="45"/>
      <c r="F516" s="45"/>
      <c r="G516" s="45">
        <v>0</v>
      </c>
      <c r="H516" s="45">
        <v>0</v>
      </c>
    </row>
    <row r="517" spans="2:8" x14ac:dyDescent="0.25">
      <c r="B517" s="56" t="s">
        <v>64</v>
      </c>
      <c r="C517" s="45">
        <v>0</v>
      </c>
      <c r="D517" s="45">
        <v>0</v>
      </c>
      <c r="E517" s="45"/>
      <c r="F517" s="45"/>
      <c r="G517" s="45">
        <v>0</v>
      </c>
      <c r="H517" s="45">
        <v>0</v>
      </c>
    </row>
    <row r="518" spans="2:8" x14ac:dyDescent="0.25">
      <c r="B518" s="56" t="s">
        <v>64</v>
      </c>
      <c r="C518" s="45">
        <v>0</v>
      </c>
      <c r="D518" s="45">
        <v>0</v>
      </c>
      <c r="E518" s="45"/>
      <c r="F518" s="45"/>
      <c r="G518" s="45">
        <v>0</v>
      </c>
      <c r="H518" s="45">
        <v>0</v>
      </c>
    </row>
    <row r="519" spans="2:8" x14ac:dyDescent="0.25">
      <c r="B519" s="56" t="s">
        <v>64</v>
      </c>
      <c r="C519" s="45">
        <v>0</v>
      </c>
      <c r="D519" s="45">
        <v>0</v>
      </c>
      <c r="E519" s="45"/>
      <c r="F519" s="45"/>
      <c r="G519" s="45">
        <v>0</v>
      </c>
      <c r="H519" s="45">
        <v>0</v>
      </c>
    </row>
    <row r="520" spans="2:8" x14ac:dyDescent="0.25">
      <c r="B520" s="56" t="s">
        <v>64</v>
      </c>
      <c r="C520" s="45">
        <v>0</v>
      </c>
      <c r="D520" s="45">
        <v>0</v>
      </c>
      <c r="E520" s="45"/>
      <c r="F520" s="45"/>
      <c r="G520" s="45">
        <v>0</v>
      </c>
      <c r="H520" s="45">
        <v>0</v>
      </c>
    </row>
    <row r="521" spans="2:8" x14ac:dyDescent="0.25">
      <c r="B521" s="56" t="s">
        <v>64</v>
      </c>
      <c r="C521" s="45">
        <v>0</v>
      </c>
      <c r="D521" s="45">
        <v>0</v>
      </c>
      <c r="E521" s="45"/>
      <c r="F521" s="45"/>
      <c r="G521" s="45">
        <v>0</v>
      </c>
      <c r="H521" s="45">
        <v>0</v>
      </c>
    </row>
    <row r="522" spans="2:8" x14ac:dyDescent="0.25">
      <c r="B522" s="56" t="s">
        <v>64</v>
      </c>
      <c r="C522" s="45">
        <v>0</v>
      </c>
      <c r="D522" s="45">
        <v>0</v>
      </c>
      <c r="E522" s="45"/>
      <c r="F522" s="45"/>
      <c r="G522" s="45">
        <v>0</v>
      </c>
      <c r="H522" s="45">
        <v>0</v>
      </c>
    </row>
    <row r="523" spans="2:8" x14ac:dyDescent="0.25">
      <c r="B523" s="56" t="s">
        <v>64</v>
      </c>
      <c r="C523" s="45">
        <v>0</v>
      </c>
      <c r="D523" s="45">
        <v>0</v>
      </c>
      <c r="E523" s="45"/>
      <c r="F523" s="45"/>
      <c r="G523" s="45">
        <v>0</v>
      </c>
      <c r="H523" s="45">
        <v>0</v>
      </c>
    </row>
    <row r="524" spans="2:8" x14ac:dyDescent="0.25">
      <c r="B524" s="56" t="s">
        <v>64</v>
      </c>
      <c r="C524" s="45">
        <v>0</v>
      </c>
      <c r="D524" s="45">
        <v>0</v>
      </c>
      <c r="E524" s="45"/>
      <c r="F524" s="45"/>
      <c r="G524" s="45">
        <v>0</v>
      </c>
      <c r="H524" s="45">
        <v>0</v>
      </c>
    </row>
    <row r="525" spans="2:8" x14ac:dyDescent="0.25">
      <c r="B525" s="56" t="s">
        <v>64</v>
      </c>
      <c r="C525" s="45">
        <v>0</v>
      </c>
      <c r="D525" s="45">
        <v>0</v>
      </c>
      <c r="E525" s="45"/>
      <c r="F525" s="45"/>
      <c r="G525" s="45">
        <v>0</v>
      </c>
      <c r="H525" s="45">
        <v>0</v>
      </c>
    </row>
    <row r="526" spans="2:8" x14ac:dyDescent="0.25">
      <c r="B526" s="56" t="s">
        <v>64</v>
      </c>
      <c r="C526" s="45">
        <v>0</v>
      </c>
      <c r="D526" s="45">
        <v>0</v>
      </c>
      <c r="E526" s="45"/>
      <c r="F526" s="45"/>
      <c r="G526" s="45">
        <v>0</v>
      </c>
      <c r="H526" s="45">
        <v>0</v>
      </c>
    </row>
    <row r="527" spans="2:8" x14ac:dyDescent="0.25">
      <c r="B527" s="56" t="s">
        <v>64</v>
      </c>
      <c r="C527" s="45">
        <v>0</v>
      </c>
      <c r="D527" s="45">
        <v>0</v>
      </c>
      <c r="E527" s="45"/>
      <c r="F527" s="45"/>
      <c r="G527" s="45">
        <v>0</v>
      </c>
      <c r="H527" s="45">
        <v>0</v>
      </c>
    </row>
    <row r="528" spans="2:8" x14ac:dyDescent="0.25">
      <c r="B528" s="56" t="s">
        <v>64</v>
      </c>
      <c r="C528" s="45">
        <v>0</v>
      </c>
      <c r="D528" s="45">
        <v>0</v>
      </c>
      <c r="E528" s="45"/>
      <c r="F528" s="45"/>
      <c r="G528" s="45">
        <v>0</v>
      </c>
      <c r="H528" s="45">
        <v>0</v>
      </c>
    </row>
    <row r="529" spans="2:8" x14ac:dyDescent="0.25">
      <c r="B529" s="56" t="s">
        <v>64</v>
      </c>
      <c r="C529" s="45">
        <v>0</v>
      </c>
      <c r="D529" s="45">
        <v>0</v>
      </c>
      <c r="E529" s="45"/>
      <c r="F529" s="45"/>
      <c r="G529" s="45">
        <v>0</v>
      </c>
      <c r="H529" s="45">
        <v>0</v>
      </c>
    </row>
    <row r="530" spans="2:8" x14ac:dyDescent="0.25">
      <c r="B530" s="56" t="s">
        <v>64</v>
      </c>
      <c r="C530" s="45">
        <v>0</v>
      </c>
      <c r="D530" s="45">
        <v>0</v>
      </c>
      <c r="E530" s="45"/>
      <c r="F530" s="45"/>
      <c r="G530" s="45">
        <v>0</v>
      </c>
      <c r="H530" s="45">
        <v>0</v>
      </c>
    </row>
    <row r="531" spans="2:8" x14ac:dyDescent="0.25">
      <c r="B531" s="56" t="s">
        <v>64</v>
      </c>
      <c r="C531" s="45">
        <v>0</v>
      </c>
      <c r="D531" s="45">
        <v>0</v>
      </c>
      <c r="E531" s="45"/>
      <c r="F531" s="45"/>
      <c r="G531" s="45">
        <v>0</v>
      </c>
      <c r="H531" s="45">
        <v>0</v>
      </c>
    </row>
    <row r="532" spans="2:8" x14ac:dyDescent="0.25">
      <c r="B532" s="56" t="s">
        <v>64</v>
      </c>
      <c r="C532" s="45">
        <v>0</v>
      </c>
      <c r="D532" s="45">
        <v>0</v>
      </c>
      <c r="E532" s="45"/>
      <c r="F532" s="45"/>
      <c r="G532" s="45">
        <v>0</v>
      </c>
      <c r="H532" s="45">
        <v>0</v>
      </c>
    </row>
    <row r="533" spans="2:8" x14ac:dyDescent="0.25">
      <c r="B533" s="56" t="s">
        <v>64</v>
      </c>
      <c r="C533" s="45">
        <v>0</v>
      </c>
      <c r="D533" s="45">
        <v>0</v>
      </c>
      <c r="E533" s="45"/>
      <c r="F533" s="45"/>
      <c r="G533" s="45">
        <v>0</v>
      </c>
      <c r="H533" s="45">
        <v>0</v>
      </c>
    </row>
  </sheetData>
  <autoFilter ref="A6:B533" xr:uid="{00000000-0009-0000-0000-000003000000}"/>
  <sortState xmlns:xlrd2="http://schemas.microsoft.com/office/spreadsheetml/2017/richdata2" ref="G232:O235">
    <sortCondition ref="G232:G235"/>
  </sortState>
  <mergeCells count="1">
    <mergeCell ref="C5:I5"/>
  </mergeCells>
  <conditionalFormatting sqref="A7:A1000">
    <cfRule type="expression" dxfId="67" priority="18">
      <formula>IF($B7="total",TRUE,FALSE)</formula>
    </cfRule>
    <cfRule type="expression" dxfId="66" priority="19">
      <formula>IF(AND($A7&gt;0,ISEVEN($A7)),TRUE,FALSE)</formula>
    </cfRule>
    <cfRule type="expression" dxfId="65" priority="20">
      <formula>IF(AND($A7&gt;0,ISODD($A7)),TRUE,FALSE)</formula>
    </cfRule>
  </conditionalFormatting>
  <conditionalFormatting sqref="A7:I1000">
    <cfRule type="cellIs" dxfId="64" priority="1" operator="equal">
      <formula>0</formula>
    </cfRule>
    <cfRule type="expression" dxfId="63" priority="2">
      <formula>IF($B7="total",TRUE,FALSE)</formula>
    </cfRule>
  </conditionalFormatting>
  <conditionalFormatting sqref="B7:B557 B558:C1000">
    <cfRule type="expression" dxfId="62" priority="7">
      <formula>IF($B7="total",TRUE,FALSE)</formula>
    </cfRule>
    <cfRule type="expression" dxfId="61" priority="8">
      <formula>IF(AND($A7&gt;0,ISEVEN($A7)),TRUE,FALSE)</formula>
    </cfRule>
    <cfRule type="expression" dxfId="60" priority="9">
      <formula>IF(AND($A7&gt;0,ISODD($A7)),TRUE,FALSE)</formula>
    </cfRule>
  </conditionalFormatting>
  <conditionalFormatting sqref="C7:I303 C304:C557 D304:I1000">
    <cfRule type="cellIs" dxfId="59" priority="3" operator="between">
      <formula>0.0000000000001</formula>
      <formula>0.499999999999</formula>
    </cfRule>
    <cfRule type="cellIs" dxfId="58" priority="4" operator="between">
      <formula>-0.0000000000000001</formula>
      <formula>-0.49999999999999</formula>
    </cfRule>
  </conditionalFormatting>
  <conditionalFormatting sqref="I7:I1000">
    <cfRule type="expression" dxfId="57" priority="12">
      <formula>IF(AND($A7&gt;0,ISEVEN($A7)),TRUE,FALSE)</formula>
    </cfRule>
    <cfRule type="expression" dxfId="56" priority="13">
      <formula>IF(AND($A7&gt;0,ISODD($A7)),TRUE,FALSE)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theme="7"/>
  </sheetPr>
  <dimension ref="A2:BN514"/>
  <sheetViews>
    <sheetView zoomScaleNormal="100" workbookViewId="0">
      <pane xSplit="2" ySplit="6" topLeftCell="C270" activePane="bottomRight" state="frozen"/>
      <selection activeCell="A280" sqref="A280"/>
      <selection pane="topRight" activeCell="A280" sqref="A280"/>
      <selection pane="bottomLeft" activeCell="A280" sqref="A280"/>
      <selection pane="bottomRight" activeCell="A293" sqref="A293"/>
    </sheetView>
  </sheetViews>
  <sheetFormatPr baseColWidth="10" defaultRowHeight="15" x14ac:dyDescent="0.25"/>
  <cols>
    <col min="1" max="3" width="10.85546875" customWidth="1"/>
    <col min="4" max="4" width="11.28515625" customWidth="1"/>
    <col min="5" max="8" width="9.85546875" customWidth="1"/>
    <col min="9" max="9" width="8.140625" style="1" customWidth="1"/>
    <col min="10" max="14" width="9.85546875" customWidth="1"/>
    <col min="15" max="15" width="8.7109375" customWidth="1"/>
    <col min="16" max="20" width="9.85546875" customWidth="1"/>
    <col min="21" max="21" width="8.42578125" customWidth="1"/>
    <col min="22" max="23" width="9" customWidth="1"/>
    <col min="24" max="24" width="7.7109375" customWidth="1"/>
    <col min="25" max="27" width="9.85546875" customWidth="1"/>
  </cols>
  <sheetData>
    <row r="2" spans="1:66" ht="22.5" customHeight="1" x14ac:dyDescent="0.25"/>
    <row r="3" spans="1:66" ht="24.6" customHeight="1" x14ac:dyDescent="0.35">
      <c r="B3" s="36"/>
      <c r="C3" s="39" t="str">
        <f>Inicio!C4</f>
        <v>Importaciones de gas natural por áreas geográficas y países</v>
      </c>
      <c r="D3" s="36"/>
      <c r="F3" s="39"/>
      <c r="G3" s="39"/>
      <c r="H3" s="39"/>
      <c r="I3" s="51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7"/>
    </row>
    <row r="4" spans="1:66" ht="15" customHeight="1" x14ac:dyDescent="0.25">
      <c r="A4" s="23" t="str">
        <f>Inicio!$A$16</f>
        <v>Actualizado el 14-09-2026</v>
      </c>
      <c r="B4" s="2"/>
      <c r="C4" s="2"/>
      <c r="D4" s="2"/>
      <c r="I4" s="6"/>
      <c r="L4" s="14"/>
      <c r="AA4" s="14" t="s">
        <v>30</v>
      </c>
    </row>
    <row r="5" spans="1:66" ht="18.75" customHeight="1" thickBot="1" x14ac:dyDescent="0.3">
      <c r="A5" s="20"/>
      <c r="B5" s="19"/>
      <c r="C5" s="111" t="s">
        <v>20</v>
      </c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</row>
    <row r="6" spans="1:66" ht="38.25" customHeight="1" thickTop="1" x14ac:dyDescent="0.25">
      <c r="A6" s="21" t="s">
        <v>1</v>
      </c>
      <c r="B6" s="22" t="s">
        <v>2</v>
      </c>
      <c r="C6" s="18" t="s">
        <v>76</v>
      </c>
      <c r="D6" s="50" t="s">
        <v>54</v>
      </c>
      <c r="E6" s="50" t="s">
        <v>77</v>
      </c>
      <c r="F6" s="18" t="s">
        <v>27</v>
      </c>
      <c r="G6" s="50" t="s">
        <v>48</v>
      </c>
      <c r="H6" s="50" t="s">
        <v>49</v>
      </c>
      <c r="I6" s="42" t="s">
        <v>88</v>
      </c>
      <c r="J6" s="18" t="s">
        <v>23</v>
      </c>
      <c r="K6" s="50" t="s">
        <v>50</v>
      </c>
      <c r="L6" s="50" t="s">
        <v>51</v>
      </c>
      <c r="M6" s="42" t="s">
        <v>71</v>
      </c>
      <c r="N6" s="50" t="s">
        <v>72</v>
      </c>
      <c r="O6" s="50" t="s">
        <v>73</v>
      </c>
      <c r="P6" s="18" t="s">
        <v>28</v>
      </c>
      <c r="Q6" s="50" t="s">
        <v>52</v>
      </c>
      <c r="R6" s="50" t="s">
        <v>53</v>
      </c>
      <c r="S6" s="42" t="s">
        <v>92</v>
      </c>
      <c r="T6" s="50" t="s">
        <v>93</v>
      </c>
      <c r="U6" s="50" t="s">
        <v>46</v>
      </c>
      <c r="V6" s="42" t="s">
        <v>74</v>
      </c>
      <c r="W6" s="50" t="s">
        <v>75</v>
      </c>
      <c r="X6" s="50" t="s">
        <v>47</v>
      </c>
      <c r="Y6" s="13" t="s">
        <v>65</v>
      </c>
      <c r="Z6" s="70" t="s">
        <v>66</v>
      </c>
      <c r="AA6" s="70" t="s">
        <v>67</v>
      </c>
    </row>
    <row r="7" spans="1:66" ht="12" customHeight="1" x14ac:dyDescent="0.25">
      <c r="A7" s="55">
        <v>2004</v>
      </c>
      <c r="B7" s="55" t="s">
        <v>3</v>
      </c>
      <c r="C7" s="73"/>
      <c r="D7" s="78"/>
      <c r="E7" s="78"/>
      <c r="F7" s="82"/>
      <c r="G7" s="78"/>
      <c r="H7" s="78"/>
      <c r="I7" s="48"/>
      <c r="J7" s="82">
        <v>2153.9588210000002</v>
      </c>
      <c r="K7" s="78">
        <v>0</v>
      </c>
      <c r="L7" s="78">
        <v>2153.9589999999998</v>
      </c>
      <c r="M7" s="82"/>
      <c r="N7" s="78"/>
      <c r="O7" s="79"/>
      <c r="P7" s="82"/>
      <c r="Q7" s="78"/>
      <c r="R7" s="52"/>
      <c r="S7" s="48"/>
      <c r="T7" s="78"/>
      <c r="U7" s="52"/>
      <c r="V7" s="48"/>
      <c r="W7" s="52"/>
      <c r="X7" s="52"/>
      <c r="Y7" s="87">
        <v>2153.9588210000002</v>
      </c>
      <c r="Z7" s="52">
        <f t="shared" ref="Z7:Z38" si="0">E7+G7+N7+K7+Q7</f>
        <v>0</v>
      </c>
      <c r="AA7" s="52">
        <f t="shared" ref="AA7:AA19" si="1">H7+O7+L7+R7+X7+U7</f>
        <v>2153.9589999999998</v>
      </c>
      <c r="AB7" s="62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</row>
    <row r="8" spans="1:66" ht="12" customHeight="1" x14ac:dyDescent="0.25">
      <c r="A8" s="55">
        <v>2004</v>
      </c>
      <c r="B8" s="55" t="s">
        <v>4</v>
      </c>
      <c r="C8" s="57"/>
      <c r="D8" s="78"/>
      <c r="E8" s="78"/>
      <c r="F8" s="82">
        <v>37.262999999999998</v>
      </c>
      <c r="G8" s="78">
        <v>37.262999999999998</v>
      </c>
      <c r="H8" s="78"/>
      <c r="I8" s="48"/>
      <c r="J8" s="82">
        <v>2137.8933162079998</v>
      </c>
      <c r="K8" s="78">
        <v>0</v>
      </c>
      <c r="L8" s="78">
        <v>2137.8933099999999</v>
      </c>
      <c r="M8" s="82">
        <v>10.32204368</v>
      </c>
      <c r="N8" s="78"/>
      <c r="O8" s="79">
        <v>10.32204368</v>
      </c>
      <c r="P8" s="82"/>
      <c r="Q8" s="78"/>
      <c r="R8" s="52"/>
      <c r="S8" s="48">
        <v>4.4464188160000004</v>
      </c>
      <c r="T8" s="78"/>
      <c r="U8" s="52">
        <v>4.4464188160000004</v>
      </c>
      <c r="V8" s="48">
        <v>19.373681983999997</v>
      </c>
      <c r="W8" s="52"/>
      <c r="X8" s="52">
        <v>19.373681983999997</v>
      </c>
      <c r="Y8" s="87">
        <v>2209.298460688</v>
      </c>
      <c r="Z8" s="52">
        <f t="shared" si="0"/>
        <v>37.262999999999998</v>
      </c>
      <c r="AA8" s="52">
        <f t="shared" si="1"/>
        <v>2172.0354544800002</v>
      </c>
      <c r="AB8" s="62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</row>
    <row r="9" spans="1:66" ht="12" customHeight="1" x14ac:dyDescent="0.25">
      <c r="A9" s="55">
        <v>2004</v>
      </c>
      <c r="B9" s="55" t="s">
        <v>5</v>
      </c>
      <c r="C9" s="57"/>
      <c r="D9" s="78"/>
      <c r="E9" s="78"/>
      <c r="F9" s="82"/>
      <c r="G9" s="78">
        <v>0</v>
      </c>
      <c r="H9" s="78"/>
      <c r="I9" s="48"/>
      <c r="J9" s="82">
        <v>2269.9737854959999</v>
      </c>
      <c r="K9" s="78">
        <v>0</v>
      </c>
      <c r="L9" s="78">
        <v>2269.9740999999999</v>
      </c>
      <c r="M9" s="82">
        <v>6.6197341600000001</v>
      </c>
      <c r="N9" s="78"/>
      <c r="O9" s="79">
        <v>6.6197341600000001</v>
      </c>
      <c r="P9" s="82"/>
      <c r="Q9" s="78"/>
      <c r="R9" s="52"/>
      <c r="S9" s="48">
        <v>2.8515777920000001</v>
      </c>
      <c r="T9" s="78"/>
      <c r="U9" s="52">
        <v>2.8515777920000001</v>
      </c>
      <c r="V9" s="48">
        <v>12.424731808000001</v>
      </c>
      <c r="W9" s="52"/>
      <c r="X9" s="52">
        <v>12.424731808000001</v>
      </c>
      <c r="Y9" s="87">
        <v>2291.8698292560002</v>
      </c>
      <c r="Z9" s="52">
        <f t="shared" si="0"/>
        <v>0</v>
      </c>
      <c r="AA9" s="52">
        <f t="shared" si="1"/>
        <v>2291.8701437600002</v>
      </c>
      <c r="AB9" s="62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</row>
    <row r="10" spans="1:66" ht="12" customHeight="1" x14ac:dyDescent="0.25">
      <c r="A10" s="55">
        <v>2004</v>
      </c>
      <c r="B10" s="55" t="s">
        <v>6</v>
      </c>
      <c r="C10" s="57"/>
      <c r="D10" s="78"/>
      <c r="E10" s="78"/>
      <c r="F10" s="82"/>
      <c r="G10" s="78">
        <v>0</v>
      </c>
      <c r="H10" s="78"/>
      <c r="I10" s="48"/>
      <c r="J10" s="82">
        <v>2188.6465159999998</v>
      </c>
      <c r="K10" s="78">
        <v>0</v>
      </c>
      <c r="L10" s="78">
        <v>2188.6468199999999</v>
      </c>
      <c r="M10" s="82">
        <v>1.64554</v>
      </c>
      <c r="N10" s="78"/>
      <c r="O10" s="79">
        <v>1.64554</v>
      </c>
      <c r="P10" s="82"/>
      <c r="Q10" s="78"/>
      <c r="R10" s="52"/>
      <c r="S10" s="48">
        <v>0.70884799999999992</v>
      </c>
      <c r="T10" s="78"/>
      <c r="U10" s="52">
        <v>0.70884799999999992</v>
      </c>
      <c r="V10" s="48">
        <v>3.088552</v>
      </c>
      <c r="W10" s="52"/>
      <c r="X10" s="52">
        <v>3.088552</v>
      </c>
      <c r="Y10" s="87">
        <v>2194.0894560000002</v>
      </c>
      <c r="Z10" s="52">
        <f t="shared" si="0"/>
        <v>0</v>
      </c>
      <c r="AA10" s="52">
        <f t="shared" si="1"/>
        <v>2194.0897600000003</v>
      </c>
      <c r="AB10" s="62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</row>
    <row r="11" spans="1:66" ht="12" customHeight="1" x14ac:dyDescent="0.25">
      <c r="A11" s="55">
        <v>2004</v>
      </c>
      <c r="B11" s="55" t="s">
        <v>7</v>
      </c>
      <c r="C11" s="57"/>
      <c r="D11" s="78"/>
      <c r="E11" s="78"/>
      <c r="F11" s="82">
        <v>38.665999999999997</v>
      </c>
      <c r="G11" s="78">
        <v>38.665999999999997</v>
      </c>
      <c r="H11" s="78"/>
      <c r="I11" s="48"/>
      <c r="J11" s="82">
        <v>2251.854066544</v>
      </c>
      <c r="K11" s="78">
        <v>0</v>
      </c>
      <c r="L11" s="78">
        <v>2251.8541700000001</v>
      </c>
      <c r="M11" s="82">
        <v>2.0852192399999998</v>
      </c>
      <c r="N11" s="78"/>
      <c r="O11" s="79">
        <v>2.0852192399999998</v>
      </c>
      <c r="P11" s="82"/>
      <c r="Q11" s="78"/>
      <c r="R11" s="52"/>
      <c r="S11" s="48">
        <v>0.89824828800000001</v>
      </c>
      <c r="T11" s="78"/>
      <c r="U11" s="52">
        <v>0.89824828800000001</v>
      </c>
      <c r="V11" s="48">
        <v>3.913796112</v>
      </c>
      <c r="W11" s="52"/>
      <c r="X11" s="52">
        <v>3.913796112</v>
      </c>
      <c r="Y11" s="87">
        <v>2297.4173301840001</v>
      </c>
      <c r="Z11" s="52">
        <f t="shared" si="0"/>
        <v>38.665999999999997</v>
      </c>
      <c r="AA11" s="52">
        <f t="shared" si="1"/>
        <v>2258.75143364</v>
      </c>
      <c r="AB11" s="62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</row>
    <row r="12" spans="1:66" ht="12" customHeight="1" x14ac:dyDescent="0.25">
      <c r="A12" s="55">
        <v>2004</v>
      </c>
      <c r="B12" s="55" t="s">
        <v>8</v>
      </c>
      <c r="C12" s="57"/>
      <c r="D12" s="78"/>
      <c r="E12" s="78"/>
      <c r="F12" s="82"/>
      <c r="G12" s="78">
        <v>0</v>
      </c>
      <c r="H12" s="78"/>
      <c r="I12" s="48"/>
      <c r="J12" s="82">
        <v>2137.300065552</v>
      </c>
      <c r="K12" s="78">
        <v>0</v>
      </c>
      <c r="L12" s="78">
        <v>2137.3001600000002</v>
      </c>
      <c r="M12" s="82">
        <v>13.16137342</v>
      </c>
      <c r="N12" s="78"/>
      <c r="O12" s="79">
        <v>13.16137342</v>
      </c>
      <c r="P12" s="82"/>
      <c r="Q12" s="78"/>
      <c r="R12" s="52"/>
      <c r="S12" s="48">
        <v>5.669514704</v>
      </c>
      <c r="T12" s="78"/>
      <c r="U12" s="52">
        <v>5.669514704</v>
      </c>
      <c r="V12" s="48">
        <v>24.702885496</v>
      </c>
      <c r="W12" s="52"/>
      <c r="X12" s="52">
        <v>24.702885496</v>
      </c>
      <c r="Y12" s="87">
        <v>2180.8338391719999</v>
      </c>
      <c r="Z12" s="52">
        <f t="shared" si="0"/>
        <v>0</v>
      </c>
      <c r="AA12" s="52">
        <f t="shared" si="1"/>
        <v>2180.8339336200002</v>
      </c>
      <c r="AB12" s="62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</row>
    <row r="13" spans="1:66" ht="12" customHeight="1" x14ac:dyDescent="0.25">
      <c r="A13" s="55">
        <v>2004</v>
      </c>
      <c r="B13" s="55" t="s">
        <v>9</v>
      </c>
      <c r="C13" s="57"/>
      <c r="D13" s="78"/>
      <c r="E13" s="78"/>
      <c r="F13" s="82">
        <v>38.234999999999999</v>
      </c>
      <c r="G13" s="78">
        <v>38.234999999999999</v>
      </c>
      <c r="H13" s="78"/>
      <c r="I13" s="48"/>
      <c r="J13" s="82">
        <v>2131.2794490000001</v>
      </c>
      <c r="K13" s="78">
        <v>0</v>
      </c>
      <c r="L13" s="78">
        <v>2131.2800000000002</v>
      </c>
      <c r="M13" s="82"/>
      <c r="N13" s="78"/>
      <c r="O13" s="79"/>
      <c r="P13" s="82"/>
      <c r="Q13" s="78"/>
      <c r="R13" s="52"/>
      <c r="S13" s="48"/>
      <c r="T13" s="78"/>
      <c r="U13" s="52"/>
      <c r="V13" s="48"/>
      <c r="W13" s="52"/>
      <c r="X13" s="52"/>
      <c r="Y13" s="87">
        <v>2169.5144490000002</v>
      </c>
      <c r="Z13" s="52">
        <f t="shared" si="0"/>
        <v>38.234999999999999</v>
      </c>
      <c r="AA13" s="52">
        <f t="shared" si="1"/>
        <v>2131.2800000000002</v>
      </c>
      <c r="AB13" s="62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</row>
    <row r="14" spans="1:66" ht="12" customHeight="1" x14ac:dyDescent="0.25">
      <c r="A14" s="55">
        <v>2004</v>
      </c>
      <c r="B14" s="55" t="s">
        <v>10</v>
      </c>
      <c r="C14" s="57"/>
      <c r="D14" s="78"/>
      <c r="E14" s="78"/>
      <c r="F14" s="82"/>
      <c r="G14" s="78">
        <v>0</v>
      </c>
      <c r="H14" s="78"/>
      <c r="I14" s="48"/>
      <c r="J14" s="82">
        <v>1702.1256759999999</v>
      </c>
      <c r="K14" s="78">
        <v>0</v>
      </c>
      <c r="L14" s="78">
        <v>1702.126</v>
      </c>
      <c r="M14" s="82"/>
      <c r="N14" s="78"/>
      <c r="O14" s="79"/>
      <c r="P14" s="82"/>
      <c r="Q14" s="78"/>
      <c r="R14" s="52"/>
      <c r="S14" s="48"/>
      <c r="T14" s="78"/>
      <c r="U14" s="52"/>
      <c r="V14" s="48"/>
      <c r="W14" s="52"/>
      <c r="X14" s="52"/>
      <c r="Y14" s="87">
        <v>1702.1256759999999</v>
      </c>
      <c r="Z14" s="52">
        <f t="shared" si="0"/>
        <v>0</v>
      </c>
      <c r="AA14" s="52">
        <f t="shared" si="1"/>
        <v>1702.126</v>
      </c>
      <c r="AB14" s="62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</row>
    <row r="15" spans="1:66" ht="12" customHeight="1" x14ac:dyDescent="0.25">
      <c r="A15" s="55">
        <v>2004</v>
      </c>
      <c r="B15" s="55" t="s">
        <v>11</v>
      </c>
      <c r="C15" s="57"/>
      <c r="D15" s="78"/>
      <c r="E15" s="78"/>
      <c r="F15" s="82"/>
      <c r="G15" s="78">
        <v>0</v>
      </c>
      <c r="H15" s="78"/>
      <c r="I15" s="48"/>
      <c r="J15" s="82">
        <v>2135.4753187679999</v>
      </c>
      <c r="K15" s="78">
        <v>0</v>
      </c>
      <c r="L15" s="78">
        <v>2135.4754199999998</v>
      </c>
      <c r="M15" s="82">
        <v>4.8442525299999994</v>
      </c>
      <c r="N15" s="78"/>
      <c r="O15" s="79">
        <v>4.8442525299999994</v>
      </c>
      <c r="P15" s="82"/>
      <c r="Q15" s="78"/>
      <c r="R15" s="52"/>
      <c r="S15" s="48">
        <v>2.0867549359999997</v>
      </c>
      <c r="T15" s="78"/>
      <c r="U15" s="52">
        <v>2.0867549359999997</v>
      </c>
      <c r="V15" s="48">
        <v>9.0922893640000009</v>
      </c>
      <c r="W15" s="52"/>
      <c r="X15" s="52">
        <v>9.0922893640000009</v>
      </c>
      <c r="Y15" s="87">
        <v>2151.498615598</v>
      </c>
      <c r="Z15" s="52">
        <f t="shared" si="0"/>
        <v>0</v>
      </c>
      <c r="AA15" s="52">
        <f t="shared" si="1"/>
        <v>2151.4987168299999</v>
      </c>
      <c r="AB15" s="62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</row>
    <row r="16" spans="1:66" ht="12" customHeight="1" x14ac:dyDescent="0.25">
      <c r="A16" s="55">
        <v>2004</v>
      </c>
      <c r="B16" s="55" t="s">
        <v>12</v>
      </c>
      <c r="C16" s="57"/>
      <c r="D16" s="78"/>
      <c r="E16" s="78"/>
      <c r="F16" s="82"/>
      <c r="G16" s="78">
        <v>0</v>
      </c>
      <c r="H16" s="78"/>
      <c r="I16" s="48"/>
      <c r="J16" s="82">
        <v>2285.1339098640001</v>
      </c>
      <c r="K16" s="78">
        <v>0</v>
      </c>
      <c r="L16" s="78">
        <v>2285.1339199999998</v>
      </c>
      <c r="M16" s="82">
        <v>13.600822690000001</v>
      </c>
      <c r="N16" s="78"/>
      <c r="O16" s="79">
        <v>13.600822690000001</v>
      </c>
      <c r="P16" s="82"/>
      <c r="Q16" s="78"/>
      <c r="R16" s="52"/>
      <c r="S16" s="48">
        <v>5.8588159280000003</v>
      </c>
      <c r="T16" s="78"/>
      <c r="U16" s="52">
        <v>5.8588159280000003</v>
      </c>
      <c r="V16" s="48">
        <v>25.527697972000002</v>
      </c>
      <c r="W16" s="52"/>
      <c r="X16" s="52">
        <v>25.527697972000002</v>
      </c>
      <c r="Y16" s="87">
        <v>2330.1212464539999</v>
      </c>
      <c r="Z16" s="52">
        <f t="shared" si="0"/>
        <v>0</v>
      </c>
      <c r="AA16" s="52">
        <f t="shared" si="1"/>
        <v>2330.1212565899996</v>
      </c>
      <c r="AB16" s="62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</row>
    <row r="17" spans="1:27" ht="12" customHeight="1" x14ac:dyDescent="0.25">
      <c r="A17" s="55">
        <v>2004</v>
      </c>
      <c r="B17" s="55" t="s">
        <v>13</v>
      </c>
      <c r="C17" s="57"/>
      <c r="D17" s="78"/>
      <c r="E17" s="78"/>
      <c r="F17" s="82">
        <v>73.5</v>
      </c>
      <c r="G17" s="78">
        <v>73.5</v>
      </c>
      <c r="H17" s="78"/>
      <c r="I17" s="48"/>
      <c r="J17" s="82">
        <v>2210.912027632</v>
      </c>
      <c r="K17" s="78">
        <v>0</v>
      </c>
      <c r="L17" s="78">
        <v>2210.9119599999999</v>
      </c>
      <c r="M17" s="82">
        <v>13.175167719999999</v>
      </c>
      <c r="N17" s="78"/>
      <c r="O17" s="79">
        <v>13.175167719999999</v>
      </c>
      <c r="P17" s="82"/>
      <c r="Q17" s="78"/>
      <c r="R17" s="52"/>
      <c r="S17" s="48">
        <v>5.675456864</v>
      </c>
      <c r="T17" s="78"/>
      <c r="U17" s="52">
        <v>5.675456864</v>
      </c>
      <c r="V17" s="48">
        <v>24.728776335999999</v>
      </c>
      <c r="W17" s="52"/>
      <c r="X17" s="52">
        <v>24.728776335999999</v>
      </c>
      <c r="Y17" s="87">
        <v>2327.9914285519999</v>
      </c>
      <c r="Z17" s="52">
        <f t="shared" si="0"/>
        <v>73.5</v>
      </c>
      <c r="AA17" s="52">
        <f t="shared" si="1"/>
        <v>2254.4913609199998</v>
      </c>
    </row>
    <row r="18" spans="1:27" ht="12" customHeight="1" x14ac:dyDescent="0.25">
      <c r="A18" s="55">
        <v>2004</v>
      </c>
      <c r="B18" s="55" t="s">
        <v>14</v>
      </c>
      <c r="C18" s="57"/>
      <c r="D18" s="78"/>
      <c r="E18" s="78"/>
      <c r="F18" s="82"/>
      <c r="G18" s="78"/>
      <c r="H18" s="78"/>
      <c r="I18" s="48"/>
      <c r="J18" s="82">
        <v>2279.6882076880001</v>
      </c>
      <c r="K18" s="78">
        <v>0</v>
      </c>
      <c r="L18" s="78">
        <v>2279.68804</v>
      </c>
      <c r="M18" s="82">
        <v>13.585015729999999</v>
      </c>
      <c r="N18" s="78"/>
      <c r="O18" s="79">
        <v>13.585015729999999</v>
      </c>
      <c r="P18" s="82"/>
      <c r="Q18" s="78"/>
      <c r="R18" s="52"/>
      <c r="S18" s="48">
        <v>5.8520067760000005</v>
      </c>
      <c r="T18" s="78"/>
      <c r="U18" s="52">
        <v>5.8520067760000005</v>
      </c>
      <c r="V18" s="48">
        <v>25.498029524</v>
      </c>
      <c r="W18" s="52"/>
      <c r="X18" s="52">
        <v>25.498029524</v>
      </c>
      <c r="Y18" s="87">
        <v>2324.6232597180001</v>
      </c>
      <c r="Z18" s="52">
        <f t="shared" si="0"/>
        <v>0</v>
      </c>
      <c r="AA18" s="52">
        <f t="shared" si="1"/>
        <v>2324.62309203</v>
      </c>
    </row>
    <row r="19" spans="1:27" ht="12" customHeight="1" x14ac:dyDescent="0.25">
      <c r="A19" s="55">
        <v>2004</v>
      </c>
      <c r="B19" s="55" t="s">
        <v>15</v>
      </c>
      <c r="C19" s="57"/>
      <c r="D19" s="78"/>
      <c r="E19" s="78"/>
      <c r="F19" s="82">
        <v>187.66399999999999</v>
      </c>
      <c r="G19" s="78">
        <v>187.66399999999999</v>
      </c>
      <c r="H19" s="78"/>
      <c r="I19" s="48"/>
      <c r="J19" s="82">
        <v>25884.241159752</v>
      </c>
      <c r="K19" s="78">
        <f>SUM(K7:K18)</f>
        <v>0</v>
      </c>
      <c r="L19" s="78">
        <f>SUM(L7:L18)</f>
        <v>25884.242900000001</v>
      </c>
      <c r="M19" s="82">
        <v>79.039169169999994</v>
      </c>
      <c r="N19" s="78"/>
      <c r="O19" s="79">
        <v>79.039169169999994</v>
      </c>
      <c r="P19" s="82"/>
      <c r="Q19" s="78"/>
      <c r="R19" s="52"/>
      <c r="S19" s="48">
        <v>34.047642103999998</v>
      </c>
      <c r="T19" s="78"/>
      <c r="U19" s="52">
        <v>34.047642103999998</v>
      </c>
      <c r="V19" s="48">
        <v>148.350440596</v>
      </c>
      <c r="W19" s="52"/>
      <c r="X19" s="52">
        <v>148.350440596</v>
      </c>
      <c r="Y19" s="87">
        <v>26333.342411622001</v>
      </c>
      <c r="Z19" s="52">
        <f t="shared" si="0"/>
        <v>187.66399999999999</v>
      </c>
      <c r="AA19" s="52">
        <f t="shared" si="1"/>
        <v>26145.680151870001</v>
      </c>
    </row>
    <row r="20" spans="1:27" ht="12" customHeight="1" x14ac:dyDescent="0.25">
      <c r="A20" s="55">
        <v>2005</v>
      </c>
      <c r="B20" s="55" t="s">
        <v>3</v>
      </c>
      <c r="C20" s="57"/>
      <c r="D20" s="78"/>
      <c r="E20" s="78"/>
      <c r="F20" s="82">
        <v>63.75</v>
      </c>
      <c r="G20" s="78">
        <v>63.75</v>
      </c>
      <c r="H20" s="78"/>
      <c r="I20" s="48"/>
      <c r="J20" s="82">
        <v>2262.1122439999999</v>
      </c>
      <c r="K20" s="78">
        <v>0</v>
      </c>
      <c r="L20" s="78">
        <v>2262.1120000000001</v>
      </c>
      <c r="M20" s="82"/>
      <c r="N20" s="78"/>
      <c r="O20" s="79"/>
      <c r="P20" s="82"/>
      <c r="Q20" s="78"/>
      <c r="R20" s="52"/>
      <c r="S20" s="48"/>
      <c r="T20" s="78"/>
      <c r="U20" s="52"/>
      <c r="V20" s="48"/>
      <c r="W20" s="52"/>
      <c r="X20" s="52"/>
      <c r="Y20" s="87">
        <v>2325.8622439999999</v>
      </c>
      <c r="Z20" s="52">
        <f t="shared" si="0"/>
        <v>63.75</v>
      </c>
      <c r="AA20" s="52">
        <f t="shared" ref="AA20:AA51" si="2">H20+O20+L20+R20+X20</f>
        <v>2262.1120000000001</v>
      </c>
    </row>
    <row r="21" spans="1:27" ht="12" customHeight="1" x14ac:dyDescent="0.25">
      <c r="A21" s="55">
        <v>2005</v>
      </c>
      <c r="B21" s="55" t="s">
        <v>4</v>
      </c>
      <c r="C21" s="57"/>
      <c r="D21" s="78"/>
      <c r="E21" s="78"/>
      <c r="F21" s="82"/>
      <c r="G21" s="78"/>
      <c r="H21" s="78"/>
      <c r="I21" s="48"/>
      <c r="J21" s="82">
        <v>2046.6951650000001</v>
      </c>
      <c r="K21" s="78">
        <v>0</v>
      </c>
      <c r="L21" s="78">
        <v>2046.6949999999999</v>
      </c>
      <c r="M21" s="82"/>
      <c r="N21" s="78"/>
      <c r="O21" s="79"/>
      <c r="P21" s="82"/>
      <c r="Q21" s="78"/>
      <c r="R21" s="52"/>
      <c r="S21" s="48"/>
      <c r="T21" s="78"/>
      <c r="U21" s="52"/>
      <c r="V21" s="48"/>
      <c r="W21" s="52"/>
      <c r="X21" s="52"/>
      <c r="Y21" s="87">
        <v>2046.6951650000001</v>
      </c>
      <c r="Z21" s="52">
        <f t="shared" si="0"/>
        <v>0</v>
      </c>
      <c r="AA21" s="52">
        <f t="shared" si="2"/>
        <v>2046.6949999999999</v>
      </c>
    </row>
    <row r="22" spans="1:27" ht="12" customHeight="1" x14ac:dyDescent="0.25">
      <c r="A22" s="55">
        <v>2005</v>
      </c>
      <c r="B22" s="55" t="s">
        <v>5</v>
      </c>
      <c r="C22" s="57"/>
      <c r="D22" s="78"/>
      <c r="E22" s="78"/>
      <c r="F22" s="82">
        <v>56.393000000000001</v>
      </c>
      <c r="G22" s="78">
        <v>56.393000000000001</v>
      </c>
      <c r="H22" s="78"/>
      <c r="I22" s="48"/>
      <c r="J22" s="82">
        <v>2249.5480070000003</v>
      </c>
      <c r="K22" s="78">
        <v>0</v>
      </c>
      <c r="L22" s="78">
        <v>2249.5479999999998</v>
      </c>
      <c r="M22" s="82"/>
      <c r="N22" s="78"/>
      <c r="O22" s="79"/>
      <c r="P22" s="82"/>
      <c r="Q22" s="78"/>
      <c r="R22" s="52"/>
      <c r="S22" s="48"/>
      <c r="T22" s="78"/>
      <c r="U22" s="52"/>
      <c r="V22" s="48"/>
      <c r="W22" s="52"/>
      <c r="X22" s="52"/>
      <c r="Y22" s="87">
        <v>2305.9410070000004</v>
      </c>
      <c r="Z22" s="52">
        <f t="shared" si="0"/>
        <v>56.393000000000001</v>
      </c>
      <c r="AA22" s="52">
        <f t="shared" si="2"/>
        <v>2249.5479999999998</v>
      </c>
    </row>
    <row r="23" spans="1:27" ht="12" customHeight="1" x14ac:dyDescent="0.25">
      <c r="A23" s="55">
        <v>2005</v>
      </c>
      <c r="B23" s="55" t="s">
        <v>6</v>
      </c>
      <c r="C23" s="57"/>
      <c r="D23" s="78"/>
      <c r="E23" s="78"/>
      <c r="F23" s="82">
        <v>55.273000000000003</v>
      </c>
      <c r="G23" s="78">
        <v>55.273000000000003</v>
      </c>
      <c r="H23" s="78"/>
      <c r="I23" s="48"/>
      <c r="J23" s="82">
        <v>2188.0941209999996</v>
      </c>
      <c r="K23" s="78">
        <v>0</v>
      </c>
      <c r="L23" s="78">
        <v>2188.0940000000001</v>
      </c>
      <c r="M23" s="82"/>
      <c r="N23" s="78"/>
      <c r="O23" s="79"/>
      <c r="P23" s="82"/>
      <c r="Q23" s="78"/>
      <c r="R23" s="52"/>
      <c r="S23" s="48"/>
      <c r="T23" s="78"/>
      <c r="U23" s="52"/>
      <c r="V23" s="48"/>
      <c r="W23" s="52"/>
      <c r="X23" s="52"/>
      <c r="Y23" s="87">
        <v>2243.3671209999998</v>
      </c>
      <c r="Z23" s="52">
        <f t="shared" si="0"/>
        <v>55.273000000000003</v>
      </c>
      <c r="AA23" s="52">
        <f t="shared" si="2"/>
        <v>2188.0940000000001</v>
      </c>
    </row>
    <row r="24" spans="1:27" ht="12" customHeight="1" x14ac:dyDescent="0.25">
      <c r="A24" s="55">
        <v>2005</v>
      </c>
      <c r="B24" s="55" t="s">
        <v>7</v>
      </c>
      <c r="C24" s="57"/>
      <c r="D24" s="78"/>
      <c r="E24" s="78"/>
      <c r="F24" s="82"/>
      <c r="G24" s="78"/>
      <c r="H24" s="78"/>
      <c r="I24" s="48"/>
      <c r="J24" s="82">
        <v>2058.7622940000001</v>
      </c>
      <c r="K24" s="78">
        <v>0</v>
      </c>
      <c r="L24" s="78">
        <v>2058.7620000000002</v>
      </c>
      <c r="M24" s="82"/>
      <c r="N24" s="78"/>
      <c r="O24" s="79"/>
      <c r="P24" s="82"/>
      <c r="Q24" s="78"/>
      <c r="R24" s="52"/>
      <c r="S24" s="48"/>
      <c r="T24" s="78"/>
      <c r="U24" s="52"/>
      <c r="V24" s="48"/>
      <c r="W24" s="52"/>
      <c r="X24" s="52"/>
      <c r="Y24" s="87">
        <v>2058.7622940000001</v>
      </c>
      <c r="Z24" s="52">
        <f t="shared" si="0"/>
        <v>0</v>
      </c>
      <c r="AA24" s="52">
        <f t="shared" si="2"/>
        <v>2058.7620000000002</v>
      </c>
    </row>
    <row r="25" spans="1:27" ht="12" customHeight="1" x14ac:dyDescent="0.25">
      <c r="A25" s="55">
        <v>2005</v>
      </c>
      <c r="B25" s="55" t="s">
        <v>8</v>
      </c>
      <c r="C25" s="57"/>
      <c r="D25" s="78"/>
      <c r="E25" s="78"/>
      <c r="F25" s="82">
        <v>43.783774000000001</v>
      </c>
      <c r="G25" s="78">
        <v>37.942999999999998</v>
      </c>
      <c r="H25" s="78">
        <v>5.84077</v>
      </c>
      <c r="I25" s="48"/>
      <c r="J25" s="82">
        <v>2153.5523760000001</v>
      </c>
      <c r="K25" s="78">
        <v>0</v>
      </c>
      <c r="L25" s="78">
        <v>2153.5529999999999</v>
      </c>
      <c r="M25" s="82"/>
      <c r="N25" s="78"/>
      <c r="O25" s="79"/>
      <c r="P25" s="82"/>
      <c r="Q25" s="78"/>
      <c r="R25" s="52"/>
      <c r="S25" s="48"/>
      <c r="T25" s="78"/>
      <c r="U25" s="52"/>
      <c r="V25" s="48"/>
      <c r="W25" s="52"/>
      <c r="X25" s="52"/>
      <c r="Y25" s="87">
        <v>2197.3361500000001</v>
      </c>
      <c r="Z25" s="52">
        <f t="shared" si="0"/>
        <v>37.942999999999998</v>
      </c>
      <c r="AA25" s="52">
        <f t="shared" si="2"/>
        <v>2159.3937699999997</v>
      </c>
    </row>
    <row r="26" spans="1:27" ht="12" customHeight="1" x14ac:dyDescent="0.25">
      <c r="A26" s="55">
        <v>2005</v>
      </c>
      <c r="B26" s="55" t="s">
        <v>9</v>
      </c>
      <c r="C26" s="57"/>
      <c r="D26" s="78"/>
      <c r="E26" s="78"/>
      <c r="F26" s="82">
        <v>359.65588700000001</v>
      </c>
      <c r="G26" s="78">
        <v>359.65590000000003</v>
      </c>
      <c r="H26" s="78"/>
      <c r="I26" s="48"/>
      <c r="J26" s="82">
        <v>1683.0371810000001</v>
      </c>
      <c r="K26" s="78">
        <v>0</v>
      </c>
      <c r="L26" s="78">
        <v>1683.037</v>
      </c>
      <c r="M26" s="82"/>
      <c r="N26" s="78"/>
      <c r="O26" s="79"/>
      <c r="P26" s="82"/>
      <c r="Q26" s="78"/>
      <c r="R26" s="52"/>
      <c r="S26" s="48"/>
      <c r="T26" s="78"/>
      <c r="U26" s="52"/>
      <c r="V26" s="48"/>
      <c r="W26" s="52"/>
      <c r="X26" s="52"/>
      <c r="Y26" s="87">
        <v>2042.693068</v>
      </c>
      <c r="Z26" s="52">
        <f t="shared" si="0"/>
        <v>359.65590000000003</v>
      </c>
      <c r="AA26" s="52">
        <f t="shared" si="2"/>
        <v>1683.037</v>
      </c>
    </row>
    <row r="27" spans="1:27" ht="12" customHeight="1" x14ac:dyDescent="0.25">
      <c r="A27" s="55">
        <v>2005</v>
      </c>
      <c r="B27" s="55" t="s">
        <v>10</v>
      </c>
      <c r="C27" s="57"/>
      <c r="D27" s="78"/>
      <c r="E27" s="78"/>
      <c r="F27" s="82">
        <v>11.946093000000001</v>
      </c>
      <c r="G27" s="78"/>
      <c r="H27" s="78">
        <v>11.94609</v>
      </c>
      <c r="I27" s="48"/>
      <c r="J27" s="82">
        <v>1430.5126459999999</v>
      </c>
      <c r="K27" s="78">
        <v>0</v>
      </c>
      <c r="L27" s="78">
        <v>1430.5129999999999</v>
      </c>
      <c r="M27" s="82"/>
      <c r="N27" s="78"/>
      <c r="O27" s="79"/>
      <c r="P27" s="82"/>
      <c r="Q27" s="78"/>
      <c r="R27" s="52"/>
      <c r="S27" s="48"/>
      <c r="T27" s="78"/>
      <c r="U27" s="52"/>
      <c r="V27" s="48"/>
      <c r="W27" s="52"/>
      <c r="X27" s="52"/>
      <c r="Y27" s="87">
        <v>1442.4587389999999</v>
      </c>
      <c r="Z27" s="52">
        <f t="shared" si="0"/>
        <v>0</v>
      </c>
      <c r="AA27" s="52">
        <f t="shared" si="2"/>
        <v>1442.4590899999998</v>
      </c>
    </row>
    <row r="28" spans="1:27" ht="12" customHeight="1" x14ac:dyDescent="0.25">
      <c r="A28" s="55">
        <v>2005</v>
      </c>
      <c r="B28" s="55" t="s">
        <v>11</v>
      </c>
      <c r="C28" s="57"/>
      <c r="D28" s="78"/>
      <c r="E28" s="78"/>
      <c r="F28" s="82">
        <v>246.03386300000003</v>
      </c>
      <c r="G28" s="78">
        <v>230.03389999999999</v>
      </c>
      <c r="H28" s="78">
        <v>16</v>
      </c>
      <c r="I28" s="48"/>
      <c r="J28" s="82">
        <v>1952.124466</v>
      </c>
      <c r="K28" s="78">
        <v>0</v>
      </c>
      <c r="L28" s="78">
        <v>1952.125</v>
      </c>
      <c r="M28" s="82"/>
      <c r="N28" s="78"/>
      <c r="O28" s="79"/>
      <c r="P28" s="82"/>
      <c r="Q28" s="78"/>
      <c r="R28" s="52"/>
      <c r="S28" s="48"/>
      <c r="T28" s="78"/>
      <c r="U28" s="52"/>
      <c r="V28" s="48"/>
      <c r="W28" s="52"/>
      <c r="X28" s="52"/>
      <c r="Y28" s="87">
        <v>2198.1583289999999</v>
      </c>
      <c r="Z28" s="52">
        <f t="shared" si="0"/>
        <v>230.03389999999999</v>
      </c>
      <c r="AA28" s="52">
        <f t="shared" si="2"/>
        <v>1968.125</v>
      </c>
    </row>
    <row r="29" spans="1:27" ht="12" customHeight="1" x14ac:dyDescent="0.25">
      <c r="A29" s="55">
        <v>2005</v>
      </c>
      <c r="B29" s="55" t="s">
        <v>12</v>
      </c>
      <c r="C29" s="57"/>
      <c r="D29" s="78"/>
      <c r="E29" s="78"/>
      <c r="F29" s="82"/>
      <c r="G29" s="78"/>
      <c r="H29" s="78"/>
      <c r="I29" s="48"/>
      <c r="J29" s="82">
        <v>2262.6966649999999</v>
      </c>
      <c r="K29" s="78">
        <v>0</v>
      </c>
      <c r="L29" s="78">
        <v>2262.6970000000001</v>
      </c>
      <c r="M29" s="82"/>
      <c r="N29" s="78"/>
      <c r="O29" s="79"/>
      <c r="P29" s="82"/>
      <c r="Q29" s="78"/>
      <c r="R29" s="52"/>
      <c r="S29" s="48"/>
      <c r="T29" s="78"/>
      <c r="U29" s="52"/>
      <c r="V29" s="48"/>
      <c r="W29" s="52"/>
      <c r="X29" s="52"/>
      <c r="Y29" s="87">
        <v>2262.6966649999999</v>
      </c>
      <c r="Z29" s="52">
        <f t="shared" si="0"/>
        <v>0</v>
      </c>
      <c r="AA29" s="52">
        <f t="shared" si="2"/>
        <v>2262.6970000000001</v>
      </c>
    </row>
    <row r="30" spans="1:27" ht="12" customHeight="1" x14ac:dyDescent="0.25">
      <c r="A30" s="55">
        <v>2005</v>
      </c>
      <c r="B30" s="55" t="s">
        <v>13</v>
      </c>
      <c r="C30" s="57"/>
      <c r="D30" s="78"/>
      <c r="E30" s="78"/>
      <c r="F30" s="82"/>
      <c r="G30" s="78"/>
      <c r="H30" s="78"/>
      <c r="I30" s="48"/>
      <c r="J30" s="82">
        <v>2173.7239500000001</v>
      </c>
      <c r="K30" s="78">
        <v>0</v>
      </c>
      <c r="L30" s="78">
        <v>2173.7240000000002</v>
      </c>
      <c r="M30" s="82"/>
      <c r="N30" s="78"/>
      <c r="O30" s="79"/>
      <c r="P30" s="82"/>
      <c r="Q30" s="78"/>
      <c r="R30" s="52"/>
      <c r="S30" s="48"/>
      <c r="T30" s="78"/>
      <c r="U30" s="52"/>
      <c r="V30" s="48"/>
      <c r="W30" s="52"/>
      <c r="X30" s="52"/>
      <c r="Y30" s="87">
        <v>2173.7239500000001</v>
      </c>
      <c r="Z30" s="52">
        <f t="shared" si="0"/>
        <v>0</v>
      </c>
      <c r="AA30" s="52">
        <f t="shared" si="2"/>
        <v>2173.7240000000002</v>
      </c>
    </row>
    <row r="31" spans="1:27" ht="12" customHeight="1" x14ac:dyDescent="0.25">
      <c r="A31" s="55">
        <v>2005</v>
      </c>
      <c r="B31" s="55" t="s">
        <v>14</v>
      </c>
      <c r="C31" s="57"/>
      <c r="D31" s="78"/>
      <c r="E31" s="78"/>
      <c r="F31" s="82"/>
      <c r="G31" s="78"/>
      <c r="H31" s="78"/>
      <c r="I31" s="48"/>
      <c r="J31" s="82">
        <v>2262.0100000000002</v>
      </c>
      <c r="K31" s="78">
        <v>0</v>
      </c>
      <c r="L31" s="78">
        <v>2262.0100000000002</v>
      </c>
      <c r="M31" s="82"/>
      <c r="N31" s="78"/>
      <c r="O31" s="79"/>
      <c r="P31" s="82"/>
      <c r="Q31" s="78"/>
      <c r="R31" s="52"/>
      <c r="S31" s="48"/>
      <c r="T31" s="78"/>
      <c r="U31" s="52"/>
      <c r="V31" s="48"/>
      <c r="W31" s="52"/>
      <c r="X31" s="52"/>
      <c r="Y31" s="87">
        <v>2262.0100000000002</v>
      </c>
      <c r="Z31" s="52">
        <f t="shared" si="0"/>
        <v>0</v>
      </c>
      <c r="AA31" s="52">
        <f t="shared" si="2"/>
        <v>2262.0100000000002</v>
      </c>
    </row>
    <row r="32" spans="1:27" ht="12" customHeight="1" x14ac:dyDescent="0.25">
      <c r="A32" s="55">
        <v>2005</v>
      </c>
      <c r="B32" s="55" t="s">
        <v>15</v>
      </c>
      <c r="C32" s="57"/>
      <c r="D32" s="78"/>
      <c r="E32" s="78"/>
      <c r="F32" s="82">
        <v>836.83561700000007</v>
      </c>
      <c r="G32" s="78">
        <v>803.04880000000003</v>
      </c>
      <c r="H32" s="78">
        <v>33.786860000000004</v>
      </c>
      <c r="I32" s="48"/>
      <c r="J32" s="82">
        <v>24722.869115000001</v>
      </c>
      <c r="K32" s="78">
        <f>SUM(K20:K31)</f>
        <v>0</v>
      </c>
      <c r="L32" s="78">
        <f>SUM(L20:L31)</f>
        <v>24722.870000000003</v>
      </c>
      <c r="M32" s="82"/>
      <c r="N32" s="78"/>
      <c r="O32" s="79"/>
      <c r="P32" s="82"/>
      <c r="Q32" s="78"/>
      <c r="R32" s="52"/>
      <c r="S32" s="48"/>
      <c r="T32" s="78"/>
      <c r="U32" s="52"/>
      <c r="V32" s="48"/>
      <c r="W32" s="52"/>
      <c r="X32" s="52"/>
      <c r="Y32" s="87">
        <v>25559.704731999998</v>
      </c>
      <c r="Z32" s="52">
        <f t="shared" si="0"/>
        <v>803.04880000000003</v>
      </c>
      <c r="AA32" s="52">
        <f t="shared" si="2"/>
        <v>24756.656860000003</v>
      </c>
    </row>
    <row r="33" spans="1:27" ht="12" customHeight="1" x14ac:dyDescent="0.25">
      <c r="A33" s="55">
        <v>2006</v>
      </c>
      <c r="B33" s="55" t="s">
        <v>3</v>
      </c>
      <c r="C33" s="57"/>
      <c r="D33" s="78"/>
      <c r="E33" s="78"/>
      <c r="F33" s="82">
        <v>124</v>
      </c>
      <c r="G33" s="78"/>
      <c r="H33" s="78">
        <v>124</v>
      </c>
      <c r="I33" s="48"/>
      <c r="J33" s="82">
        <v>2255.2170965160003</v>
      </c>
      <c r="K33" s="78">
        <v>0</v>
      </c>
      <c r="L33" s="78">
        <v>2255.2170000000001</v>
      </c>
      <c r="M33" s="82"/>
      <c r="N33" s="78"/>
      <c r="O33" s="79"/>
      <c r="P33" s="82"/>
      <c r="Q33" s="78"/>
      <c r="R33" s="52"/>
      <c r="S33" s="48"/>
      <c r="T33" s="78"/>
      <c r="U33" s="52"/>
      <c r="V33" s="48"/>
      <c r="W33" s="52"/>
      <c r="X33" s="52"/>
      <c r="Y33" s="87">
        <v>2379.2170965160003</v>
      </c>
      <c r="Z33" s="52">
        <f t="shared" si="0"/>
        <v>0</v>
      </c>
      <c r="AA33" s="52">
        <f t="shared" si="2"/>
        <v>2379.2170000000001</v>
      </c>
    </row>
    <row r="34" spans="1:27" ht="12" customHeight="1" x14ac:dyDescent="0.25">
      <c r="A34" s="55">
        <v>2006</v>
      </c>
      <c r="B34" s="55" t="s">
        <v>4</v>
      </c>
      <c r="C34" s="57"/>
      <c r="D34" s="78"/>
      <c r="E34" s="78"/>
      <c r="F34" s="82">
        <v>112</v>
      </c>
      <c r="G34" s="78"/>
      <c r="H34" s="78">
        <v>112</v>
      </c>
      <c r="I34" s="48"/>
      <c r="J34" s="82">
        <v>2043.8491550000001</v>
      </c>
      <c r="K34" s="78">
        <v>0</v>
      </c>
      <c r="L34" s="78">
        <v>2043.8489999999999</v>
      </c>
      <c r="M34" s="82"/>
      <c r="N34" s="78"/>
      <c r="O34" s="79"/>
      <c r="P34" s="82"/>
      <c r="Q34" s="78"/>
      <c r="R34" s="52"/>
      <c r="S34" s="48"/>
      <c r="T34" s="78"/>
      <c r="U34" s="52"/>
      <c r="V34" s="48"/>
      <c r="W34" s="52"/>
      <c r="X34" s="52"/>
      <c r="Y34" s="87">
        <v>2155.8491549999999</v>
      </c>
      <c r="Z34" s="52">
        <f t="shared" si="0"/>
        <v>0</v>
      </c>
      <c r="AA34" s="52">
        <f t="shared" si="2"/>
        <v>2155.8490000000002</v>
      </c>
    </row>
    <row r="35" spans="1:27" ht="12" customHeight="1" x14ac:dyDescent="0.25">
      <c r="A35" s="55">
        <v>2006</v>
      </c>
      <c r="B35" s="55" t="s">
        <v>5</v>
      </c>
      <c r="C35" s="57"/>
      <c r="D35" s="78"/>
      <c r="E35" s="78"/>
      <c r="F35" s="82">
        <v>248.39868900000002</v>
      </c>
      <c r="G35" s="78"/>
      <c r="H35" s="78">
        <v>248.39870000000002</v>
      </c>
      <c r="I35" s="48"/>
      <c r="J35" s="82">
        <v>2235.0570809999999</v>
      </c>
      <c r="K35" s="78">
        <v>0</v>
      </c>
      <c r="L35" s="78">
        <v>2235.0569999999998</v>
      </c>
      <c r="M35" s="82"/>
      <c r="N35" s="78"/>
      <c r="O35" s="79"/>
      <c r="P35" s="82"/>
      <c r="Q35" s="78"/>
      <c r="R35" s="52"/>
      <c r="S35" s="48"/>
      <c r="T35" s="78"/>
      <c r="U35" s="52"/>
      <c r="V35" s="48"/>
      <c r="W35" s="52"/>
      <c r="X35" s="52"/>
      <c r="Y35" s="87">
        <v>2483.45577</v>
      </c>
      <c r="Z35" s="52">
        <f t="shared" si="0"/>
        <v>0</v>
      </c>
      <c r="AA35" s="52">
        <f t="shared" si="2"/>
        <v>2483.4557</v>
      </c>
    </row>
    <row r="36" spans="1:27" ht="12" customHeight="1" x14ac:dyDescent="0.25">
      <c r="A36" s="55">
        <v>2006</v>
      </c>
      <c r="B36" s="55" t="s">
        <v>6</v>
      </c>
      <c r="C36" s="57"/>
      <c r="D36" s="78"/>
      <c r="E36" s="78"/>
      <c r="F36" s="82">
        <v>126.68739100000001</v>
      </c>
      <c r="G36" s="78"/>
      <c r="H36" s="78">
        <v>126.6874</v>
      </c>
      <c r="I36" s="48"/>
      <c r="J36" s="82">
        <v>1021.763971</v>
      </c>
      <c r="K36" s="78">
        <v>0</v>
      </c>
      <c r="L36" s="78">
        <v>1021.764</v>
      </c>
      <c r="M36" s="82"/>
      <c r="N36" s="78"/>
      <c r="O36" s="79"/>
      <c r="P36" s="82"/>
      <c r="Q36" s="78"/>
      <c r="R36" s="52"/>
      <c r="S36" s="48"/>
      <c r="T36" s="78"/>
      <c r="U36" s="52"/>
      <c r="V36" s="48"/>
      <c r="W36" s="52"/>
      <c r="X36" s="52"/>
      <c r="Y36" s="87">
        <v>1148.451362</v>
      </c>
      <c r="Z36" s="52">
        <f t="shared" si="0"/>
        <v>0</v>
      </c>
      <c r="AA36" s="52">
        <f t="shared" si="2"/>
        <v>1148.4513999999999</v>
      </c>
    </row>
    <row r="37" spans="1:27" ht="12" customHeight="1" x14ac:dyDescent="0.25">
      <c r="A37" s="55">
        <v>2006</v>
      </c>
      <c r="B37" s="55" t="s">
        <v>7</v>
      </c>
      <c r="C37" s="57"/>
      <c r="D37" s="78"/>
      <c r="E37" s="78"/>
      <c r="F37" s="82">
        <v>123.45705199999999</v>
      </c>
      <c r="G37" s="78"/>
      <c r="H37" s="78">
        <v>123.45710000000001</v>
      </c>
      <c r="I37" s="48"/>
      <c r="J37" s="82">
        <v>2215.2003360000003</v>
      </c>
      <c r="K37" s="78">
        <v>0</v>
      </c>
      <c r="L37" s="78">
        <v>2215.1999999999998</v>
      </c>
      <c r="M37" s="82"/>
      <c r="N37" s="78"/>
      <c r="O37" s="79"/>
      <c r="P37" s="82"/>
      <c r="Q37" s="78"/>
      <c r="R37" s="52"/>
      <c r="S37" s="48"/>
      <c r="T37" s="78"/>
      <c r="U37" s="52"/>
      <c r="V37" s="48"/>
      <c r="W37" s="52"/>
      <c r="X37" s="52"/>
      <c r="Y37" s="87">
        <v>2338.6573880000005</v>
      </c>
      <c r="Z37" s="52">
        <f t="shared" si="0"/>
        <v>0</v>
      </c>
      <c r="AA37" s="52">
        <f t="shared" si="2"/>
        <v>2338.6570999999999</v>
      </c>
    </row>
    <row r="38" spans="1:27" ht="12" customHeight="1" x14ac:dyDescent="0.25">
      <c r="A38" s="55">
        <v>2006</v>
      </c>
      <c r="B38" s="55" t="s">
        <v>8</v>
      </c>
      <c r="C38" s="57"/>
      <c r="D38" s="78"/>
      <c r="E38" s="78"/>
      <c r="F38" s="82">
        <v>119.339</v>
      </c>
      <c r="G38" s="78"/>
      <c r="H38" s="78">
        <v>119.339</v>
      </c>
      <c r="I38" s="48"/>
      <c r="J38" s="82">
        <v>1978.510764012</v>
      </c>
      <c r="K38" s="78">
        <v>0</v>
      </c>
      <c r="L38" s="78">
        <v>1978.511</v>
      </c>
      <c r="M38" s="82"/>
      <c r="N38" s="78"/>
      <c r="O38" s="79"/>
      <c r="P38" s="82"/>
      <c r="Q38" s="78"/>
      <c r="R38" s="52"/>
      <c r="S38" s="48"/>
      <c r="T38" s="78"/>
      <c r="U38" s="52"/>
      <c r="V38" s="48"/>
      <c r="W38" s="52"/>
      <c r="X38" s="52"/>
      <c r="Y38" s="87">
        <v>2097.8497640119999</v>
      </c>
      <c r="Z38" s="52">
        <f t="shared" si="0"/>
        <v>0</v>
      </c>
      <c r="AA38" s="52">
        <f t="shared" si="2"/>
        <v>2097.85</v>
      </c>
    </row>
    <row r="39" spans="1:27" ht="12" customHeight="1" x14ac:dyDescent="0.25">
      <c r="A39" s="55">
        <v>2006</v>
      </c>
      <c r="B39" s="55" t="s">
        <v>9</v>
      </c>
      <c r="C39" s="57"/>
      <c r="D39" s="78"/>
      <c r="E39" s="78"/>
      <c r="F39" s="82"/>
      <c r="G39" s="78"/>
      <c r="H39" s="78"/>
      <c r="I39" s="48"/>
      <c r="J39" s="82">
        <v>2042.601197</v>
      </c>
      <c r="K39" s="78">
        <v>0</v>
      </c>
      <c r="L39" s="78">
        <v>2042.6010000000001</v>
      </c>
      <c r="M39" s="82"/>
      <c r="N39" s="78"/>
      <c r="O39" s="79"/>
      <c r="P39" s="82"/>
      <c r="Q39" s="78"/>
      <c r="R39" s="52"/>
      <c r="S39" s="48"/>
      <c r="T39" s="78"/>
      <c r="U39" s="52"/>
      <c r="V39" s="48"/>
      <c r="W39" s="52"/>
      <c r="X39" s="52"/>
      <c r="Y39" s="87">
        <v>2042.601197</v>
      </c>
      <c r="Z39" s="52">
        <f t="shared" ref="Z39:Z70" si="3">E39+G39+N39+K39+Q39</f>
        <v>0</v>
      </c>
      <c r="AA39" s="52">
        <f t="shared" si="2"/>
        <v>2042.6010000000001</v>
      </c>
    </row>
    <row r="40" spans="1:27" ht="12" customHeight="1" x14ac:dyDescent="0.25">
      <c r="A40" s="55">
        <v>2006</v>
      </c>
      <c r="B40" s="55" t="s">
        <v>10</v>
      </c>
      <c r="C40" s="57"/>
      <c r="D40" s="78"/>
      <c r="E40" s="78"/>
      <c r="F40" s="82"/>
      <c r="G40" s="78"/>
      <c r="H40" s="78"/>
      <c r="I40" s="48"/>
      <c r="J40" s="82">
        <v>2003.835347</v>
      </c>
      <c r="K40" s="78">
        <v>0</v>
      </c>
      <c r="L40" s="78">
        <v>2003.835</v>
      </c>
      <c r="M40" s="82"/>
      <c r="N40" s="78"/>
      <c r="O40" s="79"/>
      <c r="P40" s="82"/>
      <c r="Q40" s="78"/>
      <c r="R40" s="52"/>
      <c r="S40" s="48"/>
      <c r="T40" s="78"/>
      <c r="U40" s="52"/>
      <c r="V40" s="48"/>
      <c r="W40" s="52"/>
      <c r="X40" s="52"/>
      <c r="Y40" s="87">
        <v>2003.835347</v>
      </c>
      <c r="Z40" s="52">
        <f t="shared" si="3"/>
        <v>0</v>
      </c>
      <c r="AA40" s="52">
        <f t="shared" si="2"/>
        <v>2003.835</v>
      </c>
    </row>
    <row r="41" spans="1:27" ht="12" customHeight="1" x14ac:dyDescent="0.25">
      <c r="A41" s="55">
        <v>2006</v>
      </c>
      <c r="B41" s="55" t="s">
        <v>11</v>
      </c>
      <c r="C41" s="57"/>
      <c r="D41" s="78"/>
      <c r="E41" s="78"/>
      <c r="F41" s="82"/>
      <c r="G41" s="78"/>
      <c r="H41" s="78"/>
      <c r="I41" s="48"/>
      <c r="J41" s="82">
        <v>2188.92506779</v>
      </c>
      <c r="K41" s="78">
        <v>0</v>
      </c>
      <c r="L41" s="78">
        <v>2188.9250000000002</v>
      </c>
      <c r="M41" s="82"/>
      <c r="N41" s="78"/>
      <c r="O41" s="79"/>
      <c r="P41" s="82"/>
      <c r="Q41" s="78"/>
      <c r="R41" s="52"/>
      <c r="S41" s="48"/>
      <c r="T41" s="78"/>
      <c r="U41" s="52"/>
      <c r="V41" s="48"/>
      <c r="W41" s="52"/>
      <c r="X41" s="52"/>
      <c r="Y41" s="87">
        <v>2188.92506779</v>
      </c>
      <c r="Z41" s="52">
        <f t="shared" si="3"/>
        <v>0</v>
      </c>
      <c r="AA41" s="52">
        <f t="shared" si="2"/>
        <v>2188.9250000000002</v>
      </c>
    </row>
    <row r="42" spans="1:27" ht="12" customHeight="1" x14ac:dyDescent="0.25">
      <c r="A42" s="55">
        <v>2006</v>
      </c>
      <c r="B42" s="55" t="s">
        <v>12</v>
      </c>
      <c r="C42" s="57"/>
      <c r="D42" s="78"/>
      <c r="E42" s="78"/>
      <c r="F42" s="82"/>
      <c r="G42" s="78"/>
      <c r="H42" s="78"/>
      <c r="I42" s="48"/>
      <c r="J42" s="82">
        <v>2043.2737360000001</v>
      </c>
      <c r="K42" s="78">
        <v>0</v>
      </c>
      <c r="L42" s="78">
        <v>2043.2739999999999</v>
      </c>
      <c r="M42" s="82"/>
      <c r="N42" s="78"/>
      <c r="O42" s="79"/>
      <c r="P42" s="82"/>
      <c r="Q42" s="78"/>
      <c r="R42" s="52"/>
      <c r="S42" s="48"/>
      <c r="T42" s="78"/>
      <c r="U42" s="52"/>
      <c r="V42" s="48"/>
      <c r="W42" s="52"/>
      <c r="X42" s="52"/>
      <c r="Y42" s="87">
        <v>2043.2737360000001</v>
      </c>
      <c r="Z42" s="52">
        <f t="shared" si="3"/>
        <v>0</v>
      </c>
      <c r="AA42" s="52">
        <f t="shared" si="2"/>
        <v>2043.2739999999999</v>
      </c>
    </row>
    <row r="43" spans="1:27" ht="12" customHeight="1" x14ac:dyDescent="0.25">
      <c r="A43" s="55">
        <v>2006</v>
      </c>
      <c r="B43" s="55" t="s">
        <v>13</v>
      </c>
      <c r="C43" s="57"/>
      <c r="D43" s="78"/>
      <c r="E43" s="78"/>
      <c r="F43" s="82"/>
      <c r="G43" s="78"/>
      <c r="H43" s="78"/>
      <c r="I43" s="48"/>
      <c r="J43" s="82">
        <v>1696.0912990000002</v>
      </c>
      <c r="K43" s="78">
        <v>0</v>
      </c>
      <c r="L43" s="78">
        <v>1696.0909999999999</v>
      </c>
      <c r="M43" s="82"/>
      <c r="N43" s="78"/>
      <c r="O43" s="79"/>
      <c r="P43" s="82"/>
      <c r="Q43" s="78"/>
      <c r="R43" s="52"/>
      <c r="S43" s="48"/>
      <c r="T43" s="78"/>
      <c r="U43" s="52"/>
      <c r="V43" s="48"/>
      <c r="W43" s="52"/>
      <c r="X43" s="52"/>
      <c r="Y43" s="87">
        <v>1696.0912990000002</v>
      </c>
      <c r="Z43" s="52">
        <f t="shared" si="3"/>
        <v>0</v>
      </c>
      <c r="AA43" s="52">
        <f t="shared" si="2"/>
        <v>1696.0909999999999</v>
      </c>
    </row>
    <row r="44" spans="1:27" ht="12" customHeight="1" x14ac:dyDescent="0.25">
      <c r="A44" s="55">
        <v>2006</v>
      </c>
      <c r="B44" s="55" t="s">
        <v>14</v>
      </c>
      <c r="C44" s="57"/>
      <c r="D44" s="78"/>
      <c r="E44" s="78"/>
      <c r="F44" s="82">
        <v>9.231815000000001</v>
      </c>
      <c r="G44" s="78"/>
      <c r="H44" s="78">
        <v>9.231819999999999</v>
      </c>
      <c r="I44" s="48"/>
      <c r="J44" s="82">
        <v>2043.2737360000001</v>
      </c>
      <c r="K44" s="78">
        <v>0</v>
      </c>
      <c r="L44" s="78">
        <v>2043.2739999999999</v>
      </c>
      <c r="M44" s="82"/>
      <c r="N44" s="78"/>
      <c r="O44" s="79"/>
      <c r="P44" s="82"/>
      <c r="Q44" s="78"/>
      <c r="R44" s="52"/>
      <c r="S44" s="48"/>
      <c r="T44" s="78"/>
      <c r="U44" s="52"/>
      <c r="V44" s="48"/>
      <c r="W44" s="52"/>
      <c r="X44" s="52"/>
      <c r="Y44" s="87">
        <v>2052.5055510000002</v>
      </c>
      <c r="Z44" s="52">
        <f t="shared" si="3"/>
        <v>0</v>
      </c>
      <c r="AA44" s="52">
        <f t="shared" si="2"/>
        <v>2052.5058199999999</v>
      </c>
    </row>
    <row r="45" spans="1:27" ht="12" customHeight="1" x14ac:dyDescent="0.25">
      <c r="A45" s="55">
        <v>2006</v>
      </c>
      <c r="B45" s="55" t="s">
        <v>15</v>
      </c>
      <c r="C45" s="57"/>
      <c r="D45" s="78"/>
      <c r="E45" s="78"/>
      <c r="F45" s="82">
        <v>863.11394699999994</v>
      </c>
      <c r="G45" s="78"/>
      <c r="H45" s="78">
        <v>863.11401999999998</v>
      </c>
      <c r="I45" s="48"/>
      <c r="J45" s="82">
        <v>23767.598786317998</v>
      </c>
      <c r="K45" s="78">
        <f>SUM(K33:K44)</f>
        <v>0</v>
      </c>
      <c r="L45" s="78">
        <f>SUM(L33:L44)</f>
        <v>23767.598000000002</v>
      </c>
      <c r="M45" s="82"/>
      <c r="N45" s="78"/>
      <c r="O45" s="79"/>
      <c r="P45" s="82"/>
      <c r="Q45" s="78"/>
      <c r="R45" s="52"/>
      <c r="S45" s="48"/>
      <c r="T45" s="78"/>
      <c r="U45" s="52"/>
      <c r="V45" s="48"/>
      <c r="W45" s="52"/>
      <c r="X45" s="52"/>
      <c r="Y45" s="87">
        <v>24630.712733317996</v>
      </c>
      <c r="Z45" s="52">
        <f t="shared" si="3"/>
        <v>0</v>
      </c>
      <c r="AA45" s="52">
        <f t="shared" si="2"/>
        <v>24630.712020000003</v>
      </c>
    </row>
    <row r="46" spans="1:27" ht="12" customHeight="1" x14ac:dyDescent="0.25">
      <c r="A46" s="55">
        <v>2007</v>
      </c>
      <c r="B46" s="55" t="s">
        <v>3</v>
      </c>
      <c r="C46" s="57"/>
      <c r="D46" s="78"/>
      <c r="E46" s="78"/>
      <c r="F46" s="82">
        <v>94.677000000000007</v>
      </c>
      <c r="G46" s="78"/>
      <c r="H46" s="78">
        <v>94.677000000000007</v>
      </c>
      <c r="I46" s="48"/>
      <c r="J46" s="82">
        <v>2270.634959</v>
      </c>
      <c r="K46" s="78">
        <v>0</v>
      </c>
      <c r="L46" s="78">
        <v>2270.6350000000002</v>
      </c>
      <c r="M46" s="82"/>
      <c r="N46" s="78"/>
      <c r="O46" s="79"/>
      <c r="P46" s="82"/>
      <c r="Q46" s="78"/>
      <c r="R46" s="52"/>
      <c r="S46" s="48"/>
      <c r="T46" s="78"/>
      <c r="U46" s="52"/>
      <c r="V46" s="48"/>
      <c r="W46" s="52"/>
      <c r="X46" s="52"/>
      <c r="Y46" s="87">
        <v>2365.3119590000001</v>
      </c>
      <c r="Z46" s="52">
        <f t="shared" si="3"/>
        <v>0</v>
      </c>
      <c r="AA46" s="52">
        <f t="shared" si="2"/>
        <v>2365.3120000000004</v>
      </c>
    </row>
    <row r="47" spans="1:27" ht="12" customHeight="1" x14ac:dyDescent="0.25">
      <c r="A47" s="55">
        <v>2007</v>
      </c>
      <c r="B47" s="55" t="s">
        <v>4</v>
      </c>
      <c r="C47" s="57"/>
      <c r="D47" s="78"/>
      <c r="E47" s="78"/>
      <c r="F47" s="82">
        <v>246.61842899999999</v>
      </c>
      <c r="G47" s="78"/>
      <c r="H47" s="78">
        <v>246.61840000000001</v>
      </c>
      <c r="I47" s="48"/>
      <c r="J47" s="82">
        <v>1845.537568</v>
      </c>
      <c r="K47" s="78">
        <v>0</v>
      </c>
      <c r="L47" s="78">
        <v>1845.538</v>
      </c>
      <c r="M47" s="82"/>
      <c r="N47" s="78"/>
      <c r="O47" s="79"/>
      <c r="P47" s="82"/>
      <c r="Q47" s="78"/>
      <c r="R47" s="52"/>
      <c r="S47" s="48"/>
      <c r="T47" s="78"/>
      <c r="U47" s="52"/>
      <c r="V47" s="48"/>
      <c r="W47" s="52"/>
      <c r="X47" s="52"/>
      <c r="Y47" s="87">
        <v>2092.1559969999998</v>
      </c>
      <c r="Z47" s="52">
        <f t="shared" si="3"/>
        <v>0</v>
      </c>
      <c r="AA47" s="52">
        <f t="shared" si="2"/>
        <v>2092.1563999999998</v>
      </c>
    </row>
    <row r="48" spans="1:27" ht="12" customHeight="1" x14ac:dyDescent="0.25">
      <c r="A48" s="55">
        <v>2007</v>
      </c>
      <c r="B48" s="55" t="s">
        <v>5</v>
      </c>
      <c r="C48" s="57"/>
      <c r="D48" s="78"/>
      <c r="E48" s="78"/>
      <c r="F48" s="82">
        <v>103.23</v>
      </c>
      <c r="G48" s="78"/>
      <c r="H48" s="78">
        <v>103.23</v>
      </c>
      <c r="I48" s="48"/>
      <c r="J48" s="82">
        <v>2261.7026190000001</v>
      </c>
      <c r="K48" s="78">
        <v>0</v>
      </c>
      <c r="L48" s="78">
        <v>2261.703</v>
      </c>
      <c r="M48" s="82"/>
      <c r="N48" s="78"/>
      <c r="O48" s="79"/>
      <c r="P48" s="82"/>
      <c r="Q48" s="78"/>
      <c r="R48" s="52"/>
      <c r="S48" s="48"/>
      <c r="T48" s="78"/>
      <c r="U48" s="52"/>
      <c r="V48" s="48"/>
      <c r="W48" s="52"/>
      <c r="X48" s="52"/>
      <c r="Y48" s="87">
        <v>2364.9326190000002</v>
      </c>
      <c r="Z48" s="52">
        <f t="shared" si="3"/>
        <v>0</v>
      </c>
      <c r="AA48" s="52">
        <f t="shared" si="2"/>
        <v>2364.933</v>
      </c>
    </row>
    <row r="49" spans="1:27" ht="12" customHeight="1" x14ac:dyDescent="0.25">
      <c r="A49" s="55">
        <v>2007</v>
      </c>
      <c r="B49" s="55" t="s">
        <v>6</v>
      </c>
      <c r="C49" s="57"/>
      <c r="D49" s="78"/>
      <c r="E49" s="78"/>
      <c r="F49" s="82">
        <v>103.23</v>
      </c>
      <c r="G49" s="78"/>
      <c r="H49" s="78">
        <v>103.23</v>
      </c>
      <c r="I49" s="48"/>
      <c r="J49" s="82">
        <v>2191.69029</v>
      </c>
      <c r="K49" s="78">
        <v>0</v>
      </c>
      <c r="L49" s="78">
        <v>2191.69</v>
      </c>
      <c r="M49" s="82"/>
      <c r="N49" s="78"/>
      <c r="O49" s="79"/>
      <c r="P49" s="82"/>
      <c r="Q49" s="78"/>
      <c r="R49" s="52"/>
      <c r="S49" s="48"/>
      <c r="T49" s="78"/>
      <c r="U49" s="52"/>
      <c r="V49" s="48"/>
      <c r="W49" s="52"/>
      <c r="X49" s="52"/>
      <c r="Y49" s="87">
        <v>2294.92029</v>
      </c>
      <c r="Z49" s="52">
        <f t="shared" si="3"/>
        <v>0</v>
      </c>
      <c r="AA49" s="52">
        <f t="shared" si="2"/>
        <v>2294.92</v>
      </c>
    </row>
    <row r="50" spans="1:27" ht="12" customHeight="1" x14ac:dyDescent="0.25">
      <c r="A50" s="55">
        <v>2007</v>
      </c>
      <c r="B50" s="55" t="s">
        <v>7</v>
      </c>
      <c r="C50" s="57"/>
      <c r="D50" s="78"/>
      <c r="E50" s="78"/>
      <c r="F50" s="82">
        <v>109.842955</v>
      </c>
      <c r="G50" s="78"/>
      <c r="H50" s="78">
        <v>109.84296000000001</v>
      </c>
      <c r="I50" s="48"/>
      <c r="J50" s="82">
        <v>2264.7466329999997</v>
      </c>
      <c r="K50" s="78">
        <v>0</v>
      </c>
      <c r="L50" s="78">
        <v>2264.7469999999998</v>
      </c>
      <c r="M50" s="82"/>
      <c r="N50" s="78"/>
      <c r="O50" s="79"/>
      <c r="P50" s="82"/>
      <c r="Q50" s="78"/>
      <c r="R50" s="52"/>
      <c r="S50" s="48"/>
      <c r="T50" s="78"/>
      <c r="U50" s="52"/>
      <c r="V50" s="48"/>
      <c r="W50" s="52"/>
      <c r="X50" s="52"/>
      <c r="Y50" s="87">
        <v>2374.5895879999998</v>
      </c>
      <c r="Z50" s="52">
        <f t="shared" si="3"/>
        <v>0</v>
      </c>
      <c r="AA50" s="52">
        <f t="shared" si="2"/>
        <v>2374.5899599999998</v>
      </c>
    </row>
    <row r="51" spans="1:27" ht="12" customHeight="1" x14ac:dyDescent="0.25">
      <c r="A51" s="55">
        <v>2007</v>
      </c>
      <c r="B51" s="55" t="s">
        <v>8</v>
      </c>
      <c r="C51" s="57"/>
      <c r="D51" s="78"/>
      <c r="E51" s="78"/>
      <c r="F51" s="82">
        <v>132.98394200000001</v>
      </c>
      <c r="G51" s="78"/>
      <c r="H51" s="78">
        <v>132.98393999999999</v>
      </c>
      <c r="I51" s="48"/>
      <c r="J51" s="82">
        <v>2191.69029</v>
      </c>
      <c r="K51" s="78">
        <v>0</v>
      </c>
      <c r="L51" s="78">
        <v>2191.69</v>
      </c>
      <c r="M51" s="82"/>
      <c r="N51" s="78"/>
      <c r="O51" s="79"/>
      <c r="P51" s="82"/>
      <c r="Q51" s="78"/>
      <c r="R51" s="52"/>
      <c r="S51" s="48"/>
      <c r="T51" s="78"/>
      <c r="U51" s="52"/>
      <c r="V51" s="48"/>
      <c r="W51" s="52"/>
      <c r="X51" s="52"/>
      <c r="Y51" s="87">
        <v>2324.6742319999998</v>
      </c>
      <c r="Z51" s="52">
        <f t="shared" si="3"/>
        <v>0</v>
      </c>
      <c r="AA51" s="52">
        <f t="shared" si="2"/>
        <v>2324.6739400000001</v>
      </c>
    </row>
    <row r="52" spans="1:27" ht="12" customHeight="1" x14ac:dyDescent="0.25">
      <c r="A52" s="55">
        <v>2007</v>
      </c>
      <c r="B52" s="55" t="s">
        <v>9</v>
      </c>
      <c r="C52" s="57"/>
      <c r="D52" s="78"/>
      <c r="E52" s="78"/>
      <c r="F52" s="82">
        <v>103.23</v>
      </c>
      <c r="G52" s="78"/>
      <c r="H52" s="78">
        <v>103.23</v>
      </c>
      <c r="I52" s="48"/>
      <c r="J52" s="82">
        <v>2264.7466329999997</v>
      </c>
      <c r="K52" s="78">
        <v>0</v>
      </c>
      <c r="L52" s="78">
        <v>2264.7469999999998</v>
      </c>
      <c r="M52" s="82"/>
      <c r="N52" s="78"/>
      <c r="O52" s="79"/>
      <c r="P52" s="82"/>
      <c r="Q52" s="78"/>
      <c r="R52" s="52"/>
      <c r="S52" s="48"/>
      <c r="T52" s="78"/>
      <c r="U52" s="52"/>
      <c r="V52" s="48"/>
      <c r="W52" s="52"/>
      <c r="X52" s="52"/>
      <c r="Y52" s="87">
        <v>2367.9766329999998</v>
      </c>
      <c r="Z52" s="52">
        <f t="shared" si="3"/>
        <v>0</v>
      </c>
      <c r="AA52" s="52">
        <f t="shared" ref="AA52:AA83" si="4">H52+O52+L52+R52+X52</f>
        <v>2367.9769999999999</v>
      </c>
    </row>
    <row r="53" spans="1:27" ht="12" customHeight="1" x14ac:dyDescent="0.25">
      <c r="A53" s="55">
        <v>2007</v>
      </c>
      <c r="B53" s="55" t="s">
        <v>10</v>
      </c>
      <c r="C53" s="57"/>
      <c r="D53" s="78"/>
      <c r="E53" s="78"/>
      <c r="F53" s="82">
        <v>103.15773900000001</v>
      </c>
      <c r="G53" s="78"/>
      <c r="H53" s="78">
        <v>103.15769999999999</v>
      </c>
      <c r="I53" s="48"/>
      <c r="J53" s="82">
        <v>2261.676191</v>
      </c>
      <c r="K53" s="78">
        <v>0</v>
      </c>
      <c r="L53" s="78">
        <v>2261.6759999999999</v>
      </c>
      <c r="M53" s="82"/>
      <c r="N53" s="78"/>
      <c r="O53" s="79"/>
      <c r="P53" s="82"/>
      <c r="Q53" s="78"/>
      <c r="R53" s="52"/>
      <c r="S53" s="48"/>
      <c r="T53" s="78"/>
      <c r="U53" s="52"/>
      <c r="V53" s="48"/>
      <c r="W53" s="52"/>
      <c r="X53" s="52"/>
      <c r="Y53" s="87">
        <v>2364.8339300000002</v>
      </c>
      <c r="Z53" s="52">
        <f t="shared" si="3"/>
        <v>0</v>
      </c>
      <c r="AA53" s="52">
        <f t="shared" si="4"/>
        <v>2364.8337000000001</v>
      </c>
    </row>
    <row r="54" spans="1:27" ht="12" customHeight="1" x14ac:dyDescent="0.25">
      <c r="A54" s="55">
        <v>2007</v>
      </c>
      <c r="B54" s="55" t="s">
        <v>11</v>
      </c>
      <c r="C54" s="57"/>
      <c r="D54" s="78"/>
      <c r="E54" s="78"/>
      <c r="F54" s="82">
        <v>118.37186800000001</v>
      </c>
      <c r="G54" s="78"/>
      <c r="H54" s="78">
        <v>118.37187</v>
      </c>
      <c r="I54" s="48"/>
      <c r="J54" s="82">
        <v>1779.9414750000001</v>
      </c>
      <c r="K54" s="78">
        <v>0</v>
      </c>
      <c r="L54" s="78">
        <v>1779.942</v>
      </c>
      <c r="M54" s="82"/>
      <c r="N54" s="78"/>
      <c r="O54" s="79"/>
      <c r="P54" s="82"/>
      <c r="Q54" s="78"/>
      <c r="R54" s="52"/>
      <c r="S54" s="48"/>
      <c r="T54" s="78"/>
      <c r="U54" s="52"/>
      <c r="V54" s="48"/>
      <c r="W54" s="52"/>
      <c r="X54" s="52"/>
      <c r="Y54" s="87">
        <v>1898.313343</v>
      </c>
      <c r="Z54" s="52">
        <f t="shared" si="3"/>
        <v>0</v>
      </c>
      <c r="AA54" s="52">
        <f t="shared" si="4"/>
        <v>1898.31387</v>
      </c>
    </row>
    <row r="55" spans="1:27" ht="12" customHeight="1" x14ac:dyDescent="0.25">
      <c r="A55" s="55">
        <v>2007</v>
      </c>
      <c r="B55" s="55" t="s">
        <v>12</v>
      </c>
      <c r="C55" s="57"/>
      <c r="D55" s="78"/>
      <c r="E55" s="78"/>
      <c r="F55" s="82">
        <v>21.418761</v>
      </c>
      <c r="G55" s="78"/>
      <c r="H55" s="78">
        <v>21.418759999999999</v>
      </c>
      <c r="I55" s="48"/>
      <c r="J55" s="82">
        <v>2267.7906480000001</v>
      </c>
      <c r="K55" s="78">
        <v>0</v>
      </c>
      <c r="L55" s="78">
        <v>2267.7910000000002</v>
      </c>
      <c r="M55" s="82"/>
      <c r="N55" s="78"/>
      <c r="O55" s="79"/>
      <c r="P55" s="82"/>
      <c r="Q55" s="78"/>
      <c r="R55" s="52"/>
      <c r="S55" s="48"/>
      <c r="T55" s="78"/>
      <c r="U55" s="52"/>
      <c r="V55" s="48"/>
      <c r="W55" s="52"/>
      <c r="X55" s="52"/>
      <c r="Y55" s="87">
        <v>2289.2094090000001</v>
      </c>
      <c r="Z55" s="52">
        <f t="shared" si="3"/>
        <v>0</v>
      </c>
      <c r="AA55" s="52">
        <f t="shared" si="4"/>
        <v>2289.2097600000002</v>
      </c>
    </row>
    <row r="56" spans="1:27" ht="12" customHeight="1" x14ac:dyDescent="0.25">
      <c r="A56" s="55">
        <v>2007</v>
      </c>
      <c r="B56" s="55" t="s">
        <v>13</v>
      </c>
      <c r="C56" s="57"/>
      <c r="D56" s="78"/>
      <c r="E56" s="78"/>
      <c r="F56" s="82"/>
      <c r="G56" s="78"/>
      <c r="H56" s="78"/>
      <c r="I56" s="48"/>
      <c r="J56" s="82">
        <v>1941.0188349999999</v>
      </c>
      <c r="K56" s="78">
        <v>0</v>
      </c>
      <c r="L56" s="78">
        <v>1941.019</v>
      </c>
      <c r="M56" s="82"/>
      <c r="N56" s="78"/>
      <c r="O56" s="79"/>
      <c r="P56" s="82"/>
      <c r="Q56" s="78"/>
      <c r="R56" s="52"/>
      <c r="S56" s="48"/>
      <c r="T56" s="78"/>
      <c r="U56" s="52"/>
      <c r="V56" s="48"/>
      <c r="W56" s="52"/>
      <c r="X56" s="52"/>
      <c r="Y56" s="87">
        <v>1941.0188349999999</v>
      </c>
      <c r="Z56" s="52">
        <f t="shared" si="3"/>
        <v>0</v>
      </c>
      <c r="AA56" s="52">
        <f t="shared" si="4"/>
        <v>1941.019</v>
      </c>
    </row>
    <row r="57" spans="1:27" ht="12" customHeight="1" x14ac:dyDescent="0.25">
      <c r="A57" s="55">
        <v>2007</v>
      </c>
      <c r="B57" s="55" t="s">
        <v>14</v>
      </c>
      <c r="C57" s="57"/>
      <c r="D57" s="78"/>
      <c r="E57" s="78"/>
      <c r="F57" s="82">
        <v>26.127637999999997</v>
      </c>
      <c r="G57" s="78"/>
      <c r="H57" s="78">
        <v>26.12764</v>
      </c>
      <c r="I57" s="48"/>
      <c r="J57" s="82">
        <v>2687.7528520000001</v>
      </c>
      <c r="K57" s="78">
        <v>966.37639999999999</v>
      </c>
      <c r="L57" s="78">
        <v>1721.377</v>
      </c>
      <c r="M57" s="82"/>
      <c r="N57" s="78"/>
      <c r="O57" s="79"/>
      <c r="P57" s="82"/>
      <c r="Q57" s="78"/>
      <c r="R57" s="52"/>
      <c r="S57" s="48"/>
      <c r="T57" s="78"/>
      <c r="U57" s="52"/>
      <c r="V57" s="48"/>
      <c r="W57" s="52"/>
      <c r="X57" s="52"/>
      <c r="Y57" s="87">
        <v>2713.88049</v>
      </c>
      <c r="Z57" s="52">
        <f t="shared" si="3"/>
        <v>966.37639999999999</v>
      </c>
      <c r="AA57" s="52">
        <f t="shared" si="4"/>
        <v>1747.5046399999999</v>
      </c>
    </row>
    <row r="58" spans="1:27" ht="12" customHeight="1" x14ac:dyDescent="0.25">
      <c r="A58" s="55">
        <v>2007</v>
      </c>
      <c r="B58" s="55" t="s">
        <v>15</v>
      </c>
      <c r="C58" s="57"/>
      <c r="D58" s="78"/>
      <c r="E58" s="78"/>
      <c r="F58" s="82">
        <v>1162.8883319999998</v>
      </c>
      <c r="G58" s="78"/>
      <c r="H58" s="78">
        <v>1162.8882699999999</v>
      </c>
      <c r="I58" s="48"/>
      <c r="J58" s="82">
        <v>26228.928993000001</v>
      </c>
      <c r="K58" s="78">
        <f>SUM(K46:K57)</f>
        <v>966.37639999999999</v>
      </c>
      <c r="L58" s="78">
        <f>SUM(L46:L57)</f>
        <v>25262.555</v>
      </c>
      <c r="M58" s="82"/>
      <c r="N58" s="78"/>
      <c r="O58" s="79"/>
      <c r="P58" s="82"/>
      <c r="Q58" s="78"/>
      <c r="R58" s="52"/>
      <c r="S58" s="48"/>
      <c r="T58" s="78"/>
      <c r="U58" s="52"/>
      <c r="V58" s="48"/>
      <c r="W58" s="52"/>
      <c r="X58" s="52"/>
      <c r="Y58" s="87">
        <v>27391.817325</v>
      </c>
      <c r="Z58" s="52">
        <f t="shared" si="3"/>
        <v>966.37639999999999</v>
      </c>
      <c r="AA58" s="52">
        <f t="shared" si="4"/>
        <v>26425.44327</v>
      </c>
    </row>
    <row r="59" spans="1:27" ht="12" customHeight="1" x14ac:dyDescent="0.25">
      <c r="A59" s="55">
        <v>2008</v>
      </c>
      <c r="B59" s="55" t="s">
        <v>3</v>
      </c>
      <c r="C59" s="57"/>
      <c r="D59" s="78"/>
      <c r="E59" s="78"/>
      <c r="F59" s="82">
        <v>284.85899999999998</v>
      </c>
      <c r="G59" s="78"/>
      <c r="H59" s="78">
        <v>284.85899999999998</v>
      </c>
      <c r="I59" s="48"/>
      <c r="J59" s="82">
        <v>1769.8340000000001</v>
      </c>
      <c r="K59" s="78">
        <v>0</v>
      </c>
      <c r="L59" s="78">
        <v>1769.8340000000001</v>
      </c>
      <c r="M59" s="82"/>
      <c r="N59" s="78"/>
      <c r="O59" s="79"/>
      <c r="P59" s="82"/>
      <c r="Q59" s="78"/>
      <c r="R59" s="52"/>
      <c r="S59" s="48"/>
      <c r="T59" s="78"/>
      <c r="U59" s="52"/>
      <c r="V59" s="48"/>
      <c r="W59" s="52"/>
      <c r="X59" s="52"/>
      <c r="Y59" s="87">
        <v>2054.6930000000002</v>
      </c>
      <c r="Z59" s="52">
        <f t="shared" si="3"/>
        <v>0</v>
      </c>
      <c r="AA59" s="52">
        <f t="shared" si="4"/>
        <v>2054.6930000000002</v>
      </c>
    </row>
    <row r="60" spans="1:27" ht="12" customHeight="1" x14ac:dyDescent="0.25">
      <c r="A60" s="55">
        <v>2008</v>
      </c>
      <c r="B60" s="55" t="s">
        <v>4</v>
      </c>
      <c r="C60" s="57"/>
      <c r="D60" s="78"/>
      <c r="E60" s="78"/>
      <c r="F60" s="82">
        <v>279.66035100000005</v>
      </c>
      <c r="G60" s="78"/>
      <c r="H60" s="78">
        <v>279.66038000000003</v>
      </c>
      <c r="I60" s="48"/>
      <c r="J60" s="82">
        <v>1911.8029350000002</v>
      </c>
      <c r="K60" s="78">
        <v>0</v>
      </c>
      <c r="L60" s="78">
        <v>1911.8030000000001</v>
      </c>
      <c r="M60" s="82"/>
      <c r="N60" s="78"/>
      <c r="O60" s="79"/>
      <c r="P60" s="82"/>
      <c r="Q60" s="78"/>
      <c r="R60" s="52"/>
      <c r="S60" s="48"/>
      <c r="T60" s="78"/>
      <c r="U60" s="52"/>
      <c r="V60" s="48"/>
      <c r="W60" s="52"/>
      <c r="X60" s="52"/>
      <c r="Y60" s="87">
        <v>2191.4632860000002</v>
      </c>
      <c r="Z60" s="52">
        <f t="shared" si="3"/>
        <v>0</v>
      </c>
      <c r="AA60" s="52">
        <f t="shared" si="4"/>
        <v>2191.4633800000001</v>
      </c>
    </row>
    <row r="61" spans="1:27" ht="12" customHeight="1" x14ac:dyDescent="0.25">
      <c r="A61" s="55">
        <v>2008</v>
      </c>
      <c r="B61" s="55" t="s">
        <v>5</v>
      </c>
      <c r="C61" s="57"/>
      <c r="D61" s="78"/>
      <c r="E61" s="78"/>
      <c r="F61" s="82">
        <v>295.64804700000002</v>
      </c>
      <c r="G61" s="78"/>
      <c r="H61" s="78">
        <v>295.64805000000001</v>
      </c>
      <c r="I61" s="48"/>
      <c r="J61" s="82">
        <v>1821.3458989999999</v>
      </c>
      <c r="K61" s="78">
        <v>0</v>
      </c>
      <c r="L61" s="78">
        <v>1821.346</v>
      </c>
      <c r="M61" s="82"/>
      <c r="N61" s="78"/>
      <c r="O61" s="79"/>
      <c r="P61" s="82"/>
      <c r="Q61" s="78"/>
      <c r="R61" s="52"/>
      <c r="S61" s="48"/>
      <c r="T61" s="78"/>
      <c r="U61" s="52"/>
      <c r="V61" s="48"/>
      <c r="W61" s="52"/>
      <c r="X61" s="52"/>
      <c r="Y61" s="87">
        <v>2116.9939460000001</v>
      </c>
      <c r="Z61" s="52">
        <f t="shared" si="3"/>
        <v>0</v>
      </c>
      <c r="AA61" s="52">
        <f t="shared" si="4"/>
        <v>2116.9940500000002</v>
      </c>
    </row>
    <row r="62" spans="1:27" ht="12" customHeight="1" x14ac:dyDescent="0.25">
      <c r="A62" s="55">
        <v>2008</v>
      </c>
      <c r="B62" s="55" t="s">
        <v>6</v>
      </c>
      <c r="C62" s="57"/>
      <c r="D62" s="78"/>
      <c r="E62" s="78"/>
      <c r="F62" s="82">
        <v>196.0497</v>
      </c>
      <c r="G62" s="78"/>
      <c r="H62" s="78">
        <v>196.0497</v>
      </c>
      <c r="I62" s="48"/>
      <c r="J62" s="82">
        <v>2519.6410000000001</v>
      </c>
      <c r="K62" s="78">
        <v>340.274</v>
      </c>
      <c r="L62" s="78">
        <v>2179.3670000000002</v>
      </c>
      <c r="M62" s="82"/>
      <c r="N62" s="78"/>
      <c r="O62" s="79"/>
      <c r="P62" s="82"/>
      <c r="Q62" s="78"/>
      <c r="R62" s="52"/>
      <c r="S62" s="48"/>
      <c r="T62" s="78"/>
      <c r="U62" s="52"/>
      <c r="V62" s="48"/>
      <c r="W62" s="52"/>
      <c r="X62" s="52"/>
      <c r="Y62" s="87">
        <v>2715.6907000000001</v>
      </c>
      <c r="Z62" s="52">
        <f t="shared" si="3"/>
        <v>340.274</v>
      </c>
      <c r="AA62" s="52">
        <f t="shared" si="4"/>
        <v>2375.4167000000002</v>
      </c>
    </row>
    <row r="63" spans="1:27" ht="12" customHeight="1" x14ac:dyDescent="0.25">
      <c r="A63" s="55">
        <v>2008</v>
      </c>
      <c r="B63" s="55" t="s">
        <v>7</v>
      </c>
      <c r="C63" s="57"/>
      <c r="D63" s="78"/>
      <c r="E63" s="78"/>
      <c r="F63" s="82">
        <v>159.68449100000001</v>
      </c>
      <c r="G63" s="78"/>
      <c r="H63" s="78">
        <v>159.68450000000001</v>
      </c>
      <c r="I63" s="48"/>
      <c r="J63" s="82">
        <v>2921.2157779999998</v>
      </c>
      <c r="K63" s="78">
        <v>638.70140000000004</v>
      </c>
      <c r="L63" s="78">
        <v>2282.5149999999999</v>
      </c>
      <c r="M63" s="82"/>
      <c r="N63" s="78"/>
      <c r="O63" s="79"/>
      <c r="P63" s="82"/>
      <c r="Q63" s="78"/>
      <c r="R63" s="52"/>
      <c r="S63" s="48"/>
      <c r="T63" s="78"/>
      <c r="U63" s="52"/>
      <c r="V63" s="48"/>
      <c r="W63" s="52"/>
      <c r="X63" s="52"/>
      <c r="Y63" s="87">
        <v>3080.9002689999998</v>
      </c>
      <c r="Z63" s="52">
        <f t="shared" si="3"/>
        <v>638.70140000000004</v>
      </c>
      <c r="AA63" s="52">
        <f t="shared" si="4"/>
        <v>2442.1994999999997</v>
      </c>
    </row>
    <row r="64" spans="1:27" ht="12" customHeight="1" x14ac:dyDescent="0.25">
      <c r="A64" s="55">
        <v>2008</v>
      </c>
      <c r="B64" s="55" t="s">
        <v>8</v>
      </c>
      <c r="C64" s="57"/>
      <c r="D64" s="78"/>
      <c r="E64" s="78"/>
      <c r="F64" s="82">
        <v>1.5539639999999999</v>
      </c>
      <c r="G64" s="78"/>
      <c r="H64" s="78">
        <v>1.55396</v>
      </c>
      <c r="I64" s="48"/>
      <c r="J64" s="82">
        <v>2117.5174109999998</v>
      </c>
      <c r="K64" s="78">
        <v>0</v>
      </c>
      <c r="L64" s="78">
        <v>2117.518</v>
      </c>
      <c r="M64" s="82"/>
      <c r="N64" s="78"/>
      <c r="O64" s="79"/>
      <c r="P64" s="82"/>
      <c r="Q64" s="78"/>
      <c r="R64" s="52"/>
      <c r="S64" s="48"/>
      <c r="T64" s="78"/>
      <c r="U64" s="52"/>
      <c r="V64" s="48"/>
      <c r="W64" s="52"/>
      <c r="X64" s="52"/>
      <c r="Y64" s="87">
        <v>2119.071375</v>
      </c>
      <c r="Z64" s="52">
        <f t="shared" si="3"/>
        <v>0</v>
      </c>
      <c r="AA64" s="52">
        <f t="shared" si="4"/>
        <v>2119.0719600000002</v>
      </c>
    </row>
    <row r="65" spans="1:27" ht="12" customHeight="1" x14ac:dyDescent="0.25">
      <c r="A65" s="55">
        <v>2008</v>
      </c>
      <c r="B65" s="55" t="s">
        <v>9</v>
      </c>
      <c r="C65" s="57"/>
      <c r="D65" s="78"/>
      <c r="E65" s="78"/>
      <c r="F65" s="82"/>
      <c r="G65" s="78"/>
      <c r="H65" s="78"/>
      <c r="I65" s="48"/>
      <c r="J65" s="82"/>
      <c r="K65" s="78">
        <v>0</v>
      </c>
      <c r="L65" s="78">
        <v>0</v>
      </c>
      <c r="M65" s="82"/>
      <c r="N65" s="78"/>
      <c r="O65" s="79"/>
      <c r="P65" s="82"/>
      <c r="Q65" s="78"/>
      <c r="R65" s="52"/>
      <c r="S65" s="48"/>
      <c r="T65" s="78"/>
      <c r="U65" s="52"/>
      <c r="V65" s="48"/>
      <c r="W65" s="52"/>
      <c r="X65" s="52"/>
      <c r="Y65" s="87"/>
      <c r="Z65" s="52">
        <f t="shared" si="3"/>
        <v>0</v>
      </c>
      <c r="AA65" s="52">
        <f t="shared" si="4"/>
        <v>0</v>
      </c>
    </row>
    <row r="66" spans="1:27" ht="12" customHeight="1" x14ac:dyDescent="0.25">
      <c r="A66" s="55">
        <v>2008</v>
      </c>
      <c r="B66" s="55" t="s">
        <v>10</v>
      </c>
      <c r="C66" s="57">
        <v>862.39081700000008</v>
      </c>
      <c r="D66" s="78">
        <v>862.39081700000008</v>
      </c>
      <c r="E66" s="78"/>
      <c r="F66" s="82"/>
      <c r="G66" s="78"/>
      <c r="H66" s="78"/>
      <c r="I66" s="48"/>
      <c r="J66" s="82">
        <v>2399.4029949999999</v>
      </c>
      <c r="K66" s="78">
        <v>949.91740000000004</v>
      </c>
      <c r="L66" s="78">
        <v>1449.4860000000001</v>
      </c>
      <c r="M66" s="82"/>
      <c r="N66" s="78"/>
      <c r="O66" s="79"/>
      <c r="P66" s="82"/>
      <c r="Q66" s="78"/>
      <c r="R66" s="52"/>
      <c r="S66" s="48"/>
      <c r="T66" s="78"/>
      <c r="U66" s="52"/>
      <c r="V66" s="48"/>
      <c r="W66" s="52"/>
      <c r="X66" s="52"/>
      <c r="Y66" s="87">
        <v>3261.7938119999999</v>
      </c>
      <c r="Z66" s="52">
        <f t="shared" si="3"/>
        <v>949.91740000000004</v>
      </c>
      <c r="AA66" s="52">
        <f t="shared" si="4"/>
        <v>1449.4860000000001</v>
      </c>
    </row>
    <row r="67" spans="1:27" ht="12" customHeight="1" x14ac:dyDescent="0.25">
      <c r="A67" s="55">
        <v>2008</v>
      </c>
      <c r="B67" s="55" t="s">
        <v>11</v>
      </c>
      <c r="C67" s="57">
        <v>835.671379</v>
      </c>
      <c r="D67" s="78">
        <v>835.671379</v>
      </c>
      <c r="E67" s="78"/>
      <c r="F67" s="82">
        <v>37.320779999999999</v>
      </c>
      <c r="G67" s="78"/>
      <c r="H67" s="78">
        <v>37.320779999999999</v>
      </c>
      <c r="I67" s="48"/>
      <c r="J67" s="82">
        <v>4291.2936019999997</v>
      </c>
      <c r="K67" s="78">
        <v>2816.0437299999999</v>
      </c>
      <c r="L67" s="78">
        <v>1475.25</v>
      </c>
      <c r="M67" s="82"/>
      <c r="N67" s="78"/>
      <c r="O67" s="79"/>
      <c r="P67" s="82"/>
      <c r="Q67" s="78"/>
      <c r="R67" s="52"/>
      <c r="S67" s="48"/>
      <c r="T67" s="78"/>
      <c r="U67" s="52"/>
      <c r="V67" s="48"/>
      <c r="W67" s="52"/>
      <c r="X67" s="52"/>
      <c r="Y67" s="87">
        <v>5164.2857610000001</v>
      </c>
      <c r="Z67" s="52">
        <f t="shared" si="3"/>
        <v>2816.0437299999999</v>
      </c>
      <c r="AA67" s="52">
        <f t="shared" si="4"/>
        <v>1512.57078</v>
      </c>
    </row>
    <row r="68" spans="1:27" ht="12" customHeight="1" x14ac:dyDescent="0.25">
      <c r="A68" s="55">
        <v>2008</v>
      </c>
      <c r="B68" s="55" t="s">
        <v>12</v>
      </c>
      <c r="C68" s="57"/>
      <c r="D68" s="78"/>
      <c r="E68" s="78"/>
      <c r="F68" s="82">
        <v>68.177000000000007</v>
      </c>
      <c r="G68" s="78"/>
      <c r="H68" s="78">
        <v>68.177000000000007</v>
      </c>
      <c r="I68" s="48"/>
      <c r="J68" s="82">
        <v>2813.6380679999997</v>
      </c>
      <c r="K68" s="78">
        <v>982.6413</v>
      </c>
      <c r="L68" s="78">
        <v>1830.9970000000001</v>
      </c>
      <c r="M68" s="82"/>
      <c r="N68" s="78"/>
      <c r="O68" s="79"/>
      <c r="P68" s="82"/>
      <c r="Q68" s="78"/>
      <c r="R68" s="52"/>
      <c r="S68" s="48"/>
      <c r="T68" s="78"/>
      <c r="U68" s="52"/>
      <c r="V68" s="48"/>
      <c r="W68" s="52"/>
      <c r="X68" s="52"/>
      <c r="Y68" s="87">
        <v>2881.8150679999999</v>
      </c>
      <c r="Z68" s="52">
        <f t="shared" si="3"/>
        <v>982.6413</v>
      </c>
      <c r="AA68" s="52">
        <f t="shared" si="4"/>
        <v>1899.174</v>
      </c>
    </row>
    <row r="69" spans="1:27" ht="12" customHeight="1" x14ac:dyDescent="0.25">
      <c r="A69" s="55">
        <v>2008</v>
      </c>
      <c r="B69" s="55" t="s">
        <v>13</v>
      </c>
      <c r="C69" s="57"/>
      <c r="D69" s="78"/>
      <c r="E69" s="78"/>
      <c r="F69" s="82">
        <v>119.98113000000001</v>
      </c>
      <c r="G69" s="78"/>
      <c r="H69" s="78">
        <v>119.98110000000001</v>
      </c>
      <c r="I69" s="48"/>
      <c r="J69" s="82">
        <v>3856.5989419999996</v>
      </c>
      <c r="K69" s="78">
        <v>1894.5458000000001</v>
      </c>
      <c r="L69" s="78">
        <v>1962.0530000000001</v>
      </c>
      <c r="M69" s="82"/>
      <c r="N69" s="78"/>
      <c r="O69" s="79"/>
      <c r="P69" s="82"/>
      <c r="Q69" s="78"/>
      <c r="R69" s="52"/>
      <c r="S69" s="48"/>
      <c r="T69" s="78"/>
      <c r="U69" s="52"/>
      <c r="V69" s="48"/>
      <c r="W69" s="52"/>
      <c r="X69" s="52"/>
      <c r="Y69" s="87">
        <v>3976.5800719999997</v>
      </c>
      <c r="Z69" s="52">
        <f t="shared" si="3"/>
        <v>1894.5458000000001</v>
      </c>
      <c r="AA69" s="52">
        <f t="shared" si="4"/>
        <v>2082.0341000000003</v>
      </c>
    </row>
    <row r="70" spans="1:27" ht="12" customHeight="1" x14ac:dyDescent="0.25">
      <c r="A70" s="55">
        <v>2008</v>
      </c>
      <c r="B70" s="55" t="s">
        <v>14</v>
      </c>
      <c r="C70" s="57">
        <v>270.86334199999999</v>
      </c>
      <c r="D70" s="78">
        <v>270.86334199999999</v>
      </c>
      <c r="E70" s="78"/>
      <c r="F70" s="82">
        <v>62.161199999999994</v>
      </c>
      <c r="G70" s="78"/>
      <c r="H70" s="78">
        <v>62.161199999999994</v>
      </c>
      <c r="I70" s="48"/>
      <c r="J70" s="82">
        <v>5856.5019860000002</v>
      </c>
      <c r="K70" s="78">
        <v>3829.047</v>
      </c>
      <c r="L70" s="78">
        <v>2027.4549999999999</v>
      </c>
      <c r="M70" s="82"/>
      <c r="N70" s="78"/>
      <c r="O70" s="79"/>
      <c r="P70" s="82"/>
      <c r="Q70" s="78"/>
      <c r="R70" s="52"/>
      <c r="S70" s="48"/>
      <c r="T70" s="78"/>
      <c r="U70" s="52"/>
      <c r="V70" s="48"/>
      <c r="W70" s="52"/>
      <c r="X70" s="52"/>
      <c r="Y70" s="87">
        <v>6189.5265279999994</v>
      </c>
      <c r="Z70" s="52">
        <f t="shared" si="3"/>
        <v>3829.047</v>
      </c>
      <c r="AA70" s="52">
        <f t="shared" si="4"/>
        <v>2089.6161999999999</v>
      </c>
    </row>
    <row r="71" spans="1:27" ht="12" customHeight="1" x14ac:dyDescent="0.25">
      <c r="A71" s="55">
        <v>2008</v>
      </c>
      <c r="B71" s="55" t="s">
        <v>15</v>
      </c>
      <c r="C71" s="57">
        <v>1968.925538</v>
      </c>
      <c r="D71" s="78">
        <v>1968.925538</v>
      </c>
      <c r="E71" s="78"/>
      <c r="F71" s="82">
        <v>1505.0956630000001</v>
      </c>
      <c r="G71" s="78"/>
      <c r="H71" s="78">
        <v>1505.0956699999999</v>
      </c>
      <c r="I71" s="48"/>
      <c r="J71" s="82">
        <v>32278.792615999999</v>
      </c>
      <c r="K71" s="78">
        <f>SUM(K59:K70)</f>
        <v>11451.170630000001</v>
      </c>
      <c r="L71" s="78">
        <f>SUM(L59:L70)</f>
        <v>20827.624000000003</v>
      </c>
      <c r="M71" s="82"/>
      <c r="N71" s="78"/>
      <c r="O71" s="79"/>
      <c r="P71" s="82"/>
      <c r="Q71" s="78"/>
      <c r="R71" s="52"/>
      <c r="S71" s="48"/>
      <c r="T71" s="78"/>
      <c r="U71" s="52"/>
      <c r="V71" s="48"/>
      <c r="W71" s="52"/>
      <c r="X71" s="52"/>
      <c r="Y71" s="87">
        <v>35752.813817000002</v>
      </c>
      <c r="Z71" s="52">
        <f t="shared" ref="Z71:Z102" si="5">E71+G71+N71+K71+Q71</f>
        <v>11451.170630000001</v>
      </c>
      <c r="AA71" s="52">
        <f t="shared" si="4"/>
        <v>22332.719670000002</v>
      </c>
    </row>
    <row r="72" spans="1:27" ht="12" customHeight="1" x14ac:dyDescent="0.25">
      <c r="A72" s="55">
        <v>2009</v>
      </c>
      <c r="B72" s="55" t="s">
        <v>3</v>
      </c>
      <c r="C72" s="57"/>
      <c r="D72" s="78"/>
      <c r="E72" s="78"/>
      <c r="F72" s="82"/>
      <c r="G72" s="78"/>
      <c r="H72" s="78"/>
      <c r="I72" s="48"/>
      <c r="J72" s="82">
        <v>2749.0693999999999</v>
      </c>
      <c r="K72" s="78">
        <v>721.61440000000005</v>
      </c>
      <c r="L72" s="78">
        <v>2027.4549999999999</v>
      </c>
      <c r="M72" s="82"/>
      <c r="N72" s="78"/>
      <c r="O72" s="79"/>
      <c r="P72" s="82"/>
      <c r="Q72" s="78"/>
      <c r="R72" s="52"/>
      <c r="S72" s="48"/>
      <c r="T72" s="78"/>
      <c r="U72" s="52"/>
      <c r="V72" s="48"/>
      <c r="W72" s="52"/>
      <c r="X72" s="52"/>
      <c r="Y72" s="87">
        <v>2749.0693999999999</v>
      </c>
      <c r="Z72" s="52">
        <f t="shared" si="5"/>
        <v>721.61440000000005</v>
      </c>
      <c r="AA72" s="52">
        <f t="shared" si="4"/>
        <v>2027.4549999999999</v>
      </c>
    </row>
    <row r="73" spans="1:27" ht="12" customHeight="1" x14ac:dyDescent="0.25">
      <c r="A73" s="55">
        <v>2009</v>
      </c>
      <c r="B73" s="55" t="s">
        <v>4</v>
      </c>
      <c r="C73" s="57"/>
      <c r="D73" s="78"/>
      <c r="E73" s="78"/>
      <c r="F73" s="82">
        <v>213.35329999999999</v>
      </c>
      <c r="G73" s="78"/>
      <c r="H73" s="78">
        <v>213.35329999999999</v>
      </c>
      <c r="I73" s="48"/>
      <c r="J73" s="82">
        <v>3993.5716000000002</v>
      </c>
      <c r="K73" s="78">
        <v>2162.3216000000002</v>
      </c>
      <c r="L73" s="78">
        <v>1831.25</v>
      </c>
      <c r="M73" s="82"/>
      <c r="N73" s="78"/>
      <c r="O73" s="79"/>
      <c r="P73" s="82"/>
      <c r="Q73" s="78"/>
      <c r="R73" s="52"/>
      <c r="S73" s="48"/>
      <c r="T73" s="78"/>
      <c r="U73" s="52"/>
      <c r="V73" s="48"/>
      <c r="W73" s="52"/>
      <c r="X73" s="52"/>
      <c r="Y73" s="87">
        <v>4206.9249</v>
      </c>
      <c r="Z73" s="52">
        <f t="shared" si="5"/>
        <v>2162.3216000000002</v>
      </c>
      <c r="AA73" s="52">
        <f t="shared" si="4"/>
        <v>2044.6033</v>
      </c>
    </row>
    <row r="74" spans="1:27" ht="12" customHeight="1" x14ac:dyDescent="0.25">
      <c r="A74" s="55">
        <v>2009</v>
      </c>
      <c r="B74" s="55" t="s">
        <v>5</v>
      </c>
      <c r="C74" s="57"/>
      <c r="D74" s="78"/>
      <c r="E74" s="78"/>
      <c r="F74" s="82"/>
      <c r="G74" s="78"/>
      <c r="H74" s="78"/>
      <c r="I74" s="48"/>
      <c r="J74" s="82">
        <v>4972.9237999999996</v>
      </c>
      <c r="K74" s="78">
        <v>2948.1938000000005</v>
      </c>
      <c r="L74" s="78">
        <v>2024.73</v>
      </c>
      <c r="M74" s="82"/>
      <c r="N74" s="78"/>
      <c r="O74" s="79"/>
      <c r="P74" s="82"/>
      <c r="Q74" s="78"/>
      <c r="R74" s="52"/>
      <c r="S74" s="48"/>
      <c r="T74" s="78"/>
      <c r="U74" s="52"/>
      <c r="V74" s="48"/>
      <c r="W74" s="52"/>
      <c r="X74" s="52"/>
      <c r="Y74" s="87">
        <v>4972.9237999999996</v>
      </c>
      <c r="Z74" s="52">
        <f t="shared" si="5"/>
        <v>2948.1938000000005</v>
      </c>
      <c r="AA74" s="52">
        <f t="shared" si="4"/>
        <v>2024.73</v>
      </c>
    </row>
    <row r="75" spans="1:27" ht="12" customHeight="1" x14ac:dyDescent="0.25">
      <c r="A75" s="55">
        <v>2009</v>
      </c>
      <c r="B75" s="55" t="s">
        <v>6</v>
      </c>
      <c r="C75" s="57"/>
      <c r="D75" s="78"/>
      <c r="E75" s="78"/>
      <c r="F75" s="82">
        <v>63.494019999999999</v>
      </c>
      <c r="G75" s="78"/>
      <c r="H75" s="78">
        <v>63.494019999999999</v>
      </c>
      <c r="I75" s="48"/>
      <c r="J75" s="82">
        <v>2923.95804</v>
      </c>
      <c r="K75" s="78">
        <v>971.99804000000006</v>
      </c>
      <c r="L75" s="78">
        <v>1951.96</v>
      </c>
      <c r="M75" s="82"/>
      <c r="N75" s="78"/>
      <c r="O75" s="79"/>
      <c r="P75" s="82"/>
      <c r="Q75" s="78"/>
      <c r="R75" s="52"/>
      <c r="S75" s="48"/>
      <c r="T75" s="78"/>
      <c r="U75" s="52"/>
      <c r="V75" s="48"/>
      <c r="W75" s="52"/>
      <c r="X75" s="52"/>
      <c r="Y75" s="87">
        <v>2987.4520600000001</v>
      </c>
      <c r="Z75" s="52">
        <f t="shared" si="5"/>
        <v>971.99804000000006</v>
      </c>
      <c r="AA75" s="52">
        <f t="shared" si="4"/>
        <v>2015.4540200000001</v>
      </c>
    </row>
    <row r="76" spans="1:27" ht="12" customHeight="1" x14ac:dyDescent="0.25">
      <c r="A76" s="55">
        <v>2009</v>
      </c>
      <c r="B76" s="55" t="s">
        <v>7</v>
      </c>
      <c r="C76" s="57"/>
      <c r="D76" s="78"/>
      <c r="E76" s="78"/>
      <c r="F76" s="82">
        <v>107.11837</v>
      </c>
      <c r="G76" s="78"/>
      <c r="H76" s="78">
        <v>107.11837</v>
      </c>
      <c r="I76" s="48"/>
      <c r="J76" s="82">
        <v>3463.2704100000001</v>
      </c>
      <c r="K76" s="78">
        <v>1895.82707</v>
      </c>
      <c r="L76" s="78">
        <v>1567.44334</v>
      </c>
      <c r="M76" s="82"/>
      <c r="N76" s="78"/>
      <c r="O76" s="79"/>
      <c r="P76" s="82"/>
      <c r="Q76" s="78"/>
      <c r="R76" s="52"/>
      <c r="S76" s="48"/>
      <c r="T76" s="78"/>
      <c r="U76" s="52"/>
      <c r="V76" s="48"/>
      <c r="W76" s="52"/>
      <c r="X76" s="52"/>
      <c r="Y76" s="87">
        <v>3570.3887800000002</v>
      </c>
      <c r="Z76" s="52">
        <f t="shared" si="5"/>
        <v>1895.82707</v>
      </c>
      <c r="AA76" s="52">
        <f t="shared" si="4"/>
        <v>1674.5617099999999</v>
      </c>
    </row>
    <row r="77" spans="1:27" ht="12" customHeight="1" x14ac:dyDescent="0.25">
      <c r="A77" s="55">
        <v>2009</v>
      </c>
      <c r="B77" s="55" t="s">
        <v>8</v>
      </c>
      <c r="C77" s="57"/>
      <c r="D77" s="78"/>
      <c r="E77" s="78"/>
      <c r="F77" s="82">
        <v>89.480550000000008</v>
      </c>
      <c r="G77" s="78"/>
      <c r="H77" s="78">
        <v>89.480550000000008</v>
      </c>
      <c r="I77" s="48"/>
      <c r="J77" s="82">
        <v>4472.9406300000001</v>
      </c>
      <c r="K77" s="78">
        <v>2837.2429400000001</v>
      </c>
      <c r="L77" s="78">
        <v>1635.69769</v>
      </c>
      <c r="M77" s="82"/>
      <c r="N77" s="78"/>
      <c r="O77" s="79"/>
      <c r="P77" s="82"/>
      <c r="Q77" s="78"/>
      <c r="R77" s="52"/>
      <c r="S77" s="48"/>
      <c r="T77" s="78"/>
      <c r="U77" s="52"/>
      <c r="V77" s="48"/>
      <c r="W77" s="52"/>
      <c r="X77" s="52"/>
      <c r="Y77" s="87">
        <v>4562.4211800000003</v>
      </c>
      <c r="Z77" s="52">
        <f t="shared" si="5"/>
        <v>2837.2429400000001</v>
      </c>
      <c r="AA77" s="52">
        <f t="shared" si="4"/>
        <v>1725.17824</v>
      </c>
    </row>
    <row r="78" spans="1:27" ht="12" customHeight="1" x14ac:dyDescent="0.25">
      <c r="A78" s="55">
        <v>2009</v>
      </c>
      <c r="B78" s="55" t="s">
        <v>9</v>
      </c>
      <c r="C78" s="57"/>
      <c r="D78" s="78"/>
      <c r="E78" s="78"/>
      <c r="F78" s="82">
        <v>319.34073999999998</v>
      </c>
      <c r="G78" s="78"/>
      <c r="H78" s="78">
        <v>319.34073999999998</v>
      </c>
      <c r="I78" s="48"/>
      <c r="J78" s="82">
        <v>3906.5003299999998</v>
      </c>
      <c r="K78" s="78">
        <v>1879.0453300000001</v>
      </c>
      <c r="L78" s="78">
        <v>2027.4549999999999</v>
      </c>
      <c r="M78" s="82"/>
      <c r="N78" s="78"/>
      <c r="O78" s="79"/>
      <c r="P78" s="82"/>
      <c r="Q78" s="78"/>
      <c r="R78" s="52"/>
      <c r="S78" s="48"/>
      <c r="T78" s="78"/>
      <c r="U78" s="52"/>
      <c r="V78" s="48"/>
      <c r="W78" s="52"/>
      <c r="X78" s="52"/>
      <c r="Y78" s="87">
        <v>4225.8410699999995</v>
      </c>
      <c r="Z78" s="52">
        <f t="shared" si="5"/>
        <v>1879.0453300000001</v>
      </c>
      <c r="AA78" s="52">
        <f t="shared" si="4"/>
        <v>2346.79574</v>
      </c>
    </row>
    <row r="79" spans="1:27" ht="12" customHeight="1" x14ac:dyDescent="0.25">
      <c r="A79" s="55">
        <v>2009</v>
      </c>
      <c r="B79" s="55" t="s">
        <v>10</v>
      </c>
      <c r="C79" s="57"/>
      <c r="D79" s="78"/>
      <c r="E79" s="78"/>
      <c r="F79" s="82">
        <v>284.38231000000002</v>
      </c>
      <c r="G79" s="78"/>
      <c r="H79" s="78">
        <v>284.38231000000002</v>
      </c>
      <c r="I79" s="48"/>
      <c r="J79" s="82">
        <v>3361.6667200000002</v>
      </c>
      <c r="K79" s="78">
        <v>1459.9870000000001</v>
      </c>
      <c r="L79" s="78">
        <v>1901.6797199999999</v>
      </c>
      <c r="M79" s="82"/>
      <c r="N79" s="78"/>
      <c r="O79" s="79"/>
      <c r="P79" s="82"/>
      <c r="Q79" s="78"/>
      <c r="R79" s="52"/>
      <c r="S79" s="48"/>
      <c r="T79" s="78"/>
      <c r="U79" s="52"/>
      <c r="V79" s="48"/>
      <c r="W79" s="52"/>
      <c r="X79" s="52"/>
      <c r="Y79" s="87">
        <v>3646.0490300000001</v>
      </c>
      <c r="Z79" s="52">
        <f t="shared" si="5"/>
        <v>1459.9870000000001</v>
      </c>
      <c r="AA79" s="52">
        <f t="shared" si="4"/>
        <v>2186.06203</v>
      </c>
    </row>
    <row r="80" spans="1:27" ht="12" customHeight="1" x14ac:dyDescent="0.25">
      <c r="A80" s="55">
        <v>2009</v>
      </c>
      <c r="B80" s="55" t="s">
        <v>11</v>
      </c>
      <c r="C80" s="57"/>
      <c r="D80" s="78"/>
      <c r="E80" s="78"/>
      <c r="F80" s="82">
        <v>252.63791000000001</v>
      </c>
      <c r="G80" s="78"/>
      <c r="H80" s="78">
        <v>252.63791000000001</v>
      </c>
      <c r="I80" s="48"/>
      <c r="J80" s="82">
        <v>1833.2936399999999</v>
      </c>
      <c r="K80" s="78">
        <v>0</v>
      </c>
      <c r="L80" s="78">
        <v>1833.2936399999999</v>
      </c>
      <c r="M80" s="82"/>
      <c r="N80" s="78"/>
      <c r="O80" s="79"/>
      <c r="P80" s="82"/>
      <c r="Q80" s="78"/>
      <c r="R80" s="52"/>
      <c r="S80" s="48"/>
      <c r="T80" s="78"/>
      <c r="U80" s="52"/>
      <c r="V80" s="48"/>
      <c r="W80" s="52"/>
      <c r="X80" s="52"/>
      <c r="Y80" s="87">
        <v>2085.9315499999998</v>
      </c>
      <c r="Z80" s="52">
        <f t="shared" si="5"/>
        <v>0</v>
      </c>
      <c r="AA80" s="52">
        <f t="shared" si="4"/>
        <v>2085.9315499999998</v>
      </c>
    </row>
    <row r="81" spans="1:27" ht="12" customHeight="1" x14ac:dyDescent="0.25">
      <c r="A81" s="55">
        <v>2009</v>
      </c>
      <c r="B81" s="55" t="s">
        <v>12</v>
      </c>
      <c r="C81" s="57"/>
      <c r="D81" s="78"/>
      <c r="E81" s="78"/>
      <c r="F81" s="82">
        <v>164.34557999999998</v>
      </c>
      <c r="G81" s="78"/>
      <c r="H81" s="78">
        <v>164.34557999999998</v>
      </c>
      <c r="I81" s="48"/>
      <c r="J81" s="82">
        <v>1850.4082100000001</v>
      </c>
      <c r="K81" s="78">
        <v>0</v>
      </c>
      <c r="L81" s="78">
        <v>1850.4082100000001</v>
      </c>
      <c r="M81" s="82"/>
      <c r="N81" s="78"/>
      <c r="O81" s="79"/>
      <c r="P81" s="82"/>
      <c r="Q81" s="78"/>
      <c r="R81" s="52"/>
      <c r="S81" s="48"/>
      <c r="T81" s="78"/>
      <c r="U81" s="52"/>
      <c r="V81" s="48"/>
      <c r="W81" s="52"/>
      <c r="X81" s="52"/>
      <c r="Y81" s="87">
        <v>2014.75379</v>
      </c>
      <c r="Z81" s="52">
        <f t="shared" si="5"/>
        <v>0</v>
      </c>
      <c r="AA81" s="52">
        <f t="shared" si="4"/>
        <v>2014.75379</v>
      </c>
    </row>
    <row r="82" spans="1:27" ht="12" customHeight="1" x14ac:dyDescent="0.25">
      <c r="A82" s="55">
        <v>2009</v>
      </c>
      <c r="B82" s="55" t="s">
        <v>13</v>
      </c>
      <c r="C82" s="57"/>
      <c r="D82" s="78"/>
      <c r="E82" s="78"/>
      <c r="F82" s="82"/>
      <c r="G82" s="78"/>
      <c r="H82" s="78"/>
      <c r="I82" s="48"/>
      <c r="J82" s="82">
        <v>2659.4958200000001</v>
      </c>
      <c r="K82" s="78">
        <v>883.14323000000002</v>
      </c>
      <c r="L82" s="78">
        <v>1776.3525900000002</v>
      </c>
      <c r="M82" s="82"/>
      <c r="N82" s="78"/>
      <c r="O82" s="79"/>
      <c r="P82" s="82"/>
      <c r="Q82" s="78"/>
      <c r="R82" s="52"/>
      <c r="S82" s="48"/>
      <c r="T82" s="78"/>
      <c r="U82" s="52"/>
      <c r="V82" s="48"/>
      <c r="W82" s="52"/>
      <c r="X82" s="52"/>
      <c r="Y82" s="87">
        <v>2659.4958200000001</v>
      </c>
      <c r="Z82" s="52">
        <f t="shared" si="5"/>
        <v>883.14323000000002</v>
      </c>
      <c r="AA82" s="52">
        <f t="shared" si="4"/>
        <v>1776.3525900000002</v>
      </c>
    </row>
    <row r="83" spans="1:27" ht="12" customHeight="1" x14ac:dyDescent="0.25">
      <c r="A83" s="55">
        <v>2009</v>
      </c>
      <c r="B83" s="55" t="s">
        <v>14</v>
      </c>
      <c r="C83" s="57">
        <v>872.95296999999994</v>
      </c>
      <c r="D83" s="78">
        <v>872.95296999999994</v>
      </c>
      <c r="E83" s="78"/>
      <c r="F83" s="82">
        <v>80.599999999999994</v>
      </c>
      <c r="G83" s="78"/>
      <c r="H83" s="78">
        <v>80.599999999999994</v>
      </c>
      <c r="I83" s="48"/>
      <c r="J83" s="82">
        <v>1924.7679499999999</v>
      </c>
      <c r="K83" s="78">
        <v>0</v>
      </c>
      <c r="L83" s="78">
        <v>1924.7679499999999</v>
      </c>
      <c r="M83" s="82"/>
      <c r="N83" s="78"/>
      <c r="O83" s="79"/>
      <c r="P83" s="82"/>
      <c r="Q83" s="78"/>
      <c r="R83" s="52"/>
      <c r="S83" s="48"/>
      <c r="T83" s="78"/>
      <c r="U83" s="52"/>
      <c r="V83" s="48"/>
      <c r="W83" s="52"/>
      <c r="X83" s="52"/>
      <c r="Y83" s="87">
        <v>2878.3209199999997</v>
      </c>
      <c r="Z83" s="52">
        <f t="shared" si="5"/>
        <v>0</v>
      </c>
      <c r="AA83" s="52">
        <f t="shared" si="4"/>
        <v>2005.3679499999998</v>
      </c>
    </row>
    <row r="84" spans="1:27" ht="12" customHeight="1" x14ac:dyDescent="0.25">
      <c r="A84" s="55">
        <v>2009</v>
      </c>
      <c r="B84" s="55" t="s">
        <v>15</v>
      </c>
      <c r="C84" s="57">
        <v>872.95296999999994</v>
      </c>
      <c r="D84" s="78">
        <v>872.95296999999994</v>
      </c>
      <c r="E84" s="78"/>
      <c r="F84" s="82">
        <v>1574.7527799999998</v>
      </c>
      <c r="G84" s="78"/>
      <c r="H84" s="78">
        <f>SUM(H72:H83)</f>
        <v>1574.7527799999998</v>
      </c>
      <c r="I84" s="48"/>
      <c r="J84" s="82">
        <v>38111.866549999999</v>
      </c>
      <c r="K84" s="78">
        <f>SUM(K72:K83)</f>
        <v>15759.373410000002</v>
      </c>
      <c r="L84" s="78">
        <f>SUM(L72:L83)</f>
        <v>22352.493140000002</v>
      </c>
      <c r="M84" s="82"/>
      <c r="N84" s="78"/>
      <c r="O84" s="79"/>
      <c r="P84" s="82"/>
      <c r="Q84" s="78"/>
      <c r="R84" s="52"/>
      <c r="S84" s="48"/>
      <c r="T84" s="78"/>
      <c r="U84" s="52"/>
      <c r="V84" s="48"/>
      <c r="W84" s="52"/>
      <c r="X84" s="52"/>
      <c r="Y84" s="87">
        <v>40559.5723</v>
      </c>
      <c r="Z84" s="52">
        <f t="shared" si="5"/>
        <v>15759.373410000002</v>
      </c>
      <c r="AA84" s="52">
        <f t="shared" ref="AA84:AA115" si="6">H84+O84+L84+R84+X84</f>
        <v>23927.245920000001</v>
      </c>
    </row>
    <row r="85" spans="1:27" ht="12" customHeight="1" x14ac:dyDescent="0.25">
      <c r="A85" s="55">
        <v>2010</v>
      </c>
      <c r="B85" s="55" t="s">
        <v>3</v>
      </c>
      <c r="C85" s="57">
        <v>875.93829000000005</v>
      </c>
      <c r="D85" s="78">
        <v>875.93829000000005</v>
      </c>
      <c r="E85" s="78"/>
      <c r="F85" s="82">
        <v>185.345</v>
      </c>
      <c r="G85" s="78"/>
      <c r="H85" s="78">
        <v>185.345</v>
      </c>
      <c r="I85" s="48"/>
      <c r="J85" s="82">
        <v>4550.5226399999992</v>
      </c>
      <c r="K85" s="78">
        <v>2824.6705499999998</v>
      </c>
      <c r="L85" s="78">
        <v>1725.8520900000001</v>
      </c>
      <c r="M85" s="82"/>
      <c r="N85" s="78"/>
      <c r="O85" s="79"/>
      <c r="P85" s="82"/>
      <c r="Q85" s="78"/>
      <c r="R85" s="52"/>
      <c r="S85" s="48"/>
      <c r="T85" s="78"/>
      <c r="U85" s="52"/>
      <c r="V85" s="48"/>
      <c r="W85" s="52"/>
      <c r="X85" s="52"/>
      <c r="Y85" s="87">
        <v>5611.8059299999995</v>
      </c>
      <c r="Z85" s="52">
        <f t="shared" si="5"/>
        <v>2824.6705499999998</v>
      </c>
      <c r="AA85" s="52">
        <f t="shared" si="6"/>
        <v>1911.1970900000001</v>
      </c>
    </row>
    <row r="86" spans="1:27" ht="12" customHeight="1" x14ac:dyDescent="0.25">
      <c r="A86" s="55">
        <v>2010</v>
      </c>
      <c r="B86" s="55" t="s">
        <v>4</v>
      </c>
      <c r="C86" s="57"/>
      <c r="D86" s="78"/>
      <c r="E86" s="78"/>
      <c r="F86" s="82">
        <v>228.6097</v>
      </c>
      <c r="G86" s="78"/>
      <c r="H86" s="78">
        <v>228.6097</v>
      </c>
      <c r="I86" s="48"/>
      <c r="J86" s="82">
        <v>2350.9206700000004</v>
      </c>
      <c r="K86" s="78">
        <v>959.62061000000006</v>
      </c>
      <c r="L86" s="78">
        <v>1391.30006</v>
      </c>
      <c r="M86" s="82"/>
      <c r="N86" s="78"/>
      <c r="O86" s="79"/>
      <c r="P86" s="82"/>
      <c r="Q86" s="78"/>
      <c r="R86" s="52"/>
      <c r="S86" s="48"/>
      <c r="T86" s="78"/>
      <c r="U86" s="52"/>
      <c r="V86" s="48"/>
      <c r="W86" s="52"/>
      <c r="X86" s="52"/>
      <c r="Y86" s="87">
        <v>2579.5303700000004</v>
      </c>
      <c r="Z86" s="52">
        <f t="shared" si="5"/>
        <v>959.62061000000006</v>
      </c>
      <c r="AA86" s="52">
        <f t="shared" si="6"/>
        <v>1619.90976</v>
      </c>
    </row>
    <row r="87" spans="1:27" ht="12" customHeight="1" x14ac:dyDescent="0.25">
      <c r="A87" s="55">
        <v>2010</v>
      </c>
      <c r="B87" s="55" t="s">
        <v>5</v>
      </c>
      <c r="C87" s="57"/>
      <c r="D87" s="78"/>
      <c r="E87" s="78"/>
      <c r="F87" s="82">
        <v>253.01050000000004</v>
      </c>
      <c r="G87" s="78"/>
      <c r="H87" s="78">
        <v>253.01050000000004</v>
      </c>
      <c r="I87" s="48"/>
      <c r="J87" s="82">
        <v>2630.6329500000002</v>
      </c>
      <c r="K87" s="78">
        <v>969.17820999999992</v>
      </c>
      <c r="L87" s="78">
        <v>1661.4547399999999</v>
      </c>
      <c r="M87" s="82"/>
      <c r="N87" s="78"/>
      <c r="O87" s="79"/>
      <c r="P87" s="82"/>
      <c r="Q87" s="78"/>
      <c r="R87" s="52"/>
      <c r="S87" s="48"/>
      <c r="T87" s="78"/>
      <c r="U87" s="52"/>
      <c r="V87" s="48"/>
      <c r="W87" s="52"/>
      <c r="X87" s="52"/>
      <c r="Y87" s="87">
        <v>2883.64345</v>
      </c>
      <c r="Z87" s="52">
        <f t="shared" si="5"/>
        <v>969.17820999999992</v>
      </c>
      <c r="AA87" s="52">
        <f t="shared" si="6"/>
        <v>1914.46524</v>
      </c>
    </row>
    <row r="88" spans="1:27" ht="12" customHeight="1" x14ac:dyDescent="0.25">
      <c r="A88" s="55">
        <v>2010</v>
      </c>
      <c r="B88" s="55" t="s">
        <v>6</v>
      </c>
      <c r="C88" s="57"/>
      <c r="D88" s="78"/>
      <c r="E88" s="78"/>
      <c r="F88" s="82">
        <v>34.08408</v>
      </c>
      <c r="G88" s="78"/>
      <c r="H88" s="78">
        <v>34.08408</v>
      </c>
      <c r="I88" s="48"/>
      <c r="J88" s="82">
        <v>1943.7666099999999</v>
      </c>
      <c r="K88" s="78">
        <v>950.87486000000001</v>
      </c>
      <c r="L88" s="78">
        <v>992.89175</v>
      </c>
      <c r="M88" s="82"/>
      <c r="N88" s="78"/>
      <c r="O88" s="79"/>
      <c r="P88" s="82"/>
      <c r="Q88" s="78"/>
      <c r="R88" s="52"/>
      <c r="S88" s="48"/>
      <c r="T88" s="78"/>
      <c r="U88" s="52"/>
      <c r="V88" s="48"/>
      <c r="W88" s="52"/>
      <c r="X88" s="52"/>
      <c r="Y88" s="87">
        <v>1977.85069</v>
      </c>
      <c r="Z88" s="52">
        <f t="shared" si="5"/>
        <v>950.87486000000001</v>
      </c>
      <c r="AA88" s="52">
        <f t="shared" si="6"/>
        <v>1026.9758300000001</v>
      </c>
    </row>
    <row r="89" spans="1:27" ht="12" customHeight="1" x14ac:dyDescent="0.25">
      <c r="A89" s="55">
        <v>2010</v>
      </c>
      <c r="B89" s="55" t="s">
        <v>7</v>
      </c>
      <c r="C89" s="57"/>
      <c r="D89" s="78"/>
      <c r="E89" s="78"/>
      <c r="F89" s="82">
        <v>35.220219999999998</v>
      </c>
      <c r="G89" s="78"/>
      <c r="H89" s="78">
        <v>35.220219999999998</v>
      </c>
      <c r="I89" s="48"/>
      <c r="J89" s="82">
        <v>4151.6553300000005</v>
      </c>
      <c r="K89" s="78">
        <v>2805.56709</v>
      </c>
      <c r="L89" s="78">
        <v>1346.08824</v>
      </c>
      <c r="M89" s="82"/>
      <c r="N89" s="78"/>
      <c r="O89" s="79"/>
      <c r="P89" s="82"/>
      <c r="Q89" s="78"/>
      <c r="R89" s="52"/>
      <c r="S89" s="48"/>
      <c r="T89" s="78"/>
      <c r="U89" s="52"/>
      <c r="V89" s="48"/>
      <c r="W89" s="52"/>
      <c r="X89" s="52"/>
      <c r="Y89" s="87">
        <v>4186.8755500000007</v>
      </c>
      <c r="Z89" s="52">
        <f t="shared" si="5"/>
        <v>2805.56709</v>
      </c>
      <c r="AA89" s="52">
        <f t="shared" si="6"/>
        <v>1381.30846</v>
      </c>
    </row>
    <row r="90" spans="1:27" ht="12" customHeight="1" x14ac:dyDescent="0.25">
      <c r="A90" s="55">
        <v>2010</v>
      </c>
      <c r="B90" s="55" t="s">
        <v>8</v>
      </c>
      <c r="C90" s="57"/>
      <c r="D90" s="78"/>
      <c r="E90" s="78"/>
      <c r="F90" s="82">
        <v>94.236080000000001</v>
      </c>
      <c r="G90" s="78"/>
      <c r="H90" s="78">
        <v>94.236080000000001</v>
      </c>
      <c r="I90" s="48"/>
      <c r="J90" s="82">
        <v>4402.8402799999994</v>
      </c>
      <c r="K90" s="78">
        <v>2770.0960399999999</v>
      </c>
      <c r="L90" s="78">
        <v>1632.74424</v>
      </c>
      <c r="M90" s="82"/>
      <c r="N90" s="78"/>
      <c r="O90" s="79"/>
      <c r="P90" s="82"/>
      <c r="Q90" s="78"/>
      <c r="R90" s="52"/>
      <c r="S90" s="48"/>
      <c r="T90" s="78"/>
      <c r="U90" s="52"/>
      <c r="V90" s="48"/>
      <c r="W90" s="52"/>
      <c r="X90" s="52"/>
      <c r="Y90" s="87">
        <v>4497.0763599999991</v>
      </c>
      <c r="Z90" s="52">
        <f t="shared" si="5"/>
        <v>2770.0960399999999</v>
      </c>
      <c r="AA90" s="52">
        <f t="shared" si="6"/>
        <v>1726.9803199999999</v>
      </c>
    </row>
    <row r="91" spans="1:27" ht="12" customHeight="1" x14ac:dyDescent="0.25">
      <c r="A91" s="55">
        <v>2010</v>
      </c>
      <c r="B91" s="55" t="s">
        <v>9</v>
      </c>
      <c r="C91" s="57"/>
      <c r="D91" s="78"/>
      <c r="E91" s="78"/>
      <c r="F91" s="82">
        <v>71.141000000000005</v>
      </c>
      <c r="G91" s="78"/>
      <c r="H91" s="78">
        <v>71.141000000000005</v>
      </c>
      <c r="I91" s="48"/>
      <c r="J91" s="82">
        <v>4925.0965400000005</v>
      </c>
      <c r="K91" s="78">
        <v>3752.3547399999998</v>
      </c>
      <c r="L91" s="78">
        <v>1172.7418</v>
      </c>
      <c r="M91" s="82"/>
      <c r="N91" s="78"/>
      <c r="O91" s="79"/>
      <c r="P91" s="82"/>
      <c r="Q91" s="78"/>
      <c r="R91" s="52"/>
      <c r="S91" s="48"/>
      <c r="T91" s="78"/>
      <c r="U91" s="52"/>
      <c r="V91" s="48"/>
      <c r="W91" s="52"/>
      <c r="X91" s="52"/>
      <c r="Y91" s="87">
        <v>4996.2375400000001</v>
      </c>
      <c r="Z91" s="52">
        <f t="shared" si="5"/>
        <v>3752.3547399999998</v>
      </c>
      <c r="AA91" s="52">
        <f t="shared" si="6"/>
        <v>1243.8828000000001</v>
      </c>
    </row>
    <row r="92" spans="1:27" ht="12" customHeight="1" x14ac:dyDescent="0.25">
      <c r="A92" s="55">
        <v>2010</v>
      </c>
      <c r="B92" s="55" t="s">
        <v>10</v>
      </c>
      <c r="C92" s="57"/>
      <c r="D92" s="78"/>
      <c r="E92" s="78"/>
      <c r="F92" s="82">
        <v>8.3070900000000005</v>
      </c>
      <c r="G92" s="78"/>
      <c r="H92" s="78">
        <v>8.3070900000000005</v>
      </c>
      <c r="I92" s="48"/>
      <c r="J92" s="82">
        <v>1177.2532699999999</v>
      </c>
      <c r="K92" s="78">
        <v>932.26485000000002</v>
      </c>
      <c r="L92" s="78">
        <v>244.98842000000002</v>
      </c>
      <c r="M92" s="82"/>
      <c r="N92" s="78"/>
      <c r="O92" s="79"/>
      <c r="P92" s="82"/>
      <c r="Q92" s="78"/>
      <c r="R92" s="52"/>
      <c r="S92" s="48"/>
      <c r="T92" s="78"/>
      <c r="U92" s="52"/>
      <c r="V92" s="48"/>
      <c r="W92" s="52"/>
      <c r="X92" s="52"/>
      <c r="Y92" s="87">
        <v>1185.5603599999999</v>
      </c>
      <c r="Z92" s="52">
        <f t="shared" si="5"/>
        <v>932.26485000000002</v>
      </c>
      <c r="AA92" s="52">
        <f t="shared" si="6"/>
        <v>253.29551000000001</v>
      </c>
    </row>
    <row r="93" spans="1:27" ht="12" customHeight="1" x14ac:dyDescent="0.25">
      <c r="A93" s="55">
        <v>2010</v>
      </c>
      <c r="B93" s="55" t="s">
        <v>11</v>
      </c>
      <c r="C93" s="57"/>
      <c r="D93" s="78"/>
      <c r="E93" s="78"/>
      <c r="F93" s="82">
        <v>178.72565999999998</v>
      </c>
      <c r="G93" s="78"/>
      <c r="H93" s="78">
        <v>178.72565999999998</v>
      </c>
      <c r="I93" s="48"/>
      <c r="J93" s="82">
        <v>1954.51802</v>
      </c>
      <c r="K93" s="78">
        <v>956.24968999999999</v>
      </c>
      <c r="L93" s="78">
        <v>998.26832999999999</v>
      </c>
      <c r="M93" s="82"/>
      <c r="N93" s="78"/>
      <c r="O93" s="79"/>
      <c r="P93" s="82"/>
      <c r="Q93" s="78"/>
      <c r="R93" s="52"/>
      <c r="S93" s="48"/>
      <c r="T93" s="78"/>
      <c r="U93" s="52"/>
      <c r="V93" s="48"/>
      <c r="W93" s="52"/>
      <c r="X93" s="52"/>
      <c r="Y93" s="87">
        <v>2133.24368</v>
      </c>
      <c r="Z93" s="52">
        <f t="shared" si="5"/>
        <v>956.24968999999999</v>
      </c>
      <c r="AA93" s="52">
        <f t="shared" si="6"/>
        <v>1176.9939899999999</v>
      </c>
    </row>
    <row r="94" spans="1:27" ht="12" customHeight="1" x14ac:dyDescent="0.25">
      <c r="A94" s="55">
        <v>2010</v>
      </c>
      <c r="B94" s="55" t="s">
        <v>12</v>
      </c>
      <c r="C94" s="57"/>
      <c r="D94" s="78"/>
      <c r="E94" s="78"/>
      <c r="F94" s="82">
        <v>227.98445999999998</v>
      </c>
      <c r="G94" s="78"/>
      <c r="H94" s="78">
        <v>227.98446000000001</v>
      </c>
      <c r="I94" s="48"/>
      <c r="J94" s="82">
        <v>1896.23261</v>
      </c>
      <c r="K94" s="78">
        <v>0</v>
      </c>
      <c r="L94" s="78">
        <v>1896.23261</v>
      </c>
      <c r="M94" s="82"/>
      <c r="N94" s="78"/>
      <c r="O94" s="79"/>
      <c r="P94" s="82"/>
      <c r="Q94" s="78"/>
      <c r="R94" s="52"/>
      <c r="S94" s="48"/>
      <c r="T94" s="78"/>
      <c r="U94" s="52"/>
      <c r="V94" s="48"/>
      <c r="W94" s="52"/>
      <c r="X94" s="52"/>
      <c r="Y94" s="87">
        <v>2124.2170700000001</v>
      </c>
      <c r="Z94" s="52">
        <f t="shared" si="5"/>
        <v>0</v>
      </c>
      <c r="AA94" s="52">
        <f t="shared" si="6"/>
        <v>2124.2170700000001</v>
      </c>
    </row>
    <row r="95" spans="1:27" ht="12" customHeight="1" x14ac:dyDescent="0.25">
      <c r="A95" s="55">
        <v>2010</v>
      </c>
      <c r="B95" s="55" t="s">
        <v>13</v>
      </c>
      <c r="C95" s="57"/>
      <c r="D95" s="78"/>
      <c r="E95" s="78"/>
      <c r="F95" s="82">
        <v>254.75037</v>
      </c>
      <c r="G95" s="78"/>
      <c r="H95" s="78">
        <v>254.75037</v>
      </c>
      <c r="I95" s="48"/>
      <c r="J95" s="82">
        <v>4688.6048200000005</v>
      </c>
      <c r="K95" s="78">
        <v>2825.9261800000004</v>
      </c>
      <c r="L95" s="78">
        <v>1862.6786399999999</v>
      </c>
      <c r="M95" s="82"/>
      <c r="N95" s="78"/>
      <c r="O95" s="79"/>
      <c r="P95" s="82"/>
      <c r="Q95" s="78"/>
      <c r="R95" s="52"/>
      <c r="S95" s="48"/>
      <c r="T95" s="78"/>
      <c r="U95" s="52"/>
      <c r="V95" s="48"/>
      <c r="W95" s="52"/>
      <c r="X95" s="52"/>
      <c r="Y95" s="87">
        <v>4943.3551900000002</v>
      </c>
      <c r="Z95" s="52">
        <f t="shared" si="5"/>
        <v>2825.9261800000004</v>
      </c>
      <c r="AA95" s="52">
        <f t="shared" si="6"/>
        <v>2117.4290099999998</v>
      </c>
    </row>
    <row r="96" spans="1:27" ht="12" customHeight="1" x14ac:dyDescent="0.25">
      <c r="A96" s="55">
        <v>2010</v>
      </c>
      <c r="B96" s="55" t="s">
        <v>14</v>
      </c>
      <c r="C96" s="57"/>
      <c r="D96" s="78"/>
      <c r="E96" s="78"/>
      <c r="F96" s="82">
        <v>279.72540000000004</v>
      </c>
      <c r="G96" s="78"/>
      <c r="H96" s="78">
        <v>279.72540000000004</v>
      </c>
      <c r="I96" s="48"/>
      <c r="J96" s="82">
        <v>2953.49892</v>
      </c>
      <c r="K96" s="78">
        <v>926.28283999999996</v>
      </c>
      <c r="L96" s="78">
        <v>2027.2160800000001</v>
      </c>
      <c r="M96" s="82"/>
      <c r="N96" s="78"/>
      <c r="O96" s="79"/>
      <c r="P96" s="82"/>
      <c r="Q96" s="78"/>
      <c r="R96" s="52"/>
      <c r="S96" s="48"/>
      <c r="T96" s="78"/>
      <c r="U96" s="52"/>
      <c r="V96" s="48"/>
      <c r="W96" s="52"/>
      <c r="X96" s="52"/>
      <c r="Y96" s="87">
        <v>3233.2243200000003</v>
      </c>
      <c r="Z96" s="52">
        <f t="shared" si="5"/>
        <v>926.28283999999996</v>
      </c>
      <c r="AA96" s="52">
        <f t="shared" si="6"/>
        <v>2306.9414800000004</v>
      </c>
    </row>
    <row r="97" spans="1:27" ht="12" customHeight="1" x14ac:dyDescent="0.25">
      <c r="A97" s="55">
        <v>2010</v>
      </c>
      <c r="B97" s="55" t="s">
        <v>15</v>
      </c>
      <c r="C97" s="57">
        <v>875.93829000000005</v>
      </c>
      <c r="D97" s="78">
        <v>875.93829000000005</v>
      </c>
      <c r="E97" s="78"/>
      <c r="F97" s="82">
        <v>1851.1395600000001</v>
      </c>
      <c r="G97" s="78"/>
      <c r="H97" s="78">
        <f t="shared" ref="H97" si="7">SUM(H85:H96)</f>
        <v>1851.1395600000001</v>
      </c>
      <c r="I97" s="48"/>
      <c r="J97" s="82">
        <v>37625.542660000006</v>
      </c>
      <c r="K97" s="78">
        <f>SUM(K85:K96)</f>
        <v>20673.085659999997</v>
      </c>
      <c r="L97" s="78">
        <f>SUM(L85:L96)</f>
        <v>16952.456999999999</v>
      </c>
      <c r="M97" s="82"/>
      <c r="N97" s="78"/>
      <c r="O97" s="79"/>
      <c r="P97" s="82"/>
      <c r="Q97" s="78"/>
      <c r="R97" s="52"/>
      <c r="S97" s="48"/>
      <c r="T97" s="78"/>
      <c r="U97" s="52"/>
      <c r="V97" s="48"/>
      <c r="W97" s="52"/>
      <c r="X97" s="52"/>
      <c r="Y97" s="87">
        <v>40352.620510000001</v>
      </c>
      <c r="Z97" s="52">
        <f t="shared" si="5"/>
        <v>20673.085659999997</v>
      </c>
      <c r="AA97" s="52">
        <f t="shared" si="6"/>
        <v>18803.596559999998</v>
      </c>
    </row>
    <row r="98" spans="1:27" ht="12" customHeight="1" x14ac:dyDescent="0.25">
      <c r="A98" s="55">
        <v>2011</v>
      </c>
      <c r="B98" s="55" t="s">
        <v>3</v>
      </c>
      <c r="C98" s="57"/>
      <c r="D98" s="78"/>
      <c r="E98" s="78"/>
      <c r="F98" s="82">
        <v>86.223600000000005</v>
      </c>
      <c r="G98" s="78"/>
      <c r="H98" s="78">
        <v>86.223600000000005</v>
      </c>
      <c r="I98" s="48"/>
      <c r="J98" s="82">
        <v>1856.3906100000002</v>
      </c>
      <c r="K98" s="78">
        <v>0</v>
      </c>
      <c r="L98" s="78">
        <v>1856.3906100000002</v>
      </c>
      <c r="M98" s="82"/>
      <c r="N98" s="78"/>
      <c r="O98" s="79"/>
      <c r="P98" s="82"/>
      <c r="Q98" s="78"/>
      <c r="R98" s="52"/>
      <c r="S98" s="48"/>
      <c r="T98" s="78"/>
      <c r="U98" s="52"/>
      <c r="V98" s="48"/>
      <c r="W98" s="52"/>
      <c r="X98" s="52"/>
      <c r="Y98" s="87">
        <v>1942.6142100000002</v>
      </c>
      <c r="Z98" s="52">
        <f t="shared" si="5"/>
        <v>0</v>
      </c>
      <c r="AA98" s="52">
        <f t="shared" si="6"/>
        <v>1942.6142100000002</v>
      </c>
    </row>
    <row r="99" spans="1:27" ht="12" customHeight="1" x14ac:dyDescent="0.25">
      <c r="A99" s="55">
        <v>2011</v>
      </c>
      <c r="B99" s="55" t="s">
        <v>4</v>
      </c>
      <c r="C99" s="57"/>
      <c r="D99" s="78"/>
      <c r="E99" s="78"/>
      <c r="F99" s="82">
        <v>272.91777000000002</v>
      </c>
      <c r="G99" s="78"/>
      <c r="H99" s="78">
        <v>272.91777000000002</v>
      </c>
      <c r="I99" s="48"/>
      <c r="J99" s="82">
        <v>4622.7460799999999</v>
      </c>
      <c r="K99" s="78">
        <v>2893.0688999999998</v>
      </c>
      <c r="L99" s="78">
        <v>1729.6771799999999</v>
      </c>
      <c r="M99" s="82"/>
      <c r="N99" s="78"/>
      <c r="O99" s="79"/>
      <c r="P99" s="82"/>
      <c r="Q99" s="78"/>
      <c r="R99" s="52"/>
      <c r="S99" s="48"/>
      <c r="T99" s="78"/>
      <c r="U99" s="52"/>
      <c r="V99" s="48"/>
      <c r="W99" s="52"/>
      <c r="X99" s="52"/>
      <c r="Y99" s="87">
        <v>4895.6638499999999</v>
      </c>
      <c r="Z99" s="52">
        <f t="shared" si="5"/>
        <v>2893.0688999999998</v>
      </c>
      <c r="AA99" s="52">
        <f t="shared" si="6"/>
        <v>2002.5949499999999</v>
      </c>
    </row>
    <row r="100" spans="1:27" ht="12" customHeight="1" x14ac:dyDescent="0.25">
      <c r="A100" s="55">
        <v>2011</v>
      </c>
      <c r="B100" s="55" t="s">
        <v>5</v>
      </c>
      <c r="C100" s="57"/>
      <c r="D100" s="78"/>
      <c r="E100" s="78"/>
      <c r="F100" s="82">
        <v>223.84129999999999</v>
      </c>
      <c r="G100" s="78"/>
      <c r="H100" s="78">
        <v>223.84129999999999</v>
      </c>
      <c r="I100" s="48"/>
      <c r="J100" s="82">
        <v>4314.0488700000005</v>
      </c>
      <c r="K100" s="78">
        <v>2771.7188099999998</v>
      </c>
      <c r="L100" s="78">
        <v>1542.33006</v>
      </c>
      <c r="M100" s="82"/>
      <c r="N100" s="78"/>
      <c r="O100" s="79"/>
      <c r="P100" s="82"/>
      <c r="Q100" s="78"/>
      <c r="R100" s="52"/>
      <c r="S100" s="48"/>
      <c r="T100" s="78"/>
      <c r="U100" s="52"/>
      <c r="V100" s="48"/>
      <c r="W100" s="52"/>
      <c r="X100" s="52"/>
      <c r="Y100" s="87">
        <v>4537.8901700000006</v>
      </c>
      <c r="Z100" s="52">
        <f t="shared" si="5"/>
        <v>2771.7188099999998</v>
      </c>
      <c r="AA100" s="52">
        <f t="shared" si="6"/>
        <v>1766.17136</v>
      </c>
    </row>
    <row r="101" spans="1:27" ht="12" customHeight="1" x14ac:dyDescent="0.25">
      <c r="A101" s="55">
        <v>2011</v>
      </c>
      <c r="B101" s="55" t="s">
        <v>6</v>
      </c>
      <c r="C101" s="57"/>
      <c r="D101" s="78"/>
      <c r="E101" s="78"/>
      <c r="F101" s="82">
        <v>93.888999999999996</v>
      </c>
      <c r="G101" s="78"/>
      <c r="H101" s="78">
        <v>93.888999999999996</v>
      </c>
      <c r="I101" s="48"/>
      <c r="J101" s="82">
        <v>2895.4384100000002</v>
      </c>
      <c r="K101" s="78">
        <v>1852.1312600000001</v>
      </c>
      <c r="L101" s="78">
        <v>1043.3071500000001</v>
      </c>
      <c r="M101" s="82"/>
      <c r="N101" s="78"/>
      <c r="O101" s="79"/>
      <c r="P101" s="82"/>
      <c r="Q101" s="78"/>
      <c r="R101" s="52"/>
      <c r="S101" s="48"/>
      <c r="T101" s="78"/>
      <c r="U101" s="52"/>
      <c r="V101" s="48"/>
      <c r="W101" s="52"/>
      <c r="X101" s="52"/>
      <c r="Y101" s="87">
        <v>2989.3274100000003</v>
      </c>
      <c r="Z101" s="52">
        <f t="shared" si="5"/>
        <v>1852.1312600000001</v>
      </c>
      <c r="AA101" s="52">
        <f t="shared" si="6"/>
        <v>1137.19615</v>
      </c>
    </row>
    <row r="102" spans="1:27" ht="12" customHeight="1" x14ac:dyDescent="0.25">
      <c r="A102" s="55">
        <v>2011</v>
      </c>
      <c r="B102" s="55" t="s">
        <v>7</v>
      </c>
      <c r="C102" s="57"/>
      <c r="D102" s="78"/>
      <c r="E102" s="78"/>
      <c r="F102" s="82">
        <v>102.72732999999998</v>
      </c>
      <c r="G102" s="78"/>
      <c r="H102" s="78">
        <v>102.72732999999998</v>
      </c>
      <c r="I102" s="48"/>
      <c r="J102" s="82">
        <v>2129.9688900000001</v>
      </c>
      <c r="K102" s="78">
        <v>939.99467000000004</v>
      </c>
      <c r="L102" s="78">
        <v>1189.9742200000001</v>
      </c>
      <c r="M102" s="82"/>
      <c r="N102" s="78"/>
      <c r="O102" s="79"/>
      <c r="P102" s="82">
        <v>1.835</v>
      </c>
      <c r="Q102" s="78">
        <v>1.835</v>
      </c>
      <c r="R102" s="52">
        <v>0</v>
      </c>
      <c r="S102" s="48"/>
      <c r="T102" s="78"/>
      <c r="U102" s="52"/>
      <c r="V102" s="48"/>
      <c r="W102" s="52"/>
      <c r="X102" s="52"/>
      <c r="Y102" s="87">
        <v>2234.5312200000003</v>
      </c>
      <c r="Z102" s="52">
        <f t="shared" si="5"/>
        <v>941.82967000000008</v>
      </c>
      <c r="AA102" s="52">
        <f t="shared" si="6"/>
        <v>1292.70155</v>
      </c>
    </row>
    <row r="103" spans="1:27" ht="12" customHeight="1" x14ac:dyDescent="0.25">
      <c r="A103" s="55">
        <v>2011</v>
      </c>
      <c r="B103" s="55" t="s">
        <v>8</v>
      </c>
      <c r="C103" s="57"/>
      <c r="D103" s="78"/>
      <c r="E103" s="78"/>
      <c r="F103" s="82">
        <v>325.01542999999998</v>
      </c>
      <c r="G103" s="78"/>
      <c r="H103" s="78">
        <v>325.01542999999998</v>
      </c>
      <c r="I103" s="48"/>
      <c r="J103" s="82">
        <v>799.20636000000002</v>
      </c>
      <c r="K103" s="78">
        <v>0</v>
      </c>
      <c r="L103" s="78">
        <v>799.20636000000002</v>
      </c>
      <c r="M103" s="82"/>
      <c r="N103" s="78"/>
      <c r="O103" s="79"/>
      <c r="P103" s="82">
        <v>3.7109999999999999</v>
      </c>
      <c r="Q103" s="78">
        <v>3.7109999999999999</v>
      </c>
      <c r="R103" s="52">
        <v>0</v>
      </c>
      <c r="S103" s="48"/>
      <c r="T103" s="78"/>
      <c r="U103" s="52"/>
      <c r="V103" s="48"/>
      <c r="W103" s="52"/>
      <c r="X103" s="52"/>
      <c r="Y103" s="87">
        <v>1127.9327900000001</v>
      </c>
      <c r="Z103" s="52">
        <f t="shared" ref="Z103:Z136" si="8">E103+G103+N103+K103+Q103</f>
        <v>3.7109999999999999</v>
      </c>
      <c r="AA103" s="52">
        <f t="shared" si="6"/>
        <v>1124.2217900000001</v>
      </c>
    </row>
    <row r="104" spans="1:27" ht="12" customHeight="1" x14ac:dyDescent="0.25">
      <c r="A104" s="55">
        <v>2011</v>
      </c>
      <c r="B104" s="55" t="s">
        <v>9</v>
      </c>
      <c r="C104" s="57"/>
      <c r="D104" s="78"/>
      <c r="E104" s="78"/>
      <c r="F104" s="82">
        <v>673.57332999999994</v>
      </c>
      <c r="G104" s="78"/>
      <c r="H104" s="78">
        <v>673.57333000000006</v>
      </c>
      <c r="I104" s="48"/>
      <c r="J104" s="82">
        <v>1541.3184799999999</v>
      </c>
      <c r="K104" s="78">
        <v>0</v>
      </c>
      <c r="L104" s="78">
        <v>1541.3184799999999</v>
      </c>
      <c r="M104" s="82"/>
      <c r="N104" s="78"/>
      <c r="O104" s="79"/>
      <c r="P104" s="82">
        <v>7.0330000000000004</v>
      </c>
      <c r="Q104" s="78">
        <v>7.0330000000000004</v>
      </c>
      <c r="R104" s="52">
        <v>0</v>
      </c>
      <c r="S104" s="48"/>
      <c r="T104" s="78"/>
      <c r="U104" s="52"/>
      <c r="V104" s="48"/>
      <c r="W104" s="52"/>
      <c r="X104" s="52"/>
      <c r="Y104" s="87">
        <v>2221.92481</v>
      </c>
      <c r="Z104" s="52">
        <f t="shared" si="8"/>
        <v>7.0330000000000004</v>
      </c>
      <c r="AA104" s="52">
        <f t="shared" si="6"/>
        <v>2214.8918100000001</v>
      </c>
    </row>
    <row r="105" spans="1:27" ht="12" customHeight="1" x14ac:dyDescent="0.25">
      <c r="A105" s="55">
        <v>2011</v>
      </c>
      <c r="B105" s="55" t="s">
        <v>10</v>
      </c>
      <c r="C105" s="57"/>
      <c r="D105" s="78"/>
      <c r="E105" s="78"/>
      <c r="F105" s="82">
        <v>906.40892999999994</v>
      </c>
      <c r="G105" s="78"/>
      <c r="H105" s="78">
        <v>906.40893000000005</v>
      </c>
      <c r="I105" s="48"/>
      <c r="J105" s="82">
        <v>3569.7180400000002</v>
      </c>
      <c r="K105" s="78">
        <v>1819.82692</v>
      </c>
      <c r="L105" s="78">
        <v>1749.89112</v>
      </c>
      <c r="M105" s="82"/>
      <c r="N105" s="78"/>
      <c r="O105" s="79"/>
      <c r="P105" s="82">
        <v>30.291</v>
      </c>
      <c r="Q105" s="78">
        <v>30.291</v>
      </c>
      <c r="R105" s="52">
        <v>0</v>
      </c>
      <c r="S105" s="48"/>
      <c r="T105" s="78"/>
      <c r="U105" s="52"/>
      <c r="V105" s="48"/>
      <c r="W105" s="52"/>
      <c r="X105" s="52"/>
      <c r="Y105" s="87">
        <v>4506.4179700000004</v>
      </c>
      <c r="Z105" s="52">
        <f t="shared" si="8"/>
        <v>1850.1179199999999</v>
      </c>
      <c r="AA105" s="52">
        <f t="shared" si="6"/>
        <v>2656.3000499999998</v>
      </c>
    </row>
    <row r="106" spans="1:27" ht="12" customHeight="1" x14ac:dyDescent="0.25">
      <c r="A106" s="55">
        <v>2011</v>
      </c>
      <c r="B106" s="55" t="s">
        <v>11</v>
      </c>
      <c r="C106" s="57"/>
      <c r="D106" s="78"/>
      <c r="E106" s="78"/>
      <c r="F106" s="82">
        <v>689.24566000000004</v>
      </c>
      <c r="G106" s="78"/>
      <c r="H106" s="78">
        <v>689.24566000000004</v>
      </c>
      <c r="I106" s="48"/>
      <c r="J106" s="82">
        <v>3318.7630600000007</v>
      </c>
      <c r="K106" s="78">
        <v>1852.04746</v>
      </c>
      <c r="L106" s="78">
        <v>1466.7156</v>
      </c>
      <c r="M106" s="82"/>
      <c r="N106" s="78"/>
      <c r="O106" s="79"/>
      <c r="P106" s="82">
        <v>22.169</v>
      </c>
      <c r="Q106" s="78">
        <v>22.169</v>
      </c>
      <c r="R106" s="52">
        <v>0</v>
      </c>
      <c r="S106" s="48"/>
      <c r="T106" s="78"/>
      <c r="U106" s="52"/>
      <c r="V106" s="48"/>
      <c r="W106" s="52"/>
      <c r="X106" s="52"/>
      <c r="Y106" s="87">
        <v>4030.1777200000006</v>
      </c>
      <c r="Z106" s="52">
        <f t="shared" si="8"/>
        <v>1874.2164600000001</v>
      </c>
      <c r="AA106" s="52">
        <f t="shared" si="6"/>
        <v>2155.96126</v>
      </c>
    </row>
    <row r="107" spans="1:27" ht="12" customHeight="1" x14ac:dyDescent="0.25">
      <c r="A107" s="55">
        <v>2011</v>
      </c>
      <c r="B107" s="55" t="s">
        <v>12</v>
      </c>
      <c r="C107" s="57">
        <v>891.99952000000008</v>
      </c>
      <c r="D107" s="78">
        <v>891.99952000000008</v>
      </c>
      <c r="E107" s="78"/>
      <c r="F107" s="82">
        <v>952.60685000000001</v>
      </c>
      <c r="G107" s="78"/>
      <c r="H107" s="78">
        <v>952.60685000000001</v>
      </c>
      <c r="I107" s="48"/>
      <c r="J107" s="82">
        <v>2120.9147400000002</v>
      </c>
      <c r="K107" s="78">
        <v>0</v>
      </c>
      <c r="L107" s="78">
        <v>2120.9147400000002</v>
      </c>
      <c r="M107" s="82"/>
      <c r="N107" s="78"/>
      <c r="O107" s="79"/>
      <c r="P107" s="82">
        <v>7.5220000000000002</v>
      </c>
      <c r="Q107" s="78">
        <v>7.5220000000000002</v>
      </c>
      <c r="R107" s="52">
        <v>0</v>
      </c>
      <c r="S107" s="48"/>
      <c r="T107" s="78"/>
      <c r="U107" s="52"/>
      <c r="V107" s="48"/>
      <c r="W107" s="52"/>
      <c r="X107" s="52"/>
      <c r="Y107" s="87">
        <v>3973.0431100000001</v>
      </c>
      <c r="Z107" s="52">
        <f t="shared" si="8"/>
        <v>7.5220000000000002</v>
      </c>
      <c r="AA107" s="52">
        <f t="shared" si="6"/>
        <v>3073.5215900000003</v>
      </c>
    </row>
    <row r="108" spans="1:27" ht="12" customHeight="1" x14ac:dyDescent="0.25">
      <c r="A108" s="55">
        <v>2011</v>
      </c>
      <c r="B108" s="55" t="s">
        <v>13</v>
      </c>
      <c r="C108" s="57">
        <v>1151.8914</v>
      </c>
      <c r="D108" s="78">
        <v>1151.8914</v>
      </c>
      <c r="E108" s="78"/>
      <c r="F108" s="82">
        <v>697.30615999999986</v>
      </c>
      <c r="G108" s="78"/>
      <c r="H108" s="78">
        <v>697.30615999999986</v>
      </c>
      <c r="I108" s="48"/>
      <c r="J108" s="82">
        <v>3181.0688100000002</v>
      </c>
      <c r="K108" s="78">
        <v>893.63567</v>
      </c>
      <c r="L108" s="78">
        <v>2287.4331400000001</v>
      </c>
      <c r="M108" s="82"/>
      <c r="N108" s="78"/>
      <c r="O108" s="79"/>
      <c r="P108" s="82">
        <v>2.9060000000000001</v>
      </c>
      <c r="Q108" s="78">
        <v>2.9060000000000001</v>
      </c>
      <c r="R108" s="52">
        <v>0</v>
      </c>
      <c r="S108" s="48"/>
      <c r="T108" s="78"/>
      <c r="U108" s="52"/>
      <c r="V108" s="48"/>
      <c r="W108" s="52"/>
      <c r="X108" s="52"/>
      <c r="Y108" s="87">
        <v>5033.1723700000002</v>
      </c>
      <c r="Z108" s="52">
        <f t="shared" si="8"/>
        <v>896.54166999999995</v>
      </c>
      <c r="AA108" s="52">
        <f t="shared" si="6"/>
        <v>2984.7393000000002</v>
      </c>
    </row>
    <row r="109" spans="1:27" ht="12" customHeight="1" x14ac:dyDescent="0.25">
      <c r="A109" s="55">
        <v>2011</v>
      </c>
      <c r="B109" s="55" t="s">
        <v>14</v>
      </c>
      <c r="C109" s="57"/>
      <c r="D109" s="78"/>
      <c r="E109" s="78"/>
      <c r="F109" s="82">
        <v>630.81058999999993</v>
      </c>
      <c r="G109" s="78"/>
      <c r="H109" s="78">
        <v>630.81058999999993</v>
      </c>
      <c r="I109" s="48"/>
      <c r="J109" s="82">
        <v>3142.0986600000001</v>
      </c>
      <c r="K109" s="78">
        <v>892.54420999999991</v>
      </c>
      <c r="L109" s="78">
        <v>2249.5544500000001</v>
      </c>
      <c r="M109" s="82"/>
      <c r="N109" s="78"/>
      <c r="O109" s="79"/>
      <c r="P109" s="82">
        <v>0.625</v>
      </c>
      <c r="Q109" s="78">
        <v>0.625</v>
      </c>
      <c r="R109" s="52">
        <v>0</v>
      </c>
      <c r="S109" s="48"/>
      <c r="T109" s="78"/>
      <c r="U109" s="52"/>
      <c r="V109" s="48"/>
      <c r="W109" s="52"/>
      <c r="X109" s="52"/>
      <c r="Y109" s="87">
        <v>3773.5342500000002</v>
      </c>
      <c r="Z109" s="52">
        <f t="shared" si="8"/>
        <v>893.16920999999991</v>
      </c>
      <c r="AA109" s="52">
        <f t="shared" si="6"/>
        <v>2880.3650400000001</v>
      </c>
    </row>
    <row r="110" spans="1:27" ht="12" customHeight="1" x14ac:dyDescent="0.25">
      <c r="A110" s="55">
        <v>2011</v>
      </c>
      <c r="B110" s="55" t="s">
        <v>15</v>
      </c>
      <c r="C110" s="57">
        <v>2043.8909200000001</v>
      </c>
      <c r="D110" s="78">
        <v>2043.8909200000001</v>
      </c>
      <c r="E110" s="78"/>
      <c r="F110" s="82">
        <v>5654.5659500000002</v>
      </c>
      <c r="G110" s="78"/>
      <c r="H110" s="78">
        <f t="shared" ref="H110" si="9">SUM(H98:H109)</f>
        <v>5654.5659500000002</v>
      </c>
      <c r="I110" s="48"/>
      <c r="J110" s="82">
        <v>33491.681010000008</v>
      </c>
      <c r="K110" s="78">
        <f>SUM(K98:K109)</f>
        <v>13914.967899999998</v>
      </c>
      <c r="L110" s="78">
        <f>SUM(L98:L109)</f>
        <v>19576.713110000001</v>
      </c>
      <c r="M110" s="82"/>
      <c r="N110" s="78"/>
      <c r="O110" s="79"/>
      <c r="P110" s="82">
        <v>76.092000000000013</v>
      </c>
      <c r="Q110" s="78">
        <f>SUM(Q98:Q109)</f>
        <v>76.092000000000013</v>
      </c>
      <c r="R110" s="52">
        <f>SUM(R98:R109)</f>
        <v>0</v>
      </c>
      <c r="S110" s="48"/>
      <c r="T110" s="78"/>
      <c r="U110" s="52"/>
      <c r="V110" s="48"/>
      <c r="W110" s="52"/>
      <c r="X110" s="52"/>
      <c r="Y110" s="87">
        <v>41266.229880000006</v>
      </c>
      <c r="Z110" s="52">
        <f t="shared" si="8"/>
        <v>13991.059899999998</v>
      </c>
      <c r="AA110" s="52">
        <f t="shared" si="6"/>
        <v>25231.279060000001</v>
      </c>
    </row>
    <row r="111" spans="1:27" ht="12" customHeight="1" x14ac:dyDescent="0.25">
      <c r="A111" s="55">
        <v>2012</v>
      </c>
      <c r="B111" s="55" t="s">
        <v>3</v>
      </c>
      <c r="C111" s="57">
        <v>831.29312000000004</v>
      </c>
      <c r="D111" s="78">
        <v>831.29312000000004</v>
      </c>
      <c r="E111" s="78"/>
      <c r="F111" s="82">
        <v>643.50384000000008</v>
      </c>
      <c r="G111" s="78"/>
      <c r="H111" s="78">
        <v>643.50384000000008</v>
      </c>
      <c r="I111" s="48"/>
      <c r="J111" s="82">
        <v>5942.3164300000008</v>
      </c>
      <c r="K111" s="78">
        <v>3671.6810399999999</v>
      </c>
      <c r="L111" s="78">
        <v>2270.6353899999999</v>
      </c>
      <c r="M111" s="82"/>
      <c r="N111" s="78"/>
      <c r="O111" s="79"/>
      <c r="P111" s="82"/>
      <c r="Q111" s="78">
        <v>0</v>
      </c>
      <c r="R111" s="52">
        <v>0</v>
      </c>
      <c r="S111" s="48"/>
      <c r="T111" s="78"/>
      <c r="U111" s="52"/>
      <c r="V111" s="48"/>
      <c r="W111" s="52"/>
      <c r="X111" s="52"/>
      <c r="Y111" s="87">
        <v>7417.1133900000013</v>
      </c>
      <c r="Z111" s="52">
        <f t="shared" si="8"/>
        <v>3671.6810399999999</v>
      </c>
      <c r="AA111" s="52">
        <f t="shared" si="6"/>
        <v>2914.1392299999998</v>
      </c>
    </row>
    <row r="112" spans="1:27" ht="12" customHeight="1" x14ac:dyDescent="0.25">
      <c r="A112" s="55">
        <v>2012</v>
      </c>
      <c r="B112" s="55" t="s">
        <v>4</v>
      </c>
      <c r="C112" s="57"/>
      <c r="D112" s="78"/>
      <c r="E112" s="78"/>
      <c r="F112" s="82">
        <v>598.21512999999993</v>
      </c>
      <c r="G112" s="78"/>
      <c r="H112" s="78">
        <v>598.21512999999993</v>
      </c>
      <c r="I112" s="48"/>
      <c r="J112" s="82">
        <v>3202.0638799999997</v>
      </c>
      <c r="K112" s="78">
        <v>931.42849000000001</v>
      </c>
      <c r="L112" s="78">
        <v>2270.6353899999999</v>
      </c>
      <c r="M112" s="82"/>
      <c r="N112" s="78"/>
      <c r="O112" s="79"/>
      <c r="P112" s="82"/>
      <c r="Q112" s="78">
        <v>0</v>
      </c>
      <c r="R112" s="52">
        <v>0</v>
      </c>
      <c r="S112" s="48"/>
      <c r="T112" s="78"/>
      <c r="U112" s="52"/>
      <c r="V112" s="48"/>
      <c r="W112" s="52"/>
      <c r="X112" s="52"/>
      <c r="Y112" s="87">
        <v>3800.2790099999997</v>
      </c>
      <c r="Z112" s="52">
        <f t="shared" si="8"/>
        <v>931.42849000000001</v>
      </c>
      <c r="AA112" s="52">
        <f t="shared" si="6"/>
        <v>2868.85052</v>
      </c>
    </row>
    <row r="113" spans="1:27" ht="12" customHeight="1" x14ac:dyDescent="0.25">
      <c r="A113" s="55">
        <v>2012</v>
      </c>
      <c r="B113" s="55" t="s">
        <v>5</v>
      </c>
      <c r="C113" s="57"/>
      <c r="D113" s="78"/>
      <c r="E113" s="78"/>
      <c r="F113" s="82">
        <v>777.11245999999994</v>
      </c>
      <c r="G113" s="78"/>
      <c r="H113" s="78">
        <v>777.11246000000006</v>
      </c>
      <c r="I113" s="48"/>
      <c r="J113" s="82">
        <v>4642.3249299999998</v>
      </c>
      <c r="K113" s="78">
        <v>2352.7694500000002</v>
      </c>
      <c r="L113" s="78">
        <v>2289.55548</v>
      </c>
      <c r="M113" s="82"/>
      <c r="N113" s="78"/>
      <c r="O113" s="79"/>
      <c r="P113" s="82"/>
      <c r="Q113" s="78">
        <v>0</v>
      </c>
      <c r="R113" s="52">
        <v>0</v>
      </c>
      <c r="S113" s="48"/>
      <c r="T113" s="78"/>
      <c r="U113" s="52"/>
      <c r="V113" s="48"/>
      <c r="W113" s="52"/>
      <c r="X113" s="52"/>
      <c r="Y113" s="87">
        <v>5419.4373900000001</v>
      </c>
      <c r="Z113" s="52">
        <f t="shared" si="8"/>
        <v>2352.7694500000002</v>
      </c>
      <c r="AA113" s="52">
        <f t="shared" si="6"/>
        <v>3066.6679400000003</v>
      </c>
    </row>
    <row r="114" spans="1:27" ht="12" customHeight="1" x14ac:dyDescent="0.25">
      <c r="A114" s="55">
        <v>2012</v>
      </c>
      <c r="B114" s="55" t="s">
        <v>6</v>
      </c>
      <c r="C114" s="57">
        <v>811.31111999999996</v>
      </c>
      <c r="D114" s="78">
        <v>811.31111999999996</v>
      </c>
      <c r="E114" s="78"/>
      <c r="F114" s="82">
        <v>931.37664999999993</v>
      </c>
      <c r="G114" s="78"/>
      <c r="H114" s="78">
        <v>931.37664999999981</v>
      </c>
      <c r="I114" s="48"/>
      <c r="J114" s="82">
        <v>3054.8356100000001</v>
      </c>
      <c r="K114" s="78">
        <v>891.79193999999995</v>
      </c>
      <c r="L114" s="78">
        <v>2163.04367</v>
      </c>
      <c r="M114" s="82"/>
      <c r="N114" s="78"/>
      <c r="O114" s="79"/>
      <c r="P114" s="82"/>
      <c r="Q114" s="78">
        <v>0</v>
      </c>
      <c r="R114" s="52">
        <v>0</v>
      </c>
      <c r="S114" s="48"/>
      <c r="T114" s="78"/>
      <c r="U114" s="52"/>
      <c r="V114" s="48"/>
      <c r="W114" s="52"/>
      <c r="X114" s="52"/>
      <c r="Y114" s="87">
        <v>4797.5233800000005</v>
      </c>
      <c r="Z114" s="52">
        <f t="shared" si="8"/>
        <v>891.79193999999995</v>
      </c>
      <c r="AA114" s="52">
        <f t="shared" si="6"/>
        <v>3094.4203199999997</v>
      </c>
    </row>
    <row r="115" spans="1:27" ht="12" customHeight="1" x14ac:dyDescent="0.25">
      <c r="A115" s="55">
        <v>2012</v>
      </c>
      <c r="B115" s="55" t="s">
        <v>7</v>
      </c>
      <c r="C115" s="57">
        <v>1235.10472</v>
      </c>
      <c r="D115" s="78">
        <v>1235.10472</v>
      </c>
      <c r="E115" s="78"/>
      <c r="F115" s="82">
        <v>1040.3312599999999</v>
      </c>
      <c r="G115" s="78"/>
      <c r="H115" s="78">
        <v>1040.3312600000002</v>
      </c>
      <c r="I115" s="48"/>
      <c r="J115" s="82">
        <v>4129.2521099999994</v>
      </c>
      <c r="K115" s="78">
        <v>1887.1026899999999</v>
      </c>
      <c r="L115" s="78">
        <v>2242.1494199999997</v>
      </c>
      <c r="M115" s="82"/>
      <c r="N115" s="78"/>
      <c r="O115" s="79"/>
      <c r="P115" s="82"/>
      <c r="Q115" s="78">
        <v>0</v>
      </c>
      <c r="R115" s="52">
        <v>0</v>
      </c>
      <c r="S115" s="48"/>
      <c r="T115" s="78"/>
      <c r="U115" s="52"/>
      <c r="V115" s="48"/>
      <c r="W115" s="52"/>
      <c r="X115" s="52"/>
      <c r="Y115" s="87">
        <v>6404.6880899999996</v>
      </c>
      <c r="Z115" s="52">
        <f t="shared" si="8"/>
        <v>1887.1026899999999</v>
      </c>
      <c r="AA115" s="52">
        <f t="shared" si="6"/>
        <v>3282.4806799999997</v>
      </c>
    </row>
    <row r="116" spans="1:27" ht="12" customHeight="1" x14ac:dyDescent="0.25">
      <c r="A116" s="55">
        <v>2012</v>
      </c>
      <c r="B116" s="55" t="s">
        <v>8</v>
      </c>
      <c r="C116" s="57">
        <v>407.24900000000002</v>
      </c>
      <c r="D116" s="78">
        <v>407.24900000000002</v>
      </c>
      <c r="E116" s="78"/>
      <c r="F116" s="82">
        <v>972.71557999999993</v>
      </c>
      <c r="G116" s="78"/>
      <c r="H116" s="78">
        <v>972.71558000000016</v>
      </c>
      <c r="I116" s="48"/>
      <c r="J116" s="82">
        <v>3132.0457099999999</v>
      </c>
      <c r="K116" s="78">
        <v>931.16517999999996</v>
      </c>
      <c r="L116" s="78">
        <v>2200.8805299999999</v>
      </c>
      <c r="M116" s="82"/>
      <c r="N116" s="78"/>
      <c r="O116" s="79"/>
      <c r="P116" s="82"/>
      <c r="Q116" s="78">
        <v>0</v>
      </c>
      <c r="R116" s="52">
        <v>0</v>
      </c>
      <c r="S116" s="48"/>
      <c r="T116" s="78"/>
      <c r="U116" s="52"/>
      <c r="V116" s="48"/>
      <c r="W116" s="52"/>
      <c r="X116" s="52"/>
      <c r="Y116" s="87">
        <v>4512.0102899999993</v>
      </c>
      <c r="Z116" s="52">
        <f t="shared" si="8"/>
        <v>931.16517999999996</v>
      </c>
      <c r="AA116" s="52">
        <f t="shared" ref="AA116:AA136" si="10">H116+O116+L116+R116+X116</f>
        <v>3173.59611</v>
      </c>
    </row>
    <row r="117" spans="1:27" ht="12" customHeight="1" x14ac:dyDescent="0.25">
      <c r="A117" s="55">
        <v>2012</v>
      </c>
      <c r="B117" s="55" t="s">
        <v>9</v>
      </c>
      <c r="C117" s="57"/>
      <c r="D117" s="78"/>
      <c r="E117" s="78"/>
      <c r="F117" s="82">
        <v>915.19229999999993</v>
      </c>
      <c r="G117" s="78"/>
      <c r="H117" s="78">
        <v>915.19230000000016</v>
      </c>
      <c r="I117" s="48"/>
      <c r="J117" s="82">
        <v>5092.5980899999995</v>
      </c>
      <c r="K117" s="78">
        <v>2850.1462900000001</v>
      </c>
      <c r="L117" s="78">
        <v>2242.4517999999998</v>
      </c>
      <c r="M117" s="82"/>
      <c r="N117" s="78"/>
      <c r="O117" s="79"/>
      <c r="P117" s="82"/>
      <c r="Q117" s="78">
        <v>0</v>
      </c>
      <c r="R117" s="52">
        <v>0</v>
      </c>
      <c r="S117" s="48"/>
      <c r="T117" s="78"/>
      <c r="U117" s="52"/>
      <c r="V117" s="48"/>
      <c r="W117" s="52"/>
      <c r="X117" s="52"/>
      <c r="Y117" s="87">
        <v>6007.7903899999992</v>
      </c>
      <c r="Z117" s="52">
        <f t="shared" si="8"/>
        <v>2850.1462900000001</v>
      </c>
      <c r="AA117" s="52">
        <f t="shared" si="10"/>
        <v>3157.6441</v>
      </c>
    </row>
    <row r="118" spans="1:27" ht="12" customHeight="1" x14ac:dyDescent="0.25">
      <c r="A118" s="55">
        <v>2012</v>
      </c>
      <c r="B118" s="55" t="s">
        <v>10</v>
      </c>
      <c r="C118" s="57">
        <v>878.60547999999994</v>
      </c>
      <c r="D118" s="78">
        <v>878.60547999999994</v>
      </c>
      <c r="E118" s="78"/>
      <c r="F118" s="82">
        <v>659.27939000000003</v>
      </c>
      <c r="G118" s="78"/>
      <c r="H118" s="78">
        <v>659.27939000000003</v>
      </c>
      <c r="I118" s="48"/>
      <c r="J118" s="82">
        <v>1902.94569</v>
      </c>
      <c r="K118" s="78">
        <v>0</v>
      </c>
      <c r="L118" s="78">
        <v>1902.94569</v>
      </c>
      <c r="M118" s="82"/>
      <c r="N118" s="78"/>
      <c r="O118" s="79"/>
      <c r="P118" s="82"/>
      <c r="Q118" s="78">
        <v>0</v>
      </c>
      <c r="R118" s="52">
        <v>0</v>
      </c>
      <c r="S118" s="48"/>
      <c r="T118" s="78"/>
      <c r="U118" s="52"/>
      <c r="V118" s="48"/>
      <c r="W118" s="52"/>
      <c r="X118" s="52"/>
      <c r="Y118" s="87">
        <v>3440.8305600000003</v>
      </c>
      <c r="Z118" s="52">
        <f t="shared" si="8"/>
        <v>0</v>
      </c>
      <c r="AA118" s="52">
        <f t="shared" si="10"/>
        <v>2562.2250800000002</v>
      </c>
    </row>
    <row r="119" spans="1:27" ht="12" customHeight="1" x14ac:dyDescent="0.25">
      <c r="A119" s="55">
        <v>2012</v>
      </c>
      <c r="B119" s="55" t="s">
        <v>11</v>
      </c>
      <c r="C119" s="57">
        <v>894.09453000000008</v>
      </c>
      <c r="D119" s="78">
        <v>894.09453000000008</v>
      </c>
      <c r="E119" s="78"/>
      <c r="F119" s="82">
        <v>691.22928999999999</v>
      </c>
      <c r="G119" s="78"/>
      <c r="H119" s="78">
        <v>691.22928999999999</v>
      </c>
      <c r="I119" s="48"/>
      <c r="J119" s="82">
        <v>3010.4018300000002</v>
      </c>
      <c r="K119" s="78">
        <v>922.67592000000002</v>
      </c>
      <c r="L119" s="78">
        <v>2087.7259100000001</v>
      </c>
      <c r="M119" s="82"/>
      <c r="N119" s="78"/>
      <c r="O119" s="79"/>
      <c r="P119" s="82"/>
      <c r="Q119" s="78">
        <v>0</v>
      </c>
      <c r="R119" s="52">
        <v>0</v>
      </c>
      <c r="S119" s="48"/>
      <c r="T119" s="78"/>
      <c r="U119" s="52"/>
      <c r="V119" s="48"/>
      <c r="W119" s="52"/>
      <c r="X119" s="52"/>
      <c r="Y119" s="87">
        <v>4595.7256500000003</v>
      </c>
      <c r="Z119" s="52">
        <f t="shared" si="8"/>
        <v>922.67592000000002</v>
      </c>
      <c r="AA119" s="52">
        <f t="shared" si="10"/>
        <v>2778.9552000000003</v>
      </c>
    </row>
    <row r="120" spans="1:27" ht="12" customHeight="1" x14ac:dyDescent="0.25">
      <c r="A120" s="55">
        <v>2012</v>
      </c>
      <c r="B120" s="55" t="s">
        <v>12</v>
      </c>
      <c r="C120" s="57">
        <v>1173.6627800000001</v>
      </c>
      <c r="D120" s="78">
        <v>1173.6627800000001</v>
      </c>
      <c r="E120" s="78"/>
      <c r="F120" s="82">
        <v>478.14098000000001</v>
      </c>
      <c r="G120" s="78"/>
      <c r="H120" s="78">
        <v>478.14097999999996</v>
      </c>
      <c r="I120" s="48"/>
      <c r="J120" s="82">
        <v>4016.0930499999999</v>
      </c>
      <c r="K120" s="78">
        <v>1814.92265</v>
      </c>
      <c r="L120" s="78">
        <v>2201.1704</v>
      </c>
      <c r="M120" s="82"/>
      <c r="N120" s="78"/>
      <c r="O120" s="79"/>
      <c r="P120" s="82"/>
      <c r="Q120" s="78">
        <v>0</v>
      </c>
      <c r="R120" s="52">
        <v>0</v>
      </c>
      <c r="S120" s="48"/>
      <c r="T120" s="78"/>
      <c r="U120" s="52"/>
      <c r="V120" s="48"/>
      <c r="W120" s="52"/>
      <c r="X120" s="52"/>
      <c r="Y120" s="87">
        <v>5667.8968100000002</v>
      </c>
      <c r="Z120" s="52">
        <f t="shared" si="8"/>
        <v>1814.92265</v>
      </c>
      <c r="AA120" s="52">
        <f t="shared" si="10"/>
        <v>2679.3113800000001</v>
      </c>
    </row>
    <row r="121" spans="1:27" ht="12" customHeight="1" x14ac:dyDescent="0.25">
      <c r="A121" s="55">
        <v>2012</v>
      </c>
      <c r="B121" s="55" t="s">
        <v>13</v>
      </c>
      <c r="C121" s="57">
        <v>806.48577</v>
      </c>
      <c r="D121" s="78">
        <v>806.48577</v>
      </c>
      <c r="E121" s="78"/>
      <c r="F121" s="82">
        <v>478.8759</v>
      </c>
      <c r="G121" s="78"/>
      <c r="H121" s="78">
        <v>478.87589999999994</v>
      </c>
      <c r="I121" s="48"/>
      <c r="J121" s="82">
        <v>3976.6007399999999</v>
      </c>
      <c r="K121" s="78">
        <v>1806.4105099999999</v>
      </c>
      <c r="L121" s="78">
        <v>2170.1902300000002</v>
      </c>
      <c r="M121" s="82"/>
      <c r="N121" s="78"/>
      <c r="O121" s="79"/>
      <c r="P121" s="82"/>
      <c r="Q121" s="78">
        <v>0</v>
      </c>
      <c r="R121" s="52">
        <v>0</v>
      </c>
      <c r="S121" s="48"/>
      <c r="T121" s="78"/>
      <c r="U121" s="52"/>
      <c r="V121" s="48"/>
      <c r="W121" s="52"/>
      <c r="X121" s="52"/>
      <c r="Y121" s="87">
        <v>5261.9620000000004</v>
      </c>
      <c r="Z121" s="52">
        <f t="shared" si="8"/>
        <v>1806.4105099999999</v>
      </c>
      <c r="AA121" s="52">
        <f t="shared" si="10"/>
        <v>2649.0661300000002</v>
      </c>
    </row>
    <row r="122" spans="1:27" ht="12" customHeight="1" x14ac:dyDescent="0.25">
      <c r="A122" s="55">
        <v>2012</v>
      </c>
      <c r="B122" s="55" t="s">
        <v>14</v>
      </c>
      <c r="C122" s="57"/>
      <c r="D122" s="78"/>
      <c r="E122" s="78"/>
      <c r="F122" s="82">
        <v>692.71626000000015</v>
      </c>
      <c r="G122" s="78"/>
      <c r="H122" s="78">
        <v>692.71626000000003</v>
      </c>
      <c r="I122" s="48"/>
      <c r="J122" s="82">
        <v>4174.9730099999997</v>
      </c>
      <c r="K122" s="78">
        <v>1817.3511699999999</v>
      </c>
      <c r="L122" s="78">
        <v>2357.6218399999998</v>
      </c>
      <c r="M122" s="82"/>
      <c r="N122" s="78"/>
      <c r="O122" s="79"/>
      <c r="P122" s="82"/>
      <c r="Q122" s="78">
        <v>0</v>
      </c>
      <c r="R122" s="52">
        <v>0</v>
      </c>
      <c r="S122" s="48"/>
      <c r="T122" s="78"/>
      <c r="U122" s="52"/>
      <c r="V122" s="48"/>
      <c r="W122" s="52"/>
      <c r="X122" s="52"/>
      <c r="Y122" s="87">
        <v>4867.6890000000003</v>
      </c>
      <c r="Z122" s="52">
        <f t="shared" si="8"/>
        <v>1817.3511699999999</v>
      </c>
      <c r="AA122" s="52">
        <f t="shared" si="10"/>
        <v>3050.3380999999999</v>
      </c>
    </row>
    <row r="123" spans="1:27" ht="12" customHeight="1" x14ac:dyDescent="0.25">
      <c r="A123" s="55">
        <v>2012</v>
      </c>
      <c r="B123" s="55" t="s">
        <v>15</v>
      </c>
      <c r="C123" s="57">
        <v>7037.806520000001</v>
      </c>
      <c r="D123" s="78">
        <v>7037.806520000001</v>
      </c>
      <c r="E123" s="78"/>
      <c r="F123" s="82">
        <v>8878.6890399999993</v>
      </c>
      <c r="G123" s="78"/>
      <c r="H123" s="78">
        <f t="shared" ref="H123" si="11">SUM(H111:H122)</f>
        <v>8878.6890399999993</v>
      </c>
      <c r="I123" s="48"/>
      <c r="J123" s="82">
        <v>46276.451080000006</v>
      </c>
      <c r="K123" s="78">
        <f>SUM(K111:K122)</f>
        <v>19877.445330000002</v>
      </c>
      <c r="L123" s="78">
        <f>SUM(L111:L122)</f>
        <v>26399.00575</v>
      </c>
      <c r="M123" s="82"/>
      <c r="N123" s="78"/>
      <c r="O123" s="79"/>
      <c r="P123" s="82"/>
      <c r="Q123" s="78">
        <f>SUM(Q111:Q122)</f>
        <v>0</v>
      </c>
      <c r="R123" s="52">
        <f>SUM(R111:R122)</f>
        <v>0</v>
      </c>
      <c r="S123" s="48"/>
      <c r="T123" s="78"/>
      <c r="U123" s="52"/>
      <c r="V123" s="48"/>
      <c r="W123" s="52"/>
      <c r="X123" s="52"/>
      <c r="Y123" s="87">
        <v>62192.945959999997</v>
      </c>
      <c r="Z123" s="52">
        <f t="shared" si="8"/>
        <v>19877.445330000002</v>
      </c>
      <c r="AA123" s="52">
        <f t="shared" si="10"/>
        <v>35277.694790000001</v>
      </c>
    </row>
    <row r="124" spans="1:27" ht="12" customHeight="1" x14ac:dyDescent="0.25">
      <c r="A124" s="55">
        <v>2013</v>
      </c>
      <c r="B124" s="55" t="s">
        <v>3</v>
      </c>
      <c r="C124" s="57">
        <v>821.13199999999995</v>
      </c>
      <c r="D124" s="78">
        <v>821.13199999999995</v>
      </c>
      <c r="E124" s="78"/>
      <c r="F124" s="82">
        <v>724.53680000000008</v>
      </c>
      <c r="G124" s="78"/>
      <c r="H124" s="78">
        <v>724.53680000000008</v>
      </c>
      <c r="I124" s="48"/>
      <c r="J124" s="82">
        <v>4268.2963300000001</v>
      </c>
      <c r="K124" s="78">
        <v>1909.4052599999998</v>
      </c>
      <c r="L124" s="78">
        <v>2358.8910699999997</v>
      </c>
      <c r="M124" s="82"/>
      <c r="N124" s="78"/>
      <c r="O124" s="79"/>
      <c r="P124" s="82"/>
      <c r="Q124" s="78">
        <v>0</v>
      </c>
      <c r="R124" s="52">
        <v>0</v>
      </c>
      <c r="S124" s="48"/>
      <c r="T124" s="78"/>
      <c r="U124" s="52"/>
      <c r="V124" s="48"/>
      <c r="W124" s="52"/>
      <c r="X124" s="52"/>
      <c r="Y124" s="87">
        <v>5813.9651300000005</v>
      </c>
      <c r="Z124" s="52">
        <f t="shared" si="8"/>
        <v>1909.4052599999998</v>
      </c>
      <c r="AA124" s="52">
        <f t="shared" si="10"/>
        <v>3083.4278699999995</v>
      </c>
    </row>
    <row r="125" spans="1:27" ht="12" customHeight="1" x14ac:dyDescent="0.25">
      <c r="A125" s="55">
        <v>2013</v>
      </c>
      <c r="B125" s="55" t="s">
        <v>4</v>
      </c>
      <c r="C125" s="57">
        <v>1352.7001499999999</v>
      </c>
      <c r="D125" s="78">
        <v>1352.7001499999999</v>
      </c>
      <c r="E125" s="78"/>
      <c r="F125" s="82">
        <v>1333.85214</v>
      </c>
      <c r="G125" s="78">
        <v>682.49856999999997</v>
      </c>
      <c r="H125" s="78">
        <v>651.3535700000001</v>
      </c>
      <c r="I125" s="48"/>
      <c r="J125" s="82">
        <v>2232.67542</v>
      </c>
      <c r="K125" s="78">
        <v>93.013210000000001</v>
      </c>
      <c r="L125" s="78">
        <v>2139.66221</v>
      </c>
      <c r="M125" s="82"/>
      <c r="N125" s="78"/>
      <c r="O125" s="79"/>
      <c r="P125" s="82">
        <v>10.051</v>
      </c>
      <c r="Q125" s="78">
        <v>0</v>
      </c>
      <c r="R125" s="52">
        <v>10.051</v>
      </c>
      <c r="S125" s="48"/>
      <c r="T125" s="78"/>
      <c r="U125" s="52"/>
      <c r="V125" s="48"/>
      <c r="W125" s="52"/>
      <c r="X125" s="52"/>
      <c r="Y125" s="87">
        <v>4929.2787099999996</v>
      </c>
      <c r="Z125" s="52">
        <f t="shared" si="8"/>
        <v>775.51177999999993</v>
      </c>
      <c r="AA125" s="52">
        <f t="shared" si="10"/>
        <v>2801.0667800000001</v>
      </c>
    </row>
    <row r="126" spans="1:27" ht="12" customHeight="1" x14ac:dyDescent="0.25">
      <c r="A126" s="55">
        <v>2013</v>
      </c>
      <c r="B126" s="55" t="s">
        <v>5</v>
      </c>
      <c r="C126" s="57"/>
      <c r="D126" s="78"/>
      <c r="E126" s="78"/>
      <c r="F126" s="82">
        <v>756.73792000000003</v>
      </c>
      <c r="G126" s="78"/>
      <c r="H126" s="78">
        <v>756.73792000000003</v>
      </c>
      <c r="I126" s="48"/>
      <c r="J126" s="82">
        <v>2389.3684399999997</v>
      </c>
      <c r="K126" s="78">
        <v>91.83541000000001</v>
      </c>
      <c r="L126" s="78">
        <v>2297.5330299999996</v>
      </c>
      <c r="M126" s="82"/>
      <c r="N126" s="78"/>
      <c r="O126" s="79"/>
      <c r="P126" s="82">
        <v>181.25003000000001</v>
      </c>
      <c r="Q126" s="78">
        <v>0</v>
      </c>
      <c r="R126" s="52">
        <v>181.25003000000001</v>
      </c>
      <c r="S126" s="48"/>
      <c r="T126" s="78"/>
      <c r="U126" s="52"/>
      <c r="V126" s="48"/>
      <c r="W126" s="52"/>
      <c r="X126" s="52"/>
      <c r="Y126" s="87">
        <v>3327.3563899999999</v>
      </c>
      <c r="Z126" s="52">
        <f t="shared" si="8"/>
        <v>91.83541000000001</v>
      </c>
      <c r="AA126" s="52">
        <f t="shared" si="10"/>
        <v>3235.5209799999998</v>
      </c>
    </row>
    <row r="127" spans="1:27" ht="12" customHeight="1" x14ac:dyDescent="0.25">
      <c r="A127" s="55">
        <v>2013</v>
      </c>
      <c r="B127" s="55" t="s">
        <v>6</v>
      </c>
      <c r="C127" s="57"/>
      <c r="D127" s="78"/>
      <c r="E127" s="78"/>
      <c r="F127" s="82">
        <v>1110.6622500000003</v>
      </c>
      <c r="G127" s="78"/>
      <c r="H127" s="78">
        <v>1110.6622500000003</v>
      </c>
      <c r="I127" s="48"/>
      <c r="J127" s="82">
        <v>2616.6925300000003</v>
      </c>
      <c r="K127" s="78">
        <v>183.76847000000001</v>
      </c>
      <c r="L127" s="78">
        <v>2432.9240600000003</v>
      </c>
      <c r="M127" s="82"/>
      <c r="N127" s="78"/>
      <c r="O127" s="79"/>
      <c r="P127" s="82">
        <v>180.20732000000001</v>
      </c>
      <c r="Q127" s="78">
        <v>0</v>
      </c>
      <c r="R127" s="52">
        <v>180.20732000000001</v>
      </c>
      <c r="S127" s="48"/>
      <c r="T127" s="78"/>
      <c r="U127" s="52"/>
      <c r="V127" s="48"/>
      <c r="W127" s="52"/>
      <c r="X127" s="52"/>
      <c r="Y127" s="87">
        <v>3907.5621000000006</v>
      </c>
      <c r="Z127" s="52">
        <f t="shared" si="8"/>
        <v>183.76847000000001</v>
      </c>
      <c r="AA127" s="52">
        <f t="shared" si="10"/>
        <v>3723.7936300000006</v>
      </c>
    </row>
    <row r="128" spans="1:27" ht="12" customHeight="1" x14ac:dyDescent="0.25">
      <c r="A128" s="55">
        <v>2013</v>
      </c>
      <c r="B128" s="55" t="s">
        <v>7</v>
      </c>
      <c r="C128" s="57"/>
      <c r="D128" s="78"/>
      <c r="E128" s="78"/>
      <c r="F128" s="82">
        <v>1205.4435100000001</v>
      </c>
      <c r="G128" s="78"/>
      <c r="H128" s="78">
        <v>1205.4435100000001</v>
      </c>
      <c r="I128" s="48"/>
      <c r="J128" s="82">
        <v>2859.4612700000002</v>
      </c>
      <c r="K128" s="78">
        <v>93.8874</v>
      </c>
      <c r="L128" s="78">
        <v>2765.5738700000002</v>
      </c>
      <c r="M128" s="82"/>
      <c r="N128" s="78"/>
      <c r="O128" s="79"/>
      <c r="P128" s="82">
        <v>187.78698</v>
      </c>
      <c r="Q128" s="78">
        <v>0</v>
      </c>
      <c r="R128" s="52">
        <v>187.78698</v>
      </c>
      <c r="S128" s="48"/>
      <c r="T128" s="78"/>
      <c r="U128" s="52"/>
      <c r="V128" s="48"/>
      <c r="W128" s="52"/>
      <c r="X128" s="52"/>
      <c r="Y128" s="87">
        <v>4252.6917600000006</v>
      </c>
      <c r="Z128" s="52">
        <f t="shared" si="8"/>
        <v>93.8874</v>
      </c>
      <c r="AA128" s="52">
        <f t="shared" si="10"/>
        <v>4158.8043600000001</v>
      </c>
    </row>
    <row r="129" spans="1:30" ht="12" customHeight="1" x14ac:dyDescent="0.25">
      <c r="A129" s="55">
        <v>2013</v>
      </c>
      <c r="B129" s="55" t="s">
        <v>8</v>
      </c>
      <c r="C129" s="57"/>
      <c r="D129" s="78"/>
      <c r="E129" s="78"/>
      <c r="F129" s="82">
        <v>1079.6623099999999</v>
      </c>
      <c r="G129" s="78"/>
      <c r="H129" s="78">
        <v>1079.6623099999999</v>
      </c>
      <c r="I129" s="48"/>
      <c r="J129" s="82">
        <v>4171.8280599999998</v>
      </c>
      <c r="K129" s="78">
        <v>1846.4110800000001</v>
      </c>
      <c r="L129" s="78">
        <v>2325.41698</v>
      </c>
      <c r="M129" s="82"/>
      <c r="N129" s="78"/>
      <c r="O129" s="79"/>
      <c r="P129" s="82">
        <v>119.14897999999999</v>
      </c>
      <c r="Q129" s="78">
        <v>0</v>
      </c>
      <c r="R129" s="52">
        <v>119.14897999999999</v>
      </c>
      <c r="S129" s="48"/>
      <c r="T129" s="78"/>
      <c r="U129" s="52"/>
      <c r="V129" s="48"/>
      <c r="W129" s="52"/>
      <c r="X129" s="52"/>
      <c r="Y129" s="87">
        <v>5370.6393499999995</v>
      </c>
      <c r="Z129" s="52">
        <f t="shared" si="8"/>
        <v>1846.4110800000001</v>
      </c>
      <c r="AA129" s="52">
        <f t="shared" si="10"/>
        <v>3524.2282699999996</v>
      </c>
      <c r="AB129" s="62"/>
      <c r="AC129" s="58"/>
      <c r="AD129" s="61"/>
    </row>
    <row r="130" spans="1:30" ht="12" customHeight="1" x14ac:dyDescent="0.25">
      <c r="A130" s="55">
        <v>2013</v>
      </c>
      <c r="B130" s="55" t="s">
        <v>9</v>
      </c>
      <c r="C130" s="57"/>
      <c r="D130" s="78"/>
      <c r="E130" s="78"/>
      <c r="F130" s="82">
        <v>1329.6432399999999</v>
      </c>
      <c r="G130" s="78"/>
      <c r="H130" s="78">
        <v>1329.6432399999999</v>
      </c>
      <c r="I130" s="48"/>
      <c r="J130" s="82">
        <v>5266.0676100000001</v>
      </c>
      <c r="K130" s="78">
        <v>2746.3183899999999</v>
      </c>
      <c r="L130" s="78">
        <v>2519.7492200000002</v>
      </c>
      <c r="M130" s="82"/>
      <c r="N130" s="78"/>
      <c r="O130" s="79"/>
      <c r="P130" s="82">
        <v>125.31417</v>
      </c>
      <c r="Q130" s="78">
        <v>0</v>
      </c>
      <c r="R130" s="52">
        <v>125.31417</v>
      </c>
      <c r="S130" s="48"/>
      <c r="T130" s="78"/>
      <c r="U130" s="52"/>
      <c r="V130" s="48"/>
      <c r="W130" s="52"/>
      <c r="X130" s="52"/>
      <c r="Y130" s="87">
        <v>6721.02502</v>
      </c>
      <c r="Z130" s="52">
        <f t="shared" si="8"/>
        <v>2746.3183899999999</v>
      </c>
      <c r="AA130" s="52">
        <f t="shared" si="10"/>
        <v>3974.7066300000001</v>
      </c>
      <c r="AB130" s="62"/>
      <c r="AC130" s="58"/>
      <c r="AD130" s="61"/>
    </row>
    <row r="131" spans="1:30" ht="12" customHeight="1" x14ac:dyDescent="0.25">
      <c r="A131" s="55">
        <v>2013</v>
      </c>
      <c r="B131" s="55" t="s">
        <v>10</v>
      </c>
      <c r="C131" s="57"/>
      <c r="D131" s="78"/>
      <c r="E131" s="78"/>
      <c r="F131" s="82">
        <v>1684.99332</v>
      </c>
      <c r="G131" s="78"/>
      <c r="H131" s="78">
        <v>1684.99332</v>
      </c>
      <c r="I131" s="48"/>
      <c r="J131" s="82">
        <v>4509.51055</v>
      </c>
      <c r="K131" s="78">
        <v>1765.56674</v>
      </c>
      <c r="L131" s="78">
        <v>2743.9438100000002</v>
      </c>
      <c r="M131" s="82"/>
      <c r="N131" s="78"/>
      <c r="O131" s="79"/>
      <c r="P131" s="82">
        <v>147.42832000000001</v>
      </c>
      <c r="Q131" s="78">
        <v>0</v>
      </c>
      <c r="R131" s="52">
        <v>147.42832000000001</v>
      </c>
      <c r="S131" s="48"/>
      <c r="T131" s="78"/>
      <c r="U131" s="52"/>
      <c r="V131" s="48"/>
      <c r="W131" s="52"/>
      <c r="X131" s="52"/>
      <c r="Y131" s="87">
        <v>6341.9321900000004</v>
      </c>
      <c r="Z131" s="52">
        <f t="shared" si="8"/>
        <v>1765.56674</v>
      </c>
      <c r="AA131" s="52">
        <f t="shared" si="10"/>
        <v>4576.3654500000002</v>
      </c>
      <c r="AB131" s="62"/>
      <c r="AC131" s="58"/>
      <c r="AD131" s="61"/>
    </row>
    <row r="132" spans="1:30" ht="12" customHeight="1" x14ac:dyDescent="0.25">
      <c r="A132" s="55">
        <v>2013</v>
      </c>
      <c r="B132" s="55" t="s">
        <v>11</v>
      </c>
      <c r="C132" s="57"/>
      <c r="D132" s="78"/>
      <c r="E132" s="78"/>
      <c r="F132" s="82">
        <v>1570.0996599999996</v>
      </c>
      <c r="G132" s="78"/>
      <c r="H132" s="78">
        <v>1570.0996599999999</v>
      </c>
      <c r="I132" s="48"/>
      <c r="J132" s="82">
        <v>4375.3812700000008</v>
      </c>
      <c r="K132" s="78">
        <v>1913.8091400000001</v>
      </c>
      <c r="L132" s="78">
        <v>2461.57213</v>
      </c>
      <c r="M132" s="82"/>
      <c r="N132" s="78"/>
      <c r="O132" s="79"/>
      <c r="P132" s="82">
        <v>229.80329</v>
      </c>
      <c r="Q132" s="78">
        <v>0</v>
      </c>
      <c r="R132" s="52">
        <v>229.80329</v>
      </c>
      <c r="S132" s="48"/>
      <c r="T132" s="78"/>
      <c r="U132" s="52"/>
      <c r="V132" s="48"/>
      <c r="W132" s="52"/>
      <c r="X132" s="52"/>
      <c r="Y132" s="87">
        <v>6175.2842200000005</v>
      </c>
      <c r="Z132" s="52">
        <f t="shared" si="8"/>
        <v>1913.8091400000001</v>
      </c>
      <c r="AA132" s="52">
        <f t="shared" si="10"/>
        <v>4261.4750800000002</v>
      </c>
      <c r="AB132" s="62"/>
      <c r="AC132" s="61"/>
      <c r="AD132" s="61"/>
    </row>
    <row r="133" spans="1:30" ht="12" customHeight="1" x14ac:dyDescent="0.25">
      <c r="A133" s="55">
        <v>2013</v>
      </c>
      <c r="B133" s="55" t="s">
        <v>12</v>
      </c>
      <c r="C133" s="57"/>
      <c r="D133" s="78"/>
      <c r="E133" s="78"/>
      <c r="F133" s="82">
        <v>1244.6038399999995</v>
      </c>
      <c r="G133" s="78"/>
      <c r="H133" s="78">
        <v>1244.6038399999995</v>
      </c>
      <c r="I133" s="48"/>
      <c r="J133" s="82">
        <v>2973.5651699999999</v>
      </c>
      <c r="K133" s="78">
        <v>850.23299999999995</v>
      </c>
      <c r="L133" s="78">
        <v>2123.3321700000001</v>
      </c>
      <c r="M133" s="82"/>
      <c r="N133" s="78"/>
      <c r="O133" s="79"/>
      <c r="P133" s="82">
        <v>31.331250000000001</v>
      </c>
      <c r="Q133" s="78">
        <v>0</v>
      </c>
      <c r="R133" s="52">
        <v>31.331250000000001</v>
      </c>
      <c r="S133" s="48"/>
      <c r="T133" s="78"/>
      <c r="U133" s="52"/>
      <c r="V133" s="48"/>
      <c r="W133" s="52"/>
      <c r="X133" s="52"/>
      <c r="Y133" s="87">
        <v>4249.5002599999998</v>
      </c>
      <c r="Z133" s="52">
        <f t="shared" si="8"/>
        <v>850.23299999999995</v>
      </c>
      <c r="AA133" s="52">
        <f t="shared" si="10"/>
        <v>3399.2672599999996</v>
      </c>
      <c r="AB133" s="62"/>
      <c r="AC133" s="58"/>
      <c r="AD133" s="61"/>
    </row>
    <row r="134" spans="1:30" ht="12" customHeight="1" x14ac:dyDescent="0.25">
      <c r="A134" s="55">
        <v>2013</v>
      </c>
      <c r="B134" s="55" t="s">
        <v>13</v>
      </c>
      <c r="C134" s="57"/>
      <c r="D134" s="78"/>
      <c r="E134" s="78"/>
      <c r="F134" s="82">
        <v>1874.0510099999997</v>
      </c>
      <c r="G134" s="78">
        <v>667.29575999999997</v>
      </c>
      <c r="H134" s="78">
        <v>1206.7552500000002</v>
      </c>
      <c r="I134" s="48"/>
      <c r="J134" s="82">
        <v>3814.4446899999998</v>
      </c>
      <c r="K134" s="78">
        <v>936.22182000000009</v>
      </c>
      <c r="L134" s="78">
        <v>2878.2228700000001</v>
      </c>
      <c r="M134" s="82"/>
      <c r="N134" s="78"/>
      <c r="O134" s="79"/>
      <c r="P134" s="82"/>
      <c r="Q134" s="78">
        <v>0</v>
      </c>
      <c r="R134" s="52">
        <v>0</v>
      </c>
      <c r="S134" s="48"/>
      <c r="T134" s="78"/>
      <c r="U134" s="52"/>
      <c r="V134" s="48"/>
      <c r="W134" s="52"/>
      <c r="X134" s="52"/>
      <c r="Y134" s="87">
        <v>5688.4956999999995</v>
      </c>
      <c r="Z134" s="52">
        <f t="shared" si="8"/>
        <v>1603.5175800000002</v>
      </c>
      <c r="AA134" s="52">
        <f t="shared" si="10"/>
        <v>4084.9781200000002</v>
      </c>
      <c r="AB134" s="62"/>
      <c r="AC134" s="61"/>
      <c r="AD134" s="61"/>
    </row>
    <row r="135" spans="1:30" ht="12" customHeight="1" x14ac:dyDescent="0.25">
      <c r="A135" s="55">
        <v>2013</v>
      </c>
      <c r="B135" s="55" t="s">
        <v>14</v>
      </c>
      <c r="C135" s="57"/>
      <c r="D135" s="78"/>
      <c r="E135" s="78"/>
      <c r="F135" s="82">
        <v>1312.1647800000001</v>
      </c>
      <c r="G135" s="78"/>
      <c r="H135" s="78">
        <v>1312.3277800000001</v>
      </c>
      <c r="I135" s="48"/>
      <c r="J135" s="82">
        <v>4314.7009500000004</v>
      </c>
      <c r="K135" s="78">
        <v>935.60924999999997</v>
      </c>
      <c r="L135" s="78">
        <v>3379.0917000000004</v>
      </c>
      <c r="M135" s="82"/>
      <c r="N135" s="78"/>
      <c r="O135" s="79"/>
      <c r="P135" s="82">
        <v>24.646249999999998</v>
      </c>
      <c r="Q135" s="78">
        <v>0</v>
      </c>
      <c r="R135" s="52">
        <v>24.646249999999998</v>
      </c>
      <c r="S135" s="48"/>
      <c r="T135" s="78"/>
      <c r="U135" s="52"/>
      <c r="V135" s="48"/>
      <c r="W135" s="52"/>
      <c r="X135" s="52"/>
      <c r="Y135" s="87">
        <v>5651.6749799999998</v>
      </c>
      <c r="Z135" s="52">
        <f t="shared" si="8"/>
        <v>935.60924999999997</v>
      </c>
      <c r="AA135" s="52">
        <f t="shared" si="10"/>
        <v>4716.0657300000003</v>
      </c>
      <c r="AB135" s="62"/>
      <c r="AC135" s="58"/>
      <c r="AD135" s="63">
        <f>AC135-Y135</f>
        <v>-5651.6749799999998</v>
      </c>
    </row>
    <row r="136" spans="1:30" ht="12" customHeight="1" x14ac:dyDescent="0.25">
      <c r="A136" s="55">
        <v>2013</v>
      </c>
      <c r="B136" s="55" t="s">
        <v>15</v>
      </c>
      <c r="C136" s="57">
        <v>2173.8321499999997</v>
      </c>
      <c r="D136" s="78">
        <v>2173.8321499999997</v>
      </c>
      <c r="E136" s="78"/>
      <c r="F136" s="82">
        <v>15226.44873</v>
      </c>
      <c r="G136" s="78">
        <f t="shared" ref="G136" si="12">SUM(G124:G135)</f>
        <v>1349.7943299999999</v>
      </c>
      <c r="H136" s="78">
        <f t="shared" ref="H136" si="13">SUM(H124:H135)</f>
        <v>13876.819449999999</v>
      </c>
      <c r="I136" s="48"/>
      <c r="J136" s="82">
        <v>43791.992119999995</v>
      </c>
      <c r="K136" s="78">
        <f>SUM(K124:K135)</f>
        <v>13366.079169999999</v>
      </c>
      <c r="L136" s="78">
        <f>SUM(L124:L135)</f>
        <v>30425.913120000005</v>
      </c>
      <c r="M136" s="82"/>
      <c r="N136" s="78"/>
      <c r="O136" s="79"/>
      <c r="P136" s="82">
        <v>1236.9673399999999</v>
      </c>
      <c r="Q136" s="78">
        <f>SUM(Q124:Q135)</f>
        <v>0</v>
      </c>
      <c r="R136" s="52">
        <f>SUM(R124:R135)</f>
        <v>1236.96759</v>
      </c>
      <c r="S136" s="48"/>
      <c r="T136" s="78"/>
      <c r="U136" s="52"/>
      <c r="V136" s="48"/>
      <c r="W136" s="52"/>
      <c r="X136" s="52"/>
      <c r="Y136" s="87">
        <v>62429.240340000004</v>
      </c>
      <c r="Z136" s="52">
        <f t="shared" si="8"/>
        <v>14715.8735</v>
      </c>
      <c r="AA136" s="52">
        <f t="shared" si="10"/>
        <v>45539.700160000008</v>
      </c>
      <c r="AB136" s="62"/>
      <c r="AC136" s="61"/>
      <c r="AD136" s="61"/>
    </row>
    <row r="137" spans="1:30" ht="12" customHeight="1" x14ac:dyDescent="0.25">
      <c r="A137" s="55">
        <v>2014</v>
      </c>
      <c r="B137" s="55" t="s">
        <v>3</v>
      </c>
      <c r="C137" s="57">
        <v>830.62244999999996</v>
      </c>
      <c r="D137" s="78">
        <v>830.62244999999996</v>
      </c>
      <c r="E137" s="78">
        <v>0</v>
      </c>
      <c r="F137" s="82">
        <v>1200.8092799999999</v>
      </c>
      <c r="G137" s="78">
        <v>0</v>
      </c>
      <c r="H137" s="78">
        <v>1200.8092799999999</v>
      </c>
      <c r="I137" s="48">
        <v>0</v>
      </c>
      <c r="J137" s="82">
        <v>3362.0535100000002</v>
      </c>
      <c r="K137" s="78">
        <v>1015.94281</v>
      </c>
      <c r="L137" s="78">
        <v>2346.1107000000002</v>
      </c>
      <c r="M137" s="82">
        <v>605.49878000000001</v>
      </c>
      <c r="N137" s="78">
        <v>605.49878000000001</v>
      </c>
      <c r="O137" s="79">
        <v>0</v>
      </c>
      <c r="P137" s="82">
        <v>157.34804</v>
      </c>
      <c r="Q137" s="78">
        <v>0</v>
      </c>
      <c r="R137" s="52">
        <v>157.34804</v>
      </c>
      <c r="S137" s="48"/>
      <c r="T137" s="78"/>
      <c r="U137" s="52">
        <v>0</v>
      </c>
      <c r="V137" s="48">
        <v>0</v>
      </c>
      <c r="W137" s="52">
        <v>0</v>
      </c>
      <c r="X137" s="52">
        <v>0</v>
      </c>
      <c r="Y137" s="87">
        <v>6156.3320599999997</v>
      </c>
      <c r="Z137" s="52">
        <v>2452.0640399999997</v>
      </c>
      <c r="AA137" s="52">
        <v>3704.26802</v>
      </c>
      <c r="AB137" s="62"/>
      <c r="AC137" s="61"/>
      <c r="AD137" s="61"/>
    </row>
    <row r="138" spans="1:30" ht="12" customHeight="1" x14ac:dyDescent="0.25">
      <c r="A138" s="55">
        <v>2014</v>
      </c>
      <c r="B138" s="55" t="s">
        <v>4</v>
      </c>
      <c r="C138" s="57">
        <v>0</v>
      </c>
      <c r="D138" s="78">
        <v>0</v>
      </c>
      <c r="E138" s="78">
        <v>0</v>
      </c>
      <c r="F138" s="82">
        <v>1225.5596799999996</v>
      </c>
      <c r="G138" s="78">
        <v>0</v>
      </c>
      <c r="H138" s="78">
        <v>1225.5596799999996</v>
      </c>
      <c r="I138" s="48">
        <v>0</v>
      </c>
      <c r="J138" s="82">
        <v>5729.8858300000002</v>
      </c>
      <c r="K138" s="78">
        <v>2775.8796200000002</v>
      </c>
      <c r="L138" s="78">
        <v>2954.00621</v>
      </c>
      <c r="M138" s="82">
        <v>0</v>
      </c>
      <c r="N138" s="78">
        <v>0</v>
      </c>
      <c r="O138" s="79">
        <v>0</v>
      </c>
      <c r="P138" s="82">
        <v>0</v>
      </c>
      <c r="Q138" s="78">
        <v>0</v>
      </c>
      <c r="R138" s="52">
        <v>0</v>
      </c>
      <c r="S138" s="48"/>
      <c r="T138" s="78"/>
      <c r="U138" s="52">
        <v>0</v>
      </c>
      <c r="V138" s="48">
        <v>0</v>
      </c>
      <c r="W138" s="52">
        <v>0</v>
      </c>
      <c r="X138" s="52">
        <v>0</v>
      </c>
      <c r="Y138" s="87">
        <v>6955.4455099999996</v>
      </c>
      <c r="Z138" s="52">
        <v>2775.8796200000002</v>
      </c>
      <c r="AA138" s="52">
        <v>4179.5658899999999</v>
      </c>
      <c r="AB138" s="62"/>
      <c r="AC138" s="61"/>
      <c r="AD138" s="61"/>
    </row>
    <row r="139" spans="1:30" ht="12" customHeight="1" x14ac:dyDescent="0.25">
      <c r="A139" s="55">
        <v>2014</v>
      </c>
      <c r="B139" s="55" t="s">
        <v>5</v>
      </c>
      <c r="C139" s="57">
        <v>0</v>
      </c>
      <c r="D139" s="78">
        <v>0</v>
      </c>
      <c r="E139" s="78">
        <v>0</v>
      </c>
      <c r="F139" s="82">
        <v>1309.4446700000001</v>
      </c>
      <c r="G139" s="78">
        <v>0</v>
      </c>
      <c r="H139" s="78">
        <v>1309.4446700000001</v>
      </c>
      <c r="I139" s="48">
        <v>0</v>
      </c>
      <c r="J139" s="82">
        <v>3450.57519</v>
      </c>
      <c r="K139" s="78">
        <v>948.80173000000002</v>
      </c>
      <c r="L139" s="78">
        <v>2501.7734599999999</v>
      </c>
      <c r="M139" s="82">
        <v>0</v>
      </c>
      <c r="N139" s="78">
        <v>0</v>
      </c>
      <c r="O139" s="79">
        <v>0</v>
      </c>
      <c r="P139" s="82">
        <v>0</v>
      </c>
      <c r="Q139" s="78">
        <v>0</v>
      </c>
      <c r="R139" s="52">
        <v>0</v>
      </c>
      <c r="S139" s="48"/>
      <c r="T139" s="78"/>
      <c r="U139" s="52">
        <v>0</v>
      </c>
      <c r="V139" s="48">
        <v>0</v>
      </c>
      <c r="W139" s="52">
        <v>0</v>
      </c>
      <c r="X139" s="52">
        <v>0</v>
      </c>
      <c r="Y139" s="87">
        <v>4760.0198600000003</v>
      </c>
      <c r="Z139" s="52">
        <v>948.80173000000002</v>
      </c>
      <c r="AA139" s="52">
        <v>3811.2181300000002</v>
      </c>
      <c r="AB139" s="62"/>
      <c r="AC139" s="61"/>
      <c r="AD139" s="61"/>
    </row>
    <row r="140" spans="1:30" ht="12" customHeight="1" x14ac:dyDescent="0.25">
      <c r="A140" s="55">
        <v>2014</v>
      </c>
      <c r="B140" s="55" t="s">
        <v>6</v>
      </c>
      <c r="C140" s="57">
        <v>0</v>
      </c>
      <c r="D140" s="78">
        <v>0</v>
      </c>
      <c r="E140" s="78">
        <v>0</v>
      </c>
      <c r="F140" s="82">
        <v>1327.0492600000002</v>
      </c>
      <c r="G140" s="78">
        <v>0</v>
      </c>
      <c r="H140" s="78">
        <v>1327.0492600000002</v>
      </c>
      <c r="I140" s="48">
        <v>0</v>
      </c>
      <c r="J140" s="82">
        <v>3127.3877300000004</v>
      </c>
      <c r="K140" s="78">
        <v>967.22961999999995</v>
      </c>
      <c r="L140" s="78">
        <v>2160.1581100000003</v>
      </c>
      <c r="M140" s="82">
        <v>0</v>
      </c>
      <c r="N140" s="78">
        <v>0</v>
      </c>
      <c r="O140" s="79">
        <v>0</v>
      </c>
      <c r="P140" s="82">
        <v>0</v>
      </c>
      <c r="Q140" s="78">
        <v>0</v>
      </c>
      <c r="R140" s="52">
        <v>0</v>
      </c>
      <c r="S140" s="48"/>
      <c r="T140" s="78"/>
      <c r="U140" s="52">
        <v>0</v>
      </c>
      <c r="V140" s="48">
        <v>0</v>
      </c>
      <c r="W140" s="52">
        <v>0</v>
      </c>
      <c r="X140" s="52">
        <v>0</v>
      </c>
      <c r="Y140" s="87">
        <v>4454.4369900000002</v>
      </c>
      <c r="Z140" s="52">
        <v>967.22961999999995</v>
      </c>
      <c r="AA140" s="52">
        <v>3487.2073700000005</v>
      </c>
      <c r="AB140" s="62"/>
      <c r="AC140" s="61"/>
      <c r="AD140" s="61"/>
    </row>
    <row r="141" spans="1:30" ht="12" customHeight="1" x14ac:dyDescent="0.25">
      <c r="A141" s="55">
        <v>2014</v>
      </c>
      <c r="B141" s="55" t="s">
        <v>7</v>
      </c>
      <c r="C141" s="57">
        <v>463.44327000000004</v>
      </c>
      <c r="D141" s="78">
        <v>463.44327000000004</v>
      </c>
      <c r="E141" s="78">
        <v>0</v>
      </c>
      <c r="F141" s="82">
        <v>1287.0296000000001</v>
      </c>
      <c r="G141" s="78">
        <v>0</v>
      </c>
      <c r="H141" s="78">
        <v>1287.0296000000001</v>
      </c>
      <c r="I141" s="48">
        <v>0</v>
      </c>
      <c r="J141" s="82">
        <v>2753.8284199999998</v>
      </c>
      <c r="K141" s="78">
        <v>0</v>
      </c>
      <c r="L141" s="78">
        <v>2753.8284199999998</v>
      </c>
      <c r="M141" s="82">
        <v>0</v>
      </c>
      <c r="N141" s="78">
        <v>0</v>
      </c>
      <c r="O141" s="79">
        <v>0</v>
      </c>
      <c r="P141" s="82">
        <v>0</v>
      </c>
      <c r="Q141" s="78">
        <v>0</v>
      </c>
      <c r="R141" s="52">
        <v>0</v>
      </c>
      <c r="S141" s="48"/>
      <c r="T141" s="78"/>
      <c r="U141" s="52">
        <v>0</v>
      </c>
      <c r="V141" s="48">
        <v>0</v>
      </c>
      <c r="W141" s="52">
        <v>0</v>
      </c>
      <c r="X141" s="52">
        <v>0</v>
      </c>
      <c r="Y141" s="87">
        <v>4504.3012899999994</v>
      </c>
      <c r="Z141" s="52">
        <v>463.44327000000004</v>
      </c>
      <c r="AA141" s="52">
        <v>4040.8580199999997</v>
      </c>
      <c r="AB141" s="62"/>
      <c r="AC141" s="61"/>
      <c r="AD141" s="61"/>
    </row>
    <row r="142" spans="1:30" ht="12" customHeight="1" x14ac:dyDescent="0.25">
      <c r="A142" s="55">
        <v>2014</v>
      </c>
      <c r="B142" s="55" t="s">
        <v>8</v>
      </c>
      <c r="C142" s="57">
        <v>0</v>
      </c>
      <c r="D142" s="78">
        <v>0</v>
      </c>
      <c r="E142" s="78">
        <v>0</v>
      </c>
      <c r="F142" s="82">
        <v>1246.2605100000001</v>
      </c>
      <c r="G142" s="78">
        <v>0</v>
      </c>
      <c r="H142" s="78">
        <v>1246.2605100000001</v>
      </c>
      <c r="I142" s="48">
        <v>0</v>
      </c>
      <c r="J142" s="82">
        <v>2132.1904800000002</v>
      </c>
      <c r="K142" s="78">
        <v>0</v>
      </c>
      <c r="L142" s="78">
        <v>2132.1904800000002</v>
      </c>
      <c r="M142" s="82">
        <v>0</v>
      </c>
      <c r="N142" s="78">
        <v>0</v>
      </c>
      <c r="O142" s="79">
        <v>0</v>
      </c>
      <c r="P142" s="82">
        <v>0</v>
      </c>
      <c r="Q142" s="78">
        <v>0</v>
      </c>
      <c r="R142" s="52">
        <v>0</v>
      </c>
      <c r="S142" s="48"/>
      <c r="T142" s="78"/>
      <c r="U142" s="52">
        <v>0</v>
      </c>
      <c r="V142" s="48">
        <v>0</v>
      </c>
      <c r="W142" s="52">
        <v>0</v>
      </c>
      <c r="X142" s="52">
        <v>0</v>
      </c>
      <c r="Y142" s="87">
        <v>3378.4509900000003</v>
      </c>
      <c r="Z142" s="52">
        <v>0</v>
      </c>
      <c r="AA142" s="52">
        <v>3378.4509900000003</v>
      </c>
      <c r="AB142" s="62"/>
      <c r="AC142" s="61"/>
      <c r="AD142" s="61"/>
    </row>
    <row r="143" spans="1:30" ht="12" customHeight="1" x14ac:dyDescent="0.25">
      <c r="A143" s="55">
        <v>2014</v>
      </c>
      <c r="B143" s="55" t="s">
        <v>9</v>
      </c>
      <c r="C143" s="57">
        <v>0</v>
      </c>
      <c r="D143" s="78">
        <v>0</v>
      </c>
      <c r="E143" s="78">
        <v>0</v>
      </c>
      <c r="F143" s="82">
        <v>1404.45813</v>
      </c>
      <c r="G143" s="78">
        <v>0</v>
      </c>
      <c r="H143" s="78">
        <v>1404.45813</v>
      </c>
      <c r="I143" s="48">
        <v>0</v>
      </c>
      <c r="J143" s="82">
        <v>4807.4967100000003</v>
      </c>
      <c r="K143" s="78">
        <v>1965.1464699999999</v>
      </c>
      <c r="L143" s="78">
        <v>2842.3502400000002</v>
      </c>
      <c r="M143" s="82">
        <v>0</v>
      </c>
      <c r="N143" s="78">
        <v>0</v>
      </c>
      <c r="O143" s="79">
        <v>0</v>
      </c>
      <c r="P143" s="82">
        <v>0</v>
      </c>
      <c r="Q143" s="78">
        <v>0</v>
      </c>
      <c r="R143" s="52">
        <v>0</v>
      </c>
      <c r="S143" s="48"/>
      <c r="T143" s="78"/>
      <c r="U143" s="52">
        <v>0</v>
      </c>
      <c r="V143" s="48">
        <v>0</v>
      </c>
      <c r="W143" s="52">
        <v>0</v>
      </c>
      <c r="X143" s="52">
        <v>0</v>
      </c>
      <c r="Y143" s="87">
        <v>6211.9548400000003</v>
      </c>
      <c r="Z143" s="52">
        <v>1965.1464699999999</v>
      </c>
      <c r="AA143" s="52">
        <v>4246.8083700000007</v>
      </c>
      <c r="AB143" s="62"/>
      <c r="AC143" s="61"/>
      <c r="AD143" s="61"/>
    </row>
    <row r="144" spans="1:30" ht="12" customHeight="1" x14ac:dyDescent="0.25">
      <c r="A144" s="55">
        <v>2014</v>
      </c>
      <c r="B144" s="55" t="s">
        <v>10</v>
      </c>
      <c r="C144" s="57">
        <v>0</v>
      </c>
      <c r="D144" s="78">
        <v>0</v>
      </c>
      <c r="E144" s="78">
        <v>0</v>
      </c>
      <c r="F144" s="82">
        <v>1538.25918</v>
      </c>
      <c r="G144" s="78">
        <v>0</v>
      </c>
      <c r="H144" s="78">
        <v>1538.25918</v>
      </c>
      <c r="I144" s="48">
        <v>0</v>
      </c>
      <c r="J144" s="82">
        <v>4601.9502200000006</v>
      </c>
      <c r="K144" s="78">
        <v>1707.0819799999999</v>
      </c>
      <c r="L144" s="78">
        <v>2894.8682400000002</v>
      </c>
      <c r="M144" s="82">
        <v>842.29656999999997</v>
      </c>
      <c r="N144" s="78">
        <v>842.29656999999997</v>
      </c>
      <c r="O144" s="79">
        <v>0</v>
      </c>
      <c r="P144" s="82">
        <v>0</v>
      </c>
      <c r="Q144" s="78">
        <v>0</v>
      </c>
      <c r="R144" s="52">
        <v>0</v>
      </c>
      <c r="S144" s="48"/>
      <c r="T144" s="78"/>
      <c r="U144" s="52">
        <v>0</v>
      </c>
      <c r="V144" s="48">
        <v>0</v>
      </c>
      <c r="W144" s="52">
        <v>0</v>
      </c>
      <c r="X144" s="52">
        <v>0</v>
      </c>
      <c r="Y144" s="87">
        <v>6982.5059700000002</v>
      </c>
      <c r="Z144" s="52">
        <v>2549.3785499999999</v>
      </c>
      <c r="AA144" s="52">
        <v>4433.1274200000007</v>
      </c>
      <c r="AB144" s="62"/>
      <c r="AC144" s="61"/>
      <c r="AD144" s="61"/>
    </row>
    <row r="145" spans="1:27" ht="12" customHeight="1" x14ac:dyDescent="0.25">
      <c r="A145" s="55">
        <v>2014</v>
      </c>
      <c r="B145" s="55" t="s">
        <v>11</v>
      </c>
      <c r="C145" s="57">
        <v>0</v>
      </c>
      <c r="D145" s="78">
        <v>0</v>
      </c>
      <c r="E145" s="78">
        <v>0</v>
      </c>
      <c r="F145" s="82">
        <v>1538.6717700000002</v>
      </c>
      <c r="G145" s="78">
        <v>0</v>
      </c>
      <c r="H145" s="78">
        <v>1538.6717700000002</v>
      </c>
      <c r="I145" s="48">
        <v>0</v>
      </c>
      <c r="J145" s="82">
        <v>4466.8889399999998</v>
      </c>
      <c r="K145" s="78">
        <v>1855.8299299999999</v>
      </c>
      <c r="L145" s="78">
        <v>2611.0590099999999</v>
      </c>
      <c r="M145" s="82">
        <v>0</v>
      </c>
      <c r="N145" s="78">
        <v>0</v>
      </c>
      <c r="O145" s="79">
        <v>0</v>
      </c>
      <c r="P145" s="82">
        <v>0</v>
      </c>
      <c r="Q145" s="78">
        <v>0</v>
      </c>
      <c r="R145" s="52">
        <v>0</v>
      </c>
      <c r="S145" s="48"/>
      <c r="T145" s="78"/>
      <c r="U145" s="52">
        <v>0</v>
      </c>
      <c r="V145" s="48">
        <v>0</v>
      </c>
      <c r="W145" s="52">
        <v>0</v>
      </c>
      <c r="X145" s="52">
        <v>0</v>
      </c>
      <c r="Y145" s="87">
        <v>6005.5607099999997</v>
      </c>
      <c r="Z145" s="52">
        <v>1855.8299299999999</v>
      </c>
      <c r="AA145" s="52">
        <v>4149.7307799999999</v>
      </c>
    </row>
    <row r="146" spans="1:27" ht="12" customHeight="1" x14ac:dyDescent="0.25">
      <c r="A146" s="55">
        <v>2014</v>
      </c>
      <c r="B146" s="55" t="s">
        <v>12</v>
      </c>
      <c r="C146" s="57">
        <v>0</v>
      </c>
      <c r="D146" s="78">
        <v>0</v>
      </c>
      <c r="E146" s="78">
        <v>0</v>
      </c>
      <c r="F146" s="82">
        <v>1423.8910599999997</v>
      </c>
      <c r="G146" s="78">
        <v>1.3025899999999999</v>
      </c>
      <c r="H146" s="78">
        <v>1422.5884699999997</v>
      </c>
      <c r="I146" s="48">
        <v>0</v>
      </c>
      <c r="J146" s="82">
        <v>4001.0574999999999</v>
      </c>
      <c r="K146" s="78">
        <v>901.38406000000009</v>
      </c>
      <c r="L146" s="78">
        <v>3099.67344</v>
      </c>
      <c r="M146" s="82">
        <v>0</v>
      </c>
      <c r="N146" s="78">
        <v>0</v>
      </c>
      <c r="O146" s="79">
        <v>0</v>
      </c>
      <c r="P146" s="82">
        <v>0</v>
      </c>
      <c r="Q146" s="78">
        <v>0</v>
      </c>
      <c r="R146" s="52">
        <v>0</v>
      </c>
      <c r="S146" s="48"/>
      <c r="T146" s="78"/>
      <c r="U146" s="52">
        <v>0</v>
      </c>
      <c r="V146" s="48">
        <v>0</v>
      </c>
      <c r="W146" s="52">
        <v>0</v>
      </c>
      <c r="X146" s="52">
        <v>0</v>
      </c>
      <c r="Y146" s="87">
        <v>5424.9485599999989</v>
      </c>
      <c r="Z146" s="52">
        <v>902.6866500000001</v>
      </c>
      <c r="AA146" s="52">
        <v>4522.2619099999993</v>
      </c>
    </row>
    <row r="147" spans="1:27" ht="12" customHeight="1" x14ac:dyDescent="0.25">
      <c r="A147" s="55">
        <v>2014</v>
      </c>
      <c r="B147" s="55" t="s">
        <v>13</v>
      </c>
      <c r="C147" s="57">
        <v>0</v>
      </c>
      <c r="D147" s="78">
        <v>0</v>
      </c>
      <c r="E147" s="78">
        <v>0</v>
      </c>
      <c r="F147" s="82">
        <v>1364.0833400000004</v>
      </c>
      <c r="G147" s="78">
        <v>0</v>
      </c>
      <c r="H147" s="78">
        <v>1364.0833400000004</v>
      </c>
      <c r="I147" s="48">
        <v>0</v>
      </c>
      <c r="J147" s="82">
        <v>5145.0313000000006</v>
      </c>
      <c r="K147" s="78">
        <v>1924.38706</v>
      </c>
      <c r="L147" s="78">
        <v>3220.6442400000001</v>
      </c>
      <c r="M147" s="82">
        <v>0</v>
      </c>
      <c r="N147" s="78">
        <v>0</v>
      </c>
      <c r="O147" s="79">
        <v>0</v>
      </c>
      <c r="P147" s="82">
        <v>0</v>
      </c>
      <c r="Q147" s="78">
        <v>0</v>
      </c>
      <c r="R147" s="52">
        <v>0</v>
      </c>
      <c r="S147" s="48"/>
      <c r="T147" s="78"/>
      <c r="U147" s="52">
        <v>0</v>
      </c>
      <c r="V147" s="48">
        <v>0</v>
      </c>
      <c r="W147" s="52">
        <v>0</v>
      </c>
      <c r="X147" s="52">
        <v>0</v>
      </c>
      <c r="Y147" s="87">
        <v>6509.1146400000007</v>
      </c>
      <c r="Z147" s="52">
        <v>1924.38706</v>
      </c>
      <c r="AA147" s="52">
        <v>4584.7275800000007</v>
      </c>
    </row>
    <row r="148" spans="1:27" ht="12" customHeight="1" x14ac:dyDescent="0.25">
      <c r="A148" s="55">
        <v>2014</v>
      </c>
      <c r="B148" s="55" t="s">
        <v>14</v>
      </c>
      <c r="C148" s="57">
        <v>0</v>
      </c>
      <c r="D148" s="78">
        <v>0</v>
      </c>
      <c r="E148" s="78">
        <v>0</v>
      </c>
      <c r="F148" s="82">
        <v>1353.6197899999995</v>
      </c>
      <c r="G148" s="78">
        <v>0</v>
      </c>
      <c r="H148" s="78">
        <v>1353.6197899999995</v>
      </c>
      <c r="I148" s="48">
        <v>0</v>
      </c>
      <c r="J148" s="82">
        <v>3431.9791700000001</v>
      </c>
      <c r="K148" s="78">
        <v>0</v>
      </c>
      <c r="L148" s="78">
        <v>3431.9791700000001</v>
      </c>
      <c r="M148" s="82">
        <v>0</v>
      </c>
      <c r="N148" s="78">
        <v>0</v>
      </c>
      <c r="O148" s="79">
        <v>0</v>
      </c>
      <c r="P148" s="82">
        <v>0</v>
      </c>
      <c r="Q148" s="78">
        <v>0</v>
      </c>
      <c r="R148" s="52">
        <v>0</v>
      </c>
      <c r="S148" s="48"/>
      <c r="T148" s="78"/>
      <c r="U148" s="52">
        <v>0</v>
      </c>
      <c r="V148" s="48">
        <v>0</v>
      </c>
      <c r="W148" s="52">
        <v>0</v>
      </c>
      <c r="X148" s="52">
        <v>0</v>
      </c>
      <c r="Y148" s="87">
        <v>4785.5989599999994</v>
      </c>
      <c r="Z148" s="52">
        <v>0</v>
      </c>
      <c r="AA148" s="52">
        <v>4785.5989599999994</v>
      </c>
    </row>
    <row r="149" spans="1:27" ht="12" customHeight="1" x14ac:dyDescent="0.25">
      <c r="A149" s="55">
        <v>2014</v>
      </c>
      <c r="B149" s="55" t="s">
        <v>15</v>
      </c>
      <c r="C149" s="57">
        <v>1294.0657200000001</v>
      </c>
      <c r="D149" s="78">
        <v>1294.0657200000001</v>
      </c>
      <c r="E149" s="78">
        <v>0</v>
      </c>
      <c r="F149" s="82">
        <v>16219.136270000003</v>
      </c>
      <c r="G149" s="78">
        <v>1.3025899999999999</v>
      </c>
      <c r="H149" s="78">
        <v>16217.833680000002</v>
      </c>
      <c r="I149" s="48">
        <v>0</v>
      </c>
      <c r="J149" s="82">
        <v>47010.325000000004</v>
      </c>
      <c r="K149" s="78">
        <v>14061.683280000001</v>
      </c>
      <c r="L149" s="78">
        <v>32948.64172</v>
      </c>
      <c r="M149" s="82">
        <v>1447.7953499999999</v>
      </c>
      <c r="N149" s="78">
        <v>1447.7953499999999</v>
      </c>
      <c r="O149" s="79">
        <v>0</v>
      </c>
      <c r="P149" s="82">
        <v>157.34804</v>
      </c>
      <c r="Q149" s="78">
        <v>0</v>
      </c>
      <c r="R149" s="52">
        <v>157.34804</v>
      </c>
      <c r="S149" s="48"/>
      <c r="T149" s="78"/>
      <c r="U149" s="52">
        <v>0</v>
      </c>
      <c r="V149" s="48">
        <v>0</v>
      </c>
      <c r="W149" s="52">
        <v>0</v>
      </c>
      <c r="X149" s="52">
        <v>0</v>
      </c>
      <c r="Y149" s="87">
        <v>66128.670379999996</v>
      </c>
      <c r="Z149" s="52">
        <v>16804.846939999999</v>
      </c>
      <c r="AA149" s="52">
        <v>49323.823440000007</v>
      </c>
    </row>
    <row r="150" spans="1:27" ht="12" customHeight="1" x14ac:dyDescent="0.25">
      <c r="A150" s="55">
        <v>2015</v>
      </c>
      <c r="B150" s="55" t="s">
        <v>3</v>
      </c>
      <c r="C150" s="57">
        <v>0</v>
      </c>
      <c r="D150" s="78">
        <v>0</v>
      </c>
      <c r="E150" s="78">
        <v>0</v>
      </c>
      <c r="F150" s="82">
        <v>1440.1838600000001</v>
      </c>
      <c r="G150" s="78">
        <v>0</v>
      </c>
      <c r="H150" s="78">
        <v>1440.1838600000001</v>
      </c>
      <c r="I150" s="48">
        <v>0</v>
      </c>
      <c r="J150" s="82">
        <v>2707.8372199999999</v>
      </c>
      <c r="K150" s="78">
        <v>0</v>
      </c>
      <c r="L150" s="78">
        <v>2707.8372199999999</v>
      </c>
      <c r="M150" s="82">
        <v>0</v>
      </c>
      <c r="N150" s="78">
        <v>0</v>
      </c>
      <c r="O150" s="79">
        <v>0</v>
      </c>
      <c r="P150" s="82">
        <v>0</v>
      </c>
      <c r="Q150" s="78">
        <v>0</v>
      </c>
      <c r="R150" s="52">
        <v>0</v>
      </c>
      <c r="S150" s="48"/>
      <c r="T150" s="78"/>
      <c r="U150" s="52">
        <v>0</v>
      </c>
      <c r="V150" s="48">
        <v>0</v>
      </c>
      <c r="W150" s="52">
        <v>0</v>
      </c>
      <c r="X150" s="52">
        <v>0</v>
      </c>
      <c r="Y150" s="87">
        <v>4148.0210800000004</v>
      </c>
      <c r="Z150" s="52">
        <v>0</v>
      </c>
      <c r="AA150" s="52">
        <v>4148.0210800000004</v>
      </c>
    </row>
    <row r="151" spans="1:27" ht="12" customHeight="1" x14ac:dyDescent="0.25">
      <c r="A151" s="55">
        <v>2015</v>
      </c>
      <c r="B151" s="55" t="s">
        <v>4</v>
      </c>
      <c r="C151" s="57">
        <v>0</v>
      </c>
      <c r="D151" s="78">
        <v>0</v>
      </c>
      <c r="E151" s="78">
        <v>0</v>
      </c>
      <c r="F151" s="82">
        <v>1318.1168400000004</v>
      </c>
      <c r="G151" s="78">
        <v>0</v>
      </c>
      <c r="H151" s="78">
        <v>1318.1168400000004</v>
      </c>
      <c r="I151" s="48">
        <v>0</v>
      </c>
      <c r="J151" s="82">
        <v>3889.53485</v>
      </c>
      <c r="K151" s="78">
        <v>1466.66742</v>
      </c>
      <c r="L151" s="78">
        <v>2422.8674299999998</v>
      </c>
      <c r="M151" s="82">
        <v>0</v>
      </c>
      <c r="N151" s="78">
        <v>0</v>
      </c>
      <c r="O151" s="79">
        <v>0</v>
      </c>
      <c r="P151" s="82">
        <v>0</v>
      </c>
      <c r="Q151" s="78">
        <v>0</v>
      </c>
      <c r="R151" s="52">
        <v>0</v>
      </c>
      <c r="S151" s="48"/>
      <c r="T151" s="78"/>
      <c r="U151" s="52">
        <v>0</v>
      </c>
      <c r="V151" s="48">
        <v>0</v>
      </c>
      <c r="W151" s="52">
        <v>0</v>
      </c>
      <c r="X151" s="52">
        <v>0</v>
      </c>
      <c r="Y151" s="87">
        <v>5207.6516899999997</v>
      </c>
      <c r="Z151" s="52">
        <v>1466.66742</v>
      </c>
      <c r="AA151" s="52">
        <v>3740.9842699999999</v>
      </c>
    </row>
    <row r="152" spans="1:27" ht="12" customHeight="1" x14ac:dyDescent="0.25">
      <c r="A152" s="55">
        <v>2015</v>
      </c>
      <c r="B152" s="55" t="s">
        <v>5</v>
      </c>
      <c r="C152" s="57">
        <v>0</v>
      </c>
      <c r="D152" s="78">
        <v>0</v>
      </c>
      <c r="E152" s="78">
        <v>0</v>
      </c>
      <c r="F152" s="82">
        <v>1160.3078700000001</v>
      </c>
      <c r="G152" s="78">
        <v>0</v>
      </c>
      <c r="H152" s="78">
        <v>1160.3078700000001</v>
      </c>
      <c r="I152" s="48">
        <v>0</v>
      </c>
      <c r="J152" s="82">
        <v>3350.7078099999999</v>
      </c>
      <c r="K152" s="78">
        <v>927.40305000000001</v>
      </c>
      <c r="L152" s="78">
        <v>2423.30476</v>
      </c>
      <c r="M152" s="82">
        <v>0</v>
      </c>
      <c r="N152" s="78">
        <v>0</v>
      </c>
      <c r="O152" s="79">
        <v>0</v>
      </c>
      <c r="P152" s="82">
        <v>0</v>
      </c>
      <c r="Q152" s="78">
        <v>0</v>
      </c>
      <c r="R152" s="52">
        <v>0</v>
      </c>
      <c r="S152" s="48"/>
      <c r="T152" s="78"/>
      <c r="U152" s="52">
        <v>0</v>
      </c>
      <c r="V152" s="48">
        <v>0</v>
      </c>
      <c r="W152" s="52">
        <v>0</v>
      </c>
      <c r="X152" s="52">
        <v>0</v>
      </c>
      <c r="Y152" s="87">
        <v>4511.0156800000004</v>
      </c>
      <c r="Z152" s="52">
        <v>927.40305000000001</v>
      </c>
      <c r="AA152" s="52">
        <v>3583.6126300000001</v>
      </c>
    </row>
    <row r="153" spans="1:27" ht="12" customHeight="1" x14ac:dyDescent="0.25">
      <c r="A153" s="55">
        <v>2015</v>
      </c>
      <c r="B153" s="55" t="s">
        <v>6</v>
      </c>
      <c r="C153" s="57">
        <v>0</v>
      </c>
      <c r="D153" s="78">
        <v>0</v>
      </c>
      <c r="E153" s="78">
        <v>0</v>
      </c>
      <c r="F153" s="82">
        <v>587.36104</v>
      </c>
      <c r="G153" s="78">
        <v>0</v>
      </c>
      <c r="H153" s="78">
        <v>587.36104</v>
      </c>
      <c r="I153" s="48">
        <v>0</v>
      </c>
      <c r="J153" s="82">
        <v>3424.11888</v>
      </c>
      <c r="K153" s="78">
        <v>1720.5032000000001</v>
      </c>
      <c r="L153" s="78">
        <v>1703.6156799999999</v>
      </c>
      <c r="M153" s="82">
        <v>0</v>
      </c>
      <c r="N153" s="78">
        <v>0</v>
      </c>
      <c r="O153" s="79">
        <v>0</v>
      </c>
      <c r="P153" s="82">
        <v>0</v>
      </c>
      <c r="Q153" s="78">
        <v>0</v>
      </c>
      <c r="R153" s="52">
        <v>0</v>
      </c>
      <c r="S153" s="48"/>
      <c r="T153" s="78"/>
      <c r="U153" s="52">
        <v>0</v>
      </c>
      <c r="V153" s="48">
        <v>0</v>
      </c>
      <c r="W153" s="52">
        <v>0</v>
      </c>
      <c r="X153" s="52">
        <v>0</v>
      </c>
      <c r="Y153" s="87">
        <v>4011.4799199999998</v>
      </c>
      <c r="Z153" s="52">
        <v>1720.5032000000001</v>
      </c>
      <c r="AA153" s="52">
        <v>2290.9767199999997</v>
      </c>
    </row>
    <row r="154" spans="1:27" ht="12" customHeight="1" x14ac:dyDescent="0.25">
      <c r="A154" s="55">
        <v>2015</v>
      </c>
      <c r="B154" s="55" t="s">
        <v>7</v>
      </c>
      <c r="C154" s="57">
        <v>0</v>
      </c>
      <c r="D154" s="78">
        <v>0</v>
      </c>
      <c r="E154" s="78">
        <v>0</v>
      </c>
      <c r="F154" s="82">
        <v>1048.6598299999998</v>
      </c>
      <c r="G154" s="78">
        <v>0</v>
      </c>
      <c r="H154" s="78">
        <v>1048.6598299999998</v>
      </c>
      <c r="I154" s="48">
        <v>0</v>
      </c>
      <c r="J154" s="82">
        <v>2646.8175700000002</v>
      </c>
      <c r="K154" s="78">
        <v>921.40142000000003</v>
      </c>
      <c r="L154" s="78">
        <v>1725.41615</v>
      </c>
      <c r="M154" s="82">
        <v>0</v>
      </c>
      <c r="N154" s="78">
        <v>0</v>
      </c>
      <c r="O154" s="79">
        <v>0</v>
      </c>
      <c r="P154" s="82">
        <v>0</v>
      </c>
      <c r="Q154" s="78">
        <v>0</v>
      </c>
      <c r="R154" s="52">
        <v>0</v>
      </c>
      <c r="S154" s="48"/>
      <c r="T154" s="78"/>
      <c r="U154" s="52">
        <v>0</v>
      </c>
      <c r="V154" s="48">
        <v>0</v>
      </c>
      <c r="W154" s="52">
        <v>0</v>
      </c>
      <c r="X154" s="52">
        <v>0</v>
      </c>
      <c r="Y154" s="87">
        <v>3695.4773999999998</v>
      </c>
      <c r="Z154" s="52">
        <v>921.40142000000003</v>
      </c>
      <c r="AA154" s="52">
        <v>2774.0759799999996</v>
      </c>
    </row>
    <row r="155" spans="1:27" ht="12" customHeight="1" x14ac:dyDescent="0.25">
      <c r="A155" s="55">
        <v>2015</v>
      </c>
      <c r="B155" s="55" t="s">
        <v>8</v>
      </c>
      <c r="C155" s="57">
        <v>0</v>
      </c>
      <c r="D155" s="78">
        <v>0</v>
      </c>
      <c r="E155" s="78">
        <v>0</v>
      </c>
      <c r="F155" s="82">
        <v>973.11610000000007</v>
      </c>
      <c r="G155" s="78">
        <v>0</v>
      </c>
      <c r="H155" s="78">
        <v>973.11610000000007</v>
      </c>
      <c r="I155" s="48">
        <v>0</v>
      </c>
      <c r="J155" s="82">
        <v>1238.08728</v>
      </c>
      <c r="K155" s="78">
        <v>0</v>
      </c>
      <c r="L155" s="78">
        <v>1238.08728</v>
      </c>
      <c r="M155" s="82">
        <v>0</v>
      </c>
      <c r="N155" s="78">
        <v>0</v>
      </c>
      <c r="O155" s="79">
        <v>0</v>
      </c>
      <c r="P155" s="82">
        <v>0</v>
      </c>
      <c r="Q155" s="78">
        <v>0</v>
      </c>
      <c r="R155" s="52">
        <v>0</v>
      </c>
      <c r="S155" s="48"/>
      <c r="T155" s="78"/>
      <c r="U155" s="52">
        <v>0</v>
      </c>
      <c r="V155" s="48">
        <v>0</v>
      </c>
      <c r="W155" s="52">
        <v>0</v>
      </c>
      <c r="X155" s="52">
        <v>0</v>
      </c>
      <c r="Y155" s="87">
        <v>2211.2033799999999</v>
      </c>
      <c r="Z155" s="52">
        <v>0</v>
      </c>
      <c r="AA155" s="52">
        <v>2211.2033799999999</v>
      </c>
    </row>
    <row r="156" spans="1:27" ht="12" customHeight="1" x14ac:dyDescent="0.25">
      <c r="A156" s="55">
        <v>2015</v>
      </c>
      <c r="B156" s="55" t="s">
        <v>9</v>
      </c>
      <c r="C156" s="57">
        <v>0</v>
      </c>
      <c r="D156" s="78">
        <v>0</v>
      </c>
      <c r="E156" s="78">
        <v>0</v>
      </c>
      <c r="F156" s="82">
        <v>1247.3772200000005</v>
      </c>
      <c r="G156" s="78">
        <v>0</v>
      </c>
      <c r="H156" s="78">
        <v>1247.3772200000005</v>
      </c>
      <c r="I156" s="48">
        <v>0</v>
      </c>
      <c r="J156" s="82">
        <v>2453.6515399999998</v>
      </c>
      <c r="K156" s="78">
        <v>973.95110999999997</v>
      </c>
      <c r="L156" s="78">
        <v>1479.7004299999999</v>
      </c>
      <c r="M156" s="82">
        <v>0</v>
      </c>
      <c r="N156" s="78">
        <v>0</v>
      </c>
      <c r="O156" s="79">
        <v>0</v>
      </c>
      <c r="P156" s="82">
        <v>0</v>
      </c>
      <c r="Q156" s="78">
        <v>0</v>
      </c>
      <c r="R156" s="52">
        <v>0</v>
      </c>
      <c r="S156" s="48"/>
      <c r="T156" s="78"/>
      <c r="U156" s="52">
        <v>0</v>
      </c>
      <c r="V156" s="48">
        <v>0</v>
      </c>
      <c r="W156" s="52">
        <v>0</v>
      </c>
      <c r="X156" s="52">
        <v>0</v>
      </c>
      <c r="Y156" s="87">
        <v>3701.0287600000001</v>
      </c>
      <c r="Z156" s="52">
        <v>973.95110999999997</v>
      </c>
      <c r="AA156" s="52">
        <v>2727.0776500000002</v>
      </c>
    </row>
    <row r="157" spans="1:27" ht="12" customHeight="1" x14ac:dyDescent="0.25">
      <c r="A157" s="55">
        <v>2015</v>
      </c>
      <c r="B157" s="55" t="s">
        <v>10</v>
      </c>
      <c r="C157" s="57">
        <v>0</v>
      </c>
      <c r="D157" s="78">
        <v>0</v>
      </c>
      <c r="E157" s="78">
        <v>0</v>
      </c>
      <c r="F157" s="82">
        <v>1233.1011400000002</v>
      </c>
      <c r="G157" s="78">
        <v>0</v>
      </c>
      <c r="H157" s="78">
        <v>1233.1011400000002</v>
      </c>
      <c r="I157" s="48">
        <v>0</v>
      </c>
      <c r="J157" s="82">
        <v>1660.8210800000002</v>
      </c>
      <c r="K157" s="78">
        <v>0</v>
      </c>
      <c r="L157" s="78">
        <v>1660.8210800000002</v>
      </c>
      <c r="M157" s="82">
        <v>0</v>
      </c>
      <c r="N157" s="78">
        <v>0</v>
      </c>
      <c r="O157" s="79">
        <v>0</v>
      </c>
      <c r="P157" s="82">
        <v>0</v>
      </c>
      <c r="Q157" s="78">
        <v>0</v>
      </c>
      <c r="R157" s="52">
        <v>0</v>
      </c>
      <c r="S157" s="48"/>
      <c r="T157" s="78"/>
      <c r="U157" s="52">
        <v>0</v>
      </c>
      <c r="V157" s="48">
        <v>0</v>
      </c>
      <c r="W157" s="52">
        <v>0</v>
      </c>
      <c r="X157" s="52">
        <v>0</v>
      </c>
      <c r="Y157" s="87">
        <v>2893.9222200000004</v>
      </c>
      <c r="Z157" s="52">
        <v>0</v>
      </c>
      <c r="AA157" s="52">
        <v>2893.9222200000004</v>
      </c>
    </row>
    <row r="158" spans="1:27" ht="12" customHeight="1" x14ac:dyDescent="0.25">
      <c r="A158" s="55">
        <v>2015</v>
      </c>
      <c r="B158" s="55" t="s">
        <v>11</v>
      </c>
      <c r="C158" s="57">
        <v>0</v>
      </c>
      <c r="D158" s="78">
        <v>0</v>
      </c>
      <c r="E158" s="78">
        <v>0</v>
      </c>
      <c r="F158" s="82">
        <v>1101.71803</v>
      </c>
      <c r="G158" s="78">
        <v>0</v>
      </c>
      <c r="H158" s="78">
        <v>1101.71803</v>
      </c>
      <c r="I158" s="48">
        <v>0</v>
      </c>
      <c r="J158" s="82">
        <v>2765.4960300000002</v>
      </c>
      <c r="K158" s="78">
        <v>1064.3903</v>
      </c>
      <c r="L158" s="78">
        <v>1701.10573</v>
      </c>
      <c r="M158" s="82">
        <v>0</v>
      </c>
      <c r="N158" s="78">
        <v>0</v>
      </c>
      <c r="O158" s="79">
        <v>0</v>
      </c>
      <c r="P158" s="82">
        <v>0</v>
      </c>
      <c r="Q158" s="78">
        <v>0</v>
      </c>
      <c r="R158" s="52">
        <v>0</v>
      </c>
      <c r="S158" s="48"/>
      <c r="T158" s="78"/>
      <c r="U158" s="52">
        <v>0</v>
      </c>
      <c r="V158" s="48">
        <v>0</v>
      </c>
      <c r="W158" s="52">
        <v>0</v>
      </c>
      <c r="X158" s="52">
        <v>0</v>
      </c>
      <c r="Y158" s="87">
        <v>3867.2140600000002</v>
      </c>
      <c r="Z158" s="52">
        <v>1064.3903</v>
      </c>
      <c r="AA158" s="52">
        <v>2802.8237600000002</v>
      </c>
    </row>
    <row r="159" spans="1:27" ht="12" customHeight="1" x14ac:dyDescent="0.25">
      <c r="A159" s="55">
        <v>2015</v>
      </c>
      <c r="B159" s="55" t="s">
        <v>12</v>
      </c>
      <c r="C159" s="57">
        <v>0</v>
      </c>
      <c r="D159" s="78">
        <v>0</v>
      </c>
      <c r="E159" s="78">
        <v>0</v>
      </c>
      <c r="F159" s="82">
        <v>815.39774</v>
      </c>
      <c r="G159" s="78">
        <v>0</v>
      </c>
      <c r="H159" s="78">
        <v>815.39774</v>
      </c>
      <c r="I159" s="48">
        <v>0</v>
      </c>
      <c r="J159" s="82">
        <v>2346.3617400000003</v>
      </c>
      <c r="K159" s="78">
        <v>909.59516000000008</v>
      </c>
      <c r="L159" s="78">
        <v>1436.76658</v>
      </c>
      <c r="M159" s="82">
        <v>0</v>
      </c>
      <c r="N159" s="78">
        <v>0</v>
      </c>
      <c r="O159" s="79">
        <v>0</v>
      </c>
      <c r="P159" s="82">
        <v>4.8509700000000002</v>
      </c>
      <c r="Q159" s="78">
        <v>0</v>
      </c>
      <c r="R159" s="52">
        <v>4.8509700000000002</v>
      </c>
      <c r="S159" s="48"/>
      <c r="T159" s="78"/>
      <c r="U159" s="52">
        <v>0</v>
      </c>
      <c r="V159" s="48">
        <v>0</v>
      </c>
      <c r="W159" s="52">
        <v>0</v>
      </c>
      <c r="X159" s="52">
        <v>0</v>
      </c>
      <c r="Y159" s="87">
        <v>3166.6104500000001</v>
      </c>
      <c r="Z159" s="52">
        <v>909.59516000000008</v>
      </c>
      <c r="AA159" s="52">
        <v>2257.0152899999998</v>
      </c>
    </row>
    <row r="160" spans="1:27" ht="12" customHeight="1" x14ac:dyDescent="0.25">
      <c r="A160" s="55">
        <v>2015</v>
      </c>
      <c r="B160" s="55" t="s">
        <v>13</v>
      </c>
      <c r="C160" s="57">
        <v>0</v>
      </c>
      <c r="D160" s="78">
        <v>0</v>
      </c>
      <c r="E160" s="78">
        <v>0</v>
      </c>
      <c r="F160" s="82">
        <v>941.76624000000004</v>
      </c>
      <c r="G160" s="78">
        <v>0</v>
      </c>
      <c r="H160" s="78">
        <v>941.76624000000004</v>
      </c>
      <c r="I160" s="48">
        <v>0</v>
      </c>
      <c r="J160" s="82">
        <v>2440.1789800000001</v>
      </c>
      <c r="K160" s="78">
        <v>0</v>
      </c>
      <c r="L160" s="78">
        <v>2440.1789800000001</v>
      </c>
      <c r="M160" s="82">
        <v>0</v>
      </c>
      <c r="N160" s="78">
        <v>0</v>
      </c>
      <c r="O160" s="79">
        <v>0</v>
      </c>
      <c r="P160" s="82">
        <v>0</v>
      </c>
      <c r="Q160" s="78">
        <v>0</v>
      </c>
      <c r="R160" s="52">
        <v>0</v>
      </c>
      <c r="S160" s="48"/>
      <c r="T160" s="78"/>
      <c r="U160" s="52">
        <v>0</v>
      </c>
      <c r="V160" s="48">
        <v>0</v>
      </c>
      <c r="W160" s="52">
        <v>0</v>
      </c>
      <c r="X160" s="52">
        <v>0</v>
      </c>
      <c r="Y160" s="87">
        <v>3381.9452200000001</v>
      </c>
      <c r="Z160" s="52">
        <v>0</v>
      </c>
      <c r="AA160" s="52">
        <v>3381.9452200000001</v>
      </c>
    </row>
    <row r="161" spans="1:27" ht="12" customHeight="1" x14ac:dyDescent="0.25">
      <c r="A161" s="55">
        <v>2015</v>
      </c>
      <c r="B161" s="55" t="s">
        <v>14</v>
      </c>
      <c r="C161" s="57">
        <v>0</v>
      </c>
      <c r="D161" s="78">
        <v>0</v>
      </c>
      <c r="E161" s="78">
        <v>0</v>
      </c>
      <c r="F161" s="82">
        <v>884.49610999999993</v>
      </c>
      <c r="G161" s="78">
        <v>0</v>
      </c>
      <c r="H161" s="78">
        <v>884.49610999999993</v>
      </c>
      <c r="I161" s="48">
        <v>0</v>
      </c>
      <c r="J161" s="82">
        <v>3206.7826400000004</v>
      </c>
      <c r="K161" s="78">
        <v>0</v>
      </c>
      <c r="L161" s="78">
        <v>3206.7826400000004</v>
      </c>
      <c r="M161" s="82">
        <v>0</v>
      </c>
      <c r="N161" s="78">
        <v>0</v>
      </c>
      <c r="O161" s="79">
        <v>0</v>
      </c>
      <c r="P161" s="82">
        <v>0</v>
      </c>
      <c r="Q161" s="78">
        <v>0</v>
      </c>
      <c r="R161" s="52">
        <v>0</v>
      </c>
      <c r="S161" s="48"/>
      <c r="T161" s="78"/>
      <c r="U161" s="52">
        <v>0</v>
      </c>
      <c r="V161" s="48">
        <v>0</v>
      </c>
      <c r="W161" s="52">
        <v>0</v>
      </c>
      <c r="X161" s="52">
        <v>0</v>
      </c>
      <c r="Y161" s="87">
        <v>4091.2787500000004</v>
      </c>
      <c r="Z161" s="52">
        <v>0</v>
      </c>
      <c r="AA161" s="52">
        <v>4091.2787500000004</v>
      </c>
    </row>
    <row r="162" spans="1:27" ht="12" customHeight="1" x14ac:dyDescent="0.25">
      <c r="A162" s="55">
        <v>2015</v>
      </c>
      <c r="B162" s="55" t="s">
        <v>15</v>
      </c>
      <c r="C162" s="57">
        <v>0</v>
      </c>
      <c r="D162" s="78">
        <v>0</v>
      </c>
      <c r="E162" s="78">
        <v>0</v>
      </c>
      <c r="F162" s="82">
        <v>12751.602020000002</v>
      </c>
      <c r="G162" s="78">
        <v>0</v>
      </c>
      <c r="H162" s="78">
        <v>12751.602020000002</v>
      </c>
      <c r="I162" s="48">
        <v>0</v>
      </c>
      <c r="J162" s="82">
        <v>32130.395620000003</v>
      </c>
      <c r="K162" s="78">
        <v>7983.9116599999998</v>
      </c>
      <c r="L162" s="78">
        <v>24146.483960000001</v>
      </c>
      <c r="M162" s="82">
        <v>0</v>
      </c>
      <c r="N162" s="78">
        <v>0</v>
      </c>
      <c r="O162" s="79">
        <v>0</v>
      </c>
      <c r="P162" s="82">
        <v>4.8509700000000002</v>
      </c>
      <c r="Q162" s="78">
        <v>0</v>
      </c>
      <c r="R162" s="52">
        <v>4.8509700000000002</v>
      </c>
      <c r="S162" s="48"/>
      <c r="T162" s="78"/>
      <c r="U162" s="52">
        <v>0</v>
      </c>
      <c r="V162" s="48">
        <v>0</v>
      </c>
      <c r="W162" s="52">
        <v>0</v>
      </c>
      <c r="X162" s="52">
        <v>0</v>
      </c>
      <c r="Y162" s="87">
        <v>44886.848610000001</v>
      </c>
      <c r="Z162" s="52">
        <v>7983.9116599999998</v>
      </c>
      <c r="AA162" s="52">
        <v>36902.936949999996</v>
      </c>
    </row>
    <row r="163" spans="1:27" ht="12" customHeight="1" x14ac:dyDescent="0.25">
      <c r="A163" s="55">
        <v>2016</v>
      </c>
      <c r="B163" s="55" t="s">
        <v>3</v>
      </c>
      <c r="C163" s="57">
        <v>0</v>
      </c>
      <c r="D163" s="78">
        <v>0</v>
      </c>
      <c r="E163" s="78">
        <v>0</v>
      </c>
      <c r="F163" s="82">
        <v>950.22776999999996</v>
      </c>
      <c r="G163" s="78">
        <v>0</v>
      </c>
      <c r="H163" s="78">
        <v>950.22776999999996</v>
      </c>
      <c r="I163" s="48">
        <v>0</v>
      </c>
      <c r="J163" s="82">
        <v>4346.5855000000001</v>
      </c>
      <c r="K163" s="78">
        <v>914.77359000000001</v>
      </c>
      <c r="L163" s="78">
        <v>3431.8119100000004</v>
      </c>
      <c r="M163" s="82">
        <v>0</v>
      </c>
      <c r="N163" s="78">
        <v>0</v>
      </c>
      <c r="O163" s="79">
        <v>0</v>
      </c>
      <c r="P163" s="82">
        <v>0</v>
      </c>
      <c r="Q163" s="78">
        <v>0</v>
      </c>
      <c r="R163" s="52">
        <v>0</v>
      </c>
      <c r="S163" s="48"/>
      <c r="T163" s="78"/>
      <c r="U163" s="52">
        <v>0</v>
      </c>
      <c r="V163" s="48">
        <v>0</v>
      </c>
      <c r="W163" s="52">
        <v>0</v>
      </c>
      <c r="X163" s="52">
        <v>0</v>
      </c>
      <c r="Y163" s="87">
        <v>5296.8132699999996</v>
      </c>
      <c r="Z163" s="52">
        <v>914.77359000000001</v>
      </c>
      <c r="AA163" s="52">
        <v>4382.0396799999999</v>
      </c>
    </row>
    <row r="164" spans="1:27" ht="12" customHeight="1" x14ac:dyDescent="0.25">
      <c r="A164" s="55">
        <v>2016</v>
      </c>
      <c r="B164" s="55" t="s">
        <v>4</v>
      </c>
      <c r="C164" s="57">
        <v>0</v>
      </c>
      <c r="D164" s="78">
        <v>0</v>
      </c>
      <c r="E164" s="78">
        <v>0</v>
      </c>
      <c r="F164" s="82">
        <v>845.91464999999982</v>
      </c>
      <c r="G164" s="78">
        <v>0.27785000000000004</v>
      </c>
      <c r="H164" s="78">
        <v>845.63679999999988</v>
      </c>
      <c r="I164" s="48">
        <v>0</v>
      </c>
      <c r="J164" s="82">
        <v>3342.7527</v>
      </c>
      <c r="K164" s="78">
        <v>947.29968000000008</v>
      </c>
      <c r="L164" s="78">
        <v>2395.4530199999999</v>
      </c>
      <c r="M164" s="82">
        <v>0</v>
      </c>
      <c r="N164" s="78">
        <v>0</v>
      </c>
      <c r="O164" s="79">
        <v>0</v>
      </c>
      <c r="P164" s="82">
        <v>0</v>
      </c>
      <c r="Q164" s="78">
        <v>0</v>
      </c>
      <c r="R164" s="52">
        <v>0</v>
      </c>
      <c r="S164" s="48"/>
      <c r="T164" s="78"/>
      <c r="U164" s="52">
        <v>0</v>
      </c>
      <c r="V164" s="48">
        <v>0</v>
      </c>
      <c r="W164" s="52">
        <v>0</v>
      </c>
      <c r="X164" s="52">
        <v>0</v>
      </c>
      <c r="Y164" s="87">
        <v>4188.6673499999997</v>
      </c>
      <c r="Z164" s="52">
        <v>947.57753000000002</v>
      </c>
      <c r="AA164" s="52">
        <v>3241.0898199999997</v>
      </c>
    </row>
    <row r="165" spans="1:27" ht="12" customHeight="1" x14ac:dyDescent="0.25">
      <c r="A165" s="55">
        <v>2016</v>
      </c>
      <c r="B165" s="55" t="s">
        <v>5</v>
      </c>
      <c r="C165" s="57">
        <v>0</v>
      </c>
      <c r="D165" s="78">
        <v>0</v>
      </c>
      <c r="E165" s="78">
        <v>0</v>
      </c>
      <c r="F165" s="82">
        <v>1032.38066</v>
      </c>
      <c r="G165" s="78">
        <v>0.29424</v>
      </c>
      <c r="H165" s="78">
        <v>1032.0864200000001</v>
      </c>
      <c r="I165" s="48">
        <v>0</v>
      </c>
      <c r="J165" s="82">
        <v>4039.3950800000002</v>
      </c>
      <c r="K165" s="78">
        <v>910.39949999999999</v>
      </c>
      <c r="L165" s="78">
        <v>3128.9955800000002</v>
      </c>
      <c r="M165" s="82">
        <v>0</v>
      </c>
      <c r="N165" s="78">
        <v>0</v>
      </c>
      <c r="O165" s="79">
        <v>0</v>
      </c>
      <c r="P165" s="82">
        <v>0</v>
      </c>
      <c r="Q165" s="78">
        <v>0</v>
      </c>
      <c r="R165" s="52">
        <v>0</v>
      </c>
      <c r="S165" s="48"/>
      <c r="T165" s="78"/>
      <c r="U165" s="52">
        <v>0</v>
      </c>
      <c r="V165" s="48">
        <v>0</v>
      </c>
      <c r="W165" s="52">
        <v>0</v>
      </c>
      <c r="X165" s="52">
        <v>0</v>
      </c>
      <c r="Y165" s="87">
        <v>5071.77574</v>
      </c>
      <c r="Z165" s="52">
        <v>910.69373999999993</v>
      </c>
      <c r="AA165" s="52">
        <v>4161.0820000000003</v>
      </c>
    </row>
    <row r="166" spans="1:27" ht="12" customHeight="1" x14ac:dyDescent="0.25">
      <c r="A166" s="55">
        <v>2016</v>
      </c>
      <c r="B166" s="55" t="s">
        <v>6</v>
      </c>
      <c r="C166" s="57">
        <v>0</v>
      </c>
      <c r="D166" s="78">
        <v>0</v>
      </c>
      <c r="E166" s="78">
        <v>0</v>
      </c>
      <c r="F166" s="82">
        <v>636.33329000000003</v>
      </c>
      <c r="G166" s="78">
        <v>0</v>
      </c>
      <c r="H166" s="78">
        <v>636.33329000000003</v>
      </c>
      <c r="I166" s="48">
        <v>0</v>
      </c>
      <c r="J166" s="82">
        <v>2085.0502999999999</v>
      </c>
      <c r="K166" s="78">
        <v>0</v>
      </c>
      <c r="L166" s="78">
        <v>2085.0502999999999</v>
      </c>
      <c r="M166" s="82">
        <v>0</v>
      </c>
      <c r="N166" s="78">
        <v>0</v>
      </c>
      <c r="O166" s="79">
        <v>0</v>
      </c>
      <c r="P166" s="82">
        <v>0</v>
      </c>
      <c r="Q166" s="78">
        <v>0</v>
      </c>
      <c r="R166" s="52">
        <v>0</v>
      </c>
      <c r="S166" s="48"/>
      <c r="T166" s="78"/>
      <c r="U166" s="52">
        <v>0</v>
      </c>
      <c r="V166" s="48">
        <v>0</v>
      </c>
      <c r="W166" s="52">
        <v>0</v>
      </c>
      <c r="X166" s="52">
        <v>0</v>
      </c>
      <c r="Y166" s="87">
        <v>2721.3835899999999</v>
      </c>
      <c r="Z166" s="52">
        <v>0</v>
      </c>
      <c r="AA166" s="52">
        <v>2721.3835899999999</v>
      </c>
    </row>
    <row r="167" spans="1:27" ht="12" customHeight="1" x14ac:dyDescent="0.25">
      <c r="A167" s="55">
        <v>2016</v>
      </c>
      <c r="B167" s="55" t="s">
        <v>7</v>
      </c>
      <c r="C167" s="57">
        <v>0</v>
      </c>
      <c r="D167" s="78">
        <v>0</v>
      </c>
      <c r="E167" s="78">
        <v>0</v>
      </c>
      <c r="F167" s="82">
        <v>248.15558000000001</v>
      </c>
      <c r="G167" s="78">
        <v>0</v>
      </c>
      <c r="H167" s="78">
        <v>248.15558000000001</v>
      </c>
      <c r="I167" s="48">
        <v>0</v>
      </c>
      <c r="J167" s="82">
        <v>1876.13318</v>
      </c>
      <c r="K167" s="78">
        <v>0</v>
      </c>
      <c r="L167" s="78">
        <v>1876.13318</v>
      </c>
      <c r="M167" s="82">
        <v>0</v>
      </c>
      <c r="N167" s="78">
        <v>0</v>
      </c>
      <c r="O167" s="79">
        <v>0</v>
      </c>
      <c r="P167" s="82">
        <v>0</v>
      </c>
      <c r="Q167" s="78">
        <v>0</v>
      </c>
      <c r="R167" s="52">
        <v>0</v>
      </c>
      <c r="S167" s="48"/>
      <c r="T167" s="78"/>
      <c r="U167" s="52">
        <v>0</v>
      </c>
      <c r="V167" s="48">
        <v>0</v>
      </c>
      <c r="W167" s="52">
        <v>0</v>
      </c>
      <c r="X167" s="52">
        <v>0</v>
      </c>
      <c r="Y167" s="87">
        <v>2124.2887599999999</v>
      </c>
      <c r="Z167" s="52">
        <v>0</v>
      </c>
      <c r="AA167" s="52">
        <v>2124.2887599999999</v>
      </c>
    </row>
    <row r="168" spans="1:27" ht="12" customHeight="1" x14ac:dyDescent="0.25">
      <c r="A168" s="55">
        <v>2016</v>
      </c>
      <c r="B168" s="55" t="s">
        <v>8</v>
      </c>
      <c r="C168" s="57">
        <v>0</v>
      </c>
      <c r="D168" s="78">
        <v>0</v>
      </c>
      <c r="E168" s="78">
        <v>0</v>
      </c>
      <c r="F168" s="82">
        <v>204.36813000000001</v>
      </c>
      <c r="G168" s="78">
        <v>0</v>
      </c>
      <c r="H168" s="78">
        <v>204.36813000000001</v>
      </c>
      <c r="I168" s="48">
        <v>0</v>
      </c>
      <c r="J168" s="82">
        <v>2642.7719299999999</v>
      </c>
      <c r="K168" s="78">
        <v>944.65755000000001</v>
      </c>
      <c r="L168" s="78">
        <v>1698.11438</v>
      </c>
      <c r="M168" s="82">
        <v>0</v>
      </c>
      <c r="N168" s="78">
        <v>0</v>
      </c>
      <c r="O168" s="79">
        <v>0</v>
      </c>
      <c r="P168" s="82">
        <v>0</v>
      </c>
      <c r="Q168" s="78">
        <v>0</v>
      </c>
      <c r="R168" s="52">
        <v>0</v>
      </c>
      <c r="S168" s="48"/>
      <c r="T168" s="78"/>
      <c r="U168" s="52">
        <v>0</v>
      </c>
      <c r="V168" s="48">
        <v>0</v>
      </c>
      <c r="W168" s="52">
        <v>0</v>
      </c>
      <c r="X168" s="52">
        <v>0</v>
      </c>
      <c r="Y168" s="87">
        <v>2847.1400600000002</v>
      </c>
      <c r="Z168" s="52">
        <v>944.65755000000001</v>
      </c>
      <c r="AA168" s="52">
        <v>1902.48251</v>
      </c>
    </row>
    <row r="169" spans="1:27" ht="12" customHeight="1" x14ac:dyDescent="0.25">
      <c r="A169" s="55">
        <v>2016</v>
      </c>
      <c r="B169" s="55" t="s">
        <v>9</v>
      </c>
      <c r="C169" s="57">
        <v>0</v>
      </c>
      <c r="D169" s="78">
        <v>0</v>
      </c>
      <c r="E169" s="78">
        <v>0</v>
      </c>
      <c r="F169" s="82">
        <v>420.89411000000001</v>
      </c>
      <c r="G169" s="78">
        <v>0</v>
      </c>
      <c r="H169" s="78">
        <v>420.89411000000001</v>
      </c>
      <c r="I169" s="48">
        <v>0</v>
      </c>
      <c r="J169" s="82">
        <v>2748.0304599999999</v>
      </c>
      <c r="K169" s="78">
        <v>917.57065</v>
      </c>
      <c r="L169" s="78">
        <v>1830.4598100000001</v>
      </c>
      <c r="M169" s="82">
        <v>0</v>
      </c>
      <c r="N169" s="78">
        <v>0</v>
      </c>
      <c r="O169" s="79">
        <v>0</v>
      </c>
      <c r="P169" s="82">
        <v>0</v>
      </c>
      <c r="Q169" s="78">
        <v>0</v>
      </c>
      <c r="R169" s="52">
        <v>0</v>
      </c>
      <c r="S169" s="48"/>
      <c r="T169" s="78"/>
      <c r="U169" s="52">
        <v>0</v>
      </c>
      <c r="V169" s="48">
        <v>0</v>
      </c>
      <c r="W169" s="52">
        <v>0</v>
      </c>
      <c r="X169" s="52">
        <v>0</v>
      </c>
      <c r="Y169" s="87">
        <v>3168.9245700000001</v>
      </c>
      <c r="Z169" s="52">
        <v>917.57065</v>
      </c>
      <c r="AA169" s="52">
        <v>2251.35392</v>
      </c>
    </row>
    <row r="170" spans="1:27" ht="12" customHeight="1" x14ac:dyDescent="0.25">
      <c r="A170" s="55">
        <v>2016</v>
      </c>
      <c r="B170" s="55" t="s">
        <v>10</v>
      </c>
      <c r="C170" s="57">
        <v>0</v>
      </c>
      <c r="D170" s="78">
        <v>0</v>
      </c>
      <c r="E170" s="78">
        <v>0</v>
      </c>
      <c r="F170" s="82">
        <v>246.79199</v>
      </c>
      <c r="G170" s="78">
        <v>0</v>
      </c>
      <c r="H170" s="78">
        <v>246.79199</v>
      </c>
      <c r="I170" s="48">
        <v>0</v>
      </c>
      <c r="J170" s="82">
        <v>2696.8763099999996</v>
      </c>
      <c r="K170" s="78">
        <v>343.41203000000002</v>
      </c>
      <c r="L170" s="78">
        <v>2353.4642799999997</v>
      </c>
      <c r="M170" s="82">
        <v>0</v>
      </c>
      <c r="N170" s="78">
        <v>0</v>
      </c>
      <c r="O170" s="79">
        <v>0</v>
      </c>
      <c r="P170" s="82">
        <v>0</v>
      </c>
      <c r="Q170" s="78">
        <v>0</v>
      </c>
      <c r="R170" s="52">
        <v>0</v>
      </c>
      <c r="S170" s="48"/>
      <c r="T170" s="78"/>
      <c r="U170" s="52">
        <v>0</v>
      </c>
      <c r="V170" s="48">
        <v>0</v>
      </c>
      <c r="W170" s="52">
        <v>0</v>
      </c>
      <c r="X170" s="52">
        <v>0</v>
      </c>
      <c r="Y170" s="87">
        <v>2943.6682999999998</v>
      </c>
      <c r="Z170" s="52">
        <v>343.41203000000002</v>
      </c>
      <c r="AA170" s="52">
        <v>2600.2562699999999</v>
      </c>
    </row>
    <row r="171" spans="1:27" ht="12" customHeight="1" x14ac:dyDescent="0.25">
      <c r="A171" s="55">
        <v>2016</v>
      </c>
      <c r="B171" s="55" t="s">
        <v>11</v>
      </c>
      <c r="C171" s="57">
        <v>0</v>
      </c>
      <c r="D171" s="78">
        <v>0</v>
      </c>
      <c r="E171" s="78">
        <v>0</v>
      </c>
      <c r="F171" s="82">
        <v>649.07855999999992</v>
      </c>
      <c r="G171" s="78">
        <v>0</v>
      </c>
      <c r="H171" s="78">
        <v>649.07855999999992</v>
      </c>
      <c r="I171" s="48">
        <v>0</v>
      </c>
      <c r="J171" s="82">
        <v>3569.3180300000004</v>
      </c>
      <c r="K171" s="78">
        <v>912.93909999999994</v>
      </c>
      <c r="L171" s="78">
        <v>2656.3789300000003</v>
      </c>
      <c r="M171" s="82">
        <v>0</v>
      </c>
      <c r="N171" s="78">
        <v>0</v>
      </c>
      <c r="O171" s="79">
        <v>0</v>
      </c>
      <c r="P171" s="82">
        <v>0</v>
      </c>
      <c r="Q171" s="78">
        <v>0</v>
      </c>
      <c r="R171" s="52">
        <v>0</v>
      </c>
      <c r="S171" s="48"/>
      <c r="T171" s="78"/>
      <c r="U171" s="52">
        <v>0</v>
      </c>
      <c r="V171" s="48">
        <v>0</v>
      </c>
      <c r="W171" s="52">
        <v>0</v>
      </c>
      <c r="X171" s="52">
        <v>0</v>
      </c>
      <c r="Y171" s="87">
        <v>4218.3965900000003</v>
      </c>
      <c r="Z171" s="52">
        <v>912.93909999999994</v>
      </c>
      <c r="AA171" s="52">
        <v>3305.4574900000002</v>
      </c>
    </row>
    <row r="172" spans="1:27" ht="12" customHeight="1" x14ac:dyDescent="0.25">
      <c r="A172" s="55">
        <v>2016</v>
      </c>
      <c r="B172" s="55" t="s">
        <v>12</v>
      </c>
      <c r="C172" s="57">
        <v>0</v>
      </c>
      <c r="D172" s="78">
        <v>0</v>
      </c>
      <c r="E172" s="78">
        <v>0</v>
      </c>
      <c r="F172" s="82">
        <v>759.23289</v>
      </c>
      <c r="G172" s="78">
        <v>0</v>
      </c>
      <c r="H172" s="78">
        <v>759.23289</v>
      </c>
      <c r="I172" s="48">
        <v>0</v>
      </c>
      <c r="J172" s="82">
        <v>3682.4102499999999</v>
      </c>
      <c r="K172" s="78">
        <v>938.16112999999996</v>
      </c>
      <c r="L172" s="78">
        <v>2744.2491199999999</v>
      </c>
      <c r="M172" s="82">
        <v>0</v>
      </c>
      <c r="N172" s="78">
        <v>0</v>
      </c>
      <c r="O172" s="79">
        <v>0</v>
      </c>
      <c r="P172" s="82">
        <v>0</v>
      </c>
      <c r="Q172" s="78">
        <v>0</v>
      </c>
      <c r="R172" s="52">
        <v>0</v>
      </c>
      <c r="S172" s="48"/>
      <c r="T172" s="78"/>
      <c r="U172" s="52">
        <v>0</v>
      </c>
      <c r="V172" s="48">
        <v>0</v>
      </c>
      <c r="W172" s="52">
        <v>0</v>
      </c>
      <c r="X172" s="52">
        <v>0</v>
      </c>
      <c r="Y172" s="87">
        <v>4441.6431400000001</v>
      </c>
      <c r="Z172" s="52">
        <v>938.16112999999996</v>
      </c>
      <c r="AA172" s="52">
        <v>3503.4820099999997</v>
      </c>
    </row>
    <row r="173" spans="1:27" ht="12" customHeight="1" x14ac:dyDescent="0.25">
      <c r="A173" s="55">
        <v>2016</v>
      </c>
      <c r="B173" s="55" t="s">
        <v>13</v>
      </c>
      <c r="C173" s="57">
        <v>0</v>
      </c>
      <c r="D173" s="78">
        <v>0</v>
      </c>
      <c r="E173" s="78">
        <v>0</v>
      </c>
      <c r="F173" s="82">
        <v>770.77230000000009</v>
      </c>
      <c r="G173" s="78">
        <v>0</v>
      </c>
      <c r="H173" s="78">
        <v>770.77230000000009</v>
      </c>
      <c r="I173" s="48">
        <v>0</v>
      </c>
      <c r="J173" s="82">
        <v>3393.3803399999997</v>
      </c>
      <c r="K173" s="78">
        <v>919.93012999999996</v>
      </c>
      <c r="L173" s="78">
        <v>2473.45021</v>
      </c>
      <c r="M173" s="82">
        <v>0</v>
      </c>
      <c r="N173" s="78">
        <v>0</v>
      </c>
      <c r="O173" s="79">
        <v>0</v>
      </c>
      <c r="P173" s="82">
        <v>0</v>
      </c>
      <c r="Q173" s="78">
        <v>0</v>
      </c>
      <c r="R173" s="52">
        <v>0</v>
      </c>
      <c r="S173" s="48"/>
      <c r="T173" s="78"/>
      <c r="U173" s="52">
        <v>0</v>
      </c>
      <c r="V173" s="48">
        <v>0</v>
      </c>
      <c r="W173" s="52">
        <v>0</v>
      </c>
      <c r="X173" s="52">
        <v>0</v>
      </c>
      <c r="Y173" s="87">
        <v>4164.1526400000002</v>
      </c>
      <c r="Z173" s="52">
        <v>919.93012999999996</v>
      </c>
      <c r="AA173" s="52">
        <v>3244.2225100000001</v>
      </c>
    </row>
    <row r="174" spans="1:27" ht="12" customHeight="1" x14ac:dyDescent="0.25">
      <c r="A174" s="55">
        <v>2016</v>
      </c>
      <c r="B174" s="55" t="s">
        <v>14</v>
      </c>
      <c r="C174" s="57">
        <v>0</v>
      </c>
      <c r="D174" s="78">
        <v>0</v>
      </c>
      <c r="E174" s="78">
        <v>0</v>
      </c>
      <c r="F174" s="82">
        <v>1053.6282800000001</v>
      </c>
      <c r="G174" s="78">
        <v>0</v>
      </c>
      <c r="H174" s="78">
        <v>1053.6282800000001</v>
      </c>
      <c r="I174" s="48">
        <v>0</v>
      </c>
      <c r="J174" s="82">
        <v>3992.99352</v>
      </c>
      <c r="K174" s="78">
        <v>918.29697999999996</v>
      </c>
      <c r="L174" s="78">
        <v>3074.6965399999999</v>
      </c>
      <c r="M174" s="82">
        <v>0</v>
      </c>
      <c r="N174" s="78">
        <v>0</v>
      </c>
      <c r="O174" s="79">
        <v>0</v>
      </c>
      <c r="P174" s="82">
        <v>8</v>
      </c>
      <c r="Q174" s="78">
        <v>0</v>
      </c>
      <c r="R174" s="52">
        <v>8</v>
      </c>
      <c r="S174" s="48"/>
      <c r="T174" s="78"/>
      <c r="U174" s="52">
        <v>0</v>
      </c>
      <c r="V174" s="48">
        <v>0</v>
      </c>
      <c r="W174" s="52">
        <v>0</v>
      </c>
      <c r="X174" s="52">
        <v>0</v>
      </c>
      <c r="Y174" s="87">
        <v>5054.6217999999999</v>
      </c>
      <c r="Z174" s="52">
        <v>918.29697999999996</v>
      </c>
      <c r="AA174" s="52">
        <v>4136.3248199999998</v>
      </c>
    </row>
    <row r="175" spans="1:27" ht="12" customHeight="1" x14ac:dyDescent="0.25">
      <c r="A175" s="55">
        <v>2016</v>
      </c>
      <c r="B175" s="55" t="s">
        <v>15</v>
      </c>
      <c r="C175" s="57">
        <v>0</v>
      </c>
      <c r="D175" s="78">
        <v>0</v>
      </c>
      <c r="E175" s="78">
        <v>0</v>
      </c>
      <c r="F175" s="82">
        <v>7817.7782099999995</v>
      </c>
      <c r="G175" s="78">
        <v>0.57208999999999999</v>
      </c>
      <c r="H175" s="78">
        <v>7817.2061199999998</v>
      </c>
      <c r="I175" s="48">
        <v>0</v>
      </c>
      <c r="J175" s="82">
        <v>38415.6976</v>
      </c>
      <c r="K175" s="78">
        <v>8667.4403399999992</v>
      </c>
      <c r="L175" s="78">
        <v>29748.257259999998</v>
      </c>
      <c r="M175" s="82">
        <v>0</v>
      </c>
      <c r="N175" s="78">
        <v>0</v>
      </c>
      <c r="O175" s="79">
        <v>0</v>
      </c>
      <c r="P175" s="82">
        <v>8</v>
      </c>
      <c r="Q175" s="78">
        <v>0</v>
      </c>
      <c r="R175" s="52">
        <v>8</v>
      </c>
      <c r="S175" s="48"/>
      <c r="T175" s="78"/>
      <c r="U175" s="52">
        <v>0</v>
      </c>
      <c r="V175" s="48">
        <v>0</v>
      </c>
      <c r="W175" s="52">
        <v>0</v>
      </c>
      <c r="X175" s="52">
        <v>0</v>
      </c>
      <c r="Y175" s="87">
        <v>46241.475810000004</v>
      </c>
      <c r="Z175" s="52">
        <v>8668.0124299999989</v>
      </c>
      <c r="AA175" s="52">
        <v>37573.463380000001</v>
      </c>
    </row>
    <row r="176" spans="1:27" ht="12" customHeight="1" x14ac:dyDescent="0.25">
      <c r="A176" s="55">
        <v>2017</v>
      </c>
      <c r="B176" s="55" t="s">
        <v>3</v>
      </c>
      <c r="C176" s="57">
        <v>0</v>
      </c>
      <c r="D176" s="78">
        <v>0</v>
      </c>
      <c r="E176" s="78">
        <v>0</v>
      </c>
      <c r="F176" s="82">
        <v>1968.5838399999993</v>
      </c>
      <c r="G176" s="78">
        <v>0</v>
      </c>
      <c r="H176" s="78">
        <v>1968.5838399999993</v>
      </c>
      <c r="I176" s="48">
        <v>0</v>
      </c>
      <c r="J176" s="82">
        <v>3160.4183200000002</v>
      </c>
      <c r="K176" s="78">
        <v>530.86404000000005</v>
      </c>
      <c r="L176" s="78">
        <v>2629.5542800000003</v>
      </c>
      <c r="M176" s="82">
        <v>313.10043000000002</v>
      </c>
      <c r="N176" s="78">
        <v>313.10043000000002</v>
      </c>
      <c r="O176" s="79">
        <v>0</v>
      </c>
      <c r="P176" s="82">
        <v>4.9801000000000002</v>
      </c>
      <c r="Q176" s="78">
        <v>4.9801000000000002</v>
      </c>
      <c r="R176" s="52">
        <v>0</v>
      </c>
      <c r="S176" s="48"/>
      <c r="T176" s="78"/>
      <c r="U176" s="52">
        <v>0</v>
      </c>
      <c r="V176" s="48">
        <v>0</v>
      </c>
      <c r="W176" s="52">
        <v>0</v>
      </c>
      <c r="X176" s="52">
        <v>0</v>
      </c>
      <c r="Y176" s="87">
        <v>5447.0826899999993</v>
      </c>
      <c r="Z176" s="52">
        <v>848.94457000000011</v>
      </c>
      <c r="AA176" s="52">
        <v>4598.1381199999996</v>
      </c>
    </row>
    <row r="177" spans="1:27" ht="12" customHeight="1" x14ac:dyDescent="0.25">
      <c r="A177" s="55">
        <v>2017</v>
      </c>
      <c r="B177" s="55" t="s">
        <v>4</v>
      </c>
      <c r="C177" s="57">
        <v>0</v>
      </c>
      <c r="D177" s="78">
        <v>0</v>
      </c>
      <c r="E177" s="78">
        <v>0</v>
      </c>
      <c r="F177" s="82">
        <v>1072.3587999999993</v>
      </c>
      <c r="G177" s="78">
        <v>0</v>
      </c>
      <c r="H177" s="78">
        <v>1072.3587999999993</v>
      </c>
      <c r="I177" s="48">
        <v>0</v>
      </c>
      <c r="J177" s="82">
        <v>3709.9365600000001</v>
      </c>
      <c r="K177" s="78">
        <v>1819.9141200000001</v>
      </c>
      <c r="L177" s="78">
        <v>1890.02244</v>
      </c>
      <c r="M177" s="82">
        <v>0</v>
      </c>
      <c r="N177" s="78">
        <v>0</v>
      </c>
      <c r="O177" s="79">
        <v>0</v>
      </c>
      <c r="P177" s="82">
        <v>15.489070000000002</v>
      </c>
      <c r="Q177" s="78">
        <v>0.63037999999999994</v>
      </c>
      <c r="R177" s="52">
        <v>14.858690000000001</v>
      </c>
      <c r="S177" s="48"/>
      <c r="T177" s="78"/>
      <c r="U177" s="52">
        <v>0</v>
      </c>
      <c r="V177" s="48">
        <v>0</v>
      </c>
      <c r="W177" s="52">
        <v>0</v>
      </c>
      <c r="X177" s="52">
        <v>0</v>
      </c>
      <c r="Y177" s="87">
        <v>4797.7844299999997</v>
      </c>
      <c r="Z177" s="52">
        <v>1820.5445000000002</v>
      </c>
      <c r="AA177" s="52">
        <v>2977.2399299999993</v>
      </c>
    </row>
    <row r="178" spans="1:27" ht="12" customHeight="1" x14ac:dyDescent="0.25">
      <c r="A178" s="55">
        <v>2017</v>
      </c>
      <c r="B178" s="55" t="s">
        <v>5</v>
      </c>
      <c r="C178" s="57">
        <v>0</v>
      </c>
      <c r="D178" s="78">
        <v>0</v>
      </c>
      <c r="E178" s="78">
        <v>0</v>
      </c>
      <c r="F178" s="82">
        <v>684.91946999999993</v>
      </c>
      <c r="G178" s="78">
        <v>0</v>
      </c>
      <c r="H178" s="78">
        <v>684.91946999999993</v>
      </c>
      <c r="I178" s="48">
        <v>0</v>
      </c>
      <c r="J178" s="82">
        <v>1304.4235399999998</v>
      </c>
      <c r="K178" s="78">
        <v>0</v>
      </c>
      <c r="L178" s="78">
        <v>1304.4235399999998</v>
      </c>
      <c r="M178" s="82">
        <v>0</v>
      </c>
      <c r="N178" s="78">
        <v>0</v>
      </c>
      <c r="O178" s="79">
        <v>0</v>
      </c>
      <c r="P178" s="82">
        <v>0</v>
      </c>
      <c r="Q178" s="78">
        <v>0</v>
      </c>
      <c r="R178" s="52">
        <v>0</v>
      </c>
      <c r="S178" s="48"/>
      <c r="T178" s="78"/>
      <c r="U178" s="52">
        <v>0</v>
      </c>
      <c r="V178" s="48">
        <v>0</v>
      </c>
      <c r="W178" s="52">
        <v>0</v>
      </c>
      <c r="X178" s="52">
        <v>0</v>
      </c>
      <c r="Y178" s="87">
        <v>1989.3430099999996</v>
      </c>
      <c r="Z178" s="52">
        <v>0</v>
      </c>
      <c r="AA178" s="52">
        <v>1989.3430099999996</v>
      </c>
    </row>
    <row r="179" spans="1:27" ht="12" customHeight="1" x14ac:dyDescent="0.25">
      <c r="A179" s="55">
        <v>2017</v>
      </c>
      <c r="B179" s="55" t="s">
        <v>6</v>
      </c>
      <c r="C179" s="57">
        <v>0</v>
      </c>
      <c r="D179" s="78">
        <v>0</v>
      </c>
      <c r="E179" s="78">
        <v>0</v>
      </c>
      <c r="F179" s="82">
        <v>897.30400000000145</v>
      </c>
      <c r="G179" s="78">
        <v>0</v>
      </c>
      <c r="H179" s="78">
        <v>897.30400000000145</v>
      </c>
      <c r="I179" s="48">
        <v>0</v>
      </c>
      <c r="J179" s="82">
        <v>2297.2563899999996</v>
      </c>
      <c r="K179" s="78">
        <v>0</v>
      </c>
      <c r="L179" s="78">
        <v>2297.2563899999996</v>
      </c>
      <c r="M179" s="82">
        <v>0</v>
      </c>
      <c r="N179" s="78">
        <v>0</v>
      </c>
      <c r="O179" s="79">
        <v>0</v>
      </c>
      <c r="P179" s="82">
        <v>0</v>
      </c>
      <c r="Q179" s="78">
        <v>0</v>
      </c>
      <c r="R179" s="52">
        <v>0</v>
      </c>
      <c r="S179" s="48"/>
      <c r="T179" s="78"/>
      <c r="U179" s="52">
        <v>0</v>
      </c>
      <c r="V179" s="48">
        <v>0</v>
      </c>
      <c r="W179" s="52">
        <v>0</v>
      </c>
      <c r="X179" s="52">
        <v>0</v>
      </c>
      <c r="Y179" s="87">
        <v>3194.560390000001</v>
      </c>
      <c r="Z179" s="52">
        <v>0</v>
      </c>
      <c r="AA179" s="52">
        <v>3194.560390000001</v>
      </c>
    </row>
    <row r="180" spans="1:27" ht="12" customHeight="1" x14ac:dyDescent="0.25">
      <c r="A180" s="55">
        <v>2017</v>
      </c>
      <c r="B180" s="55" t="s">
        <v>7</v>
      </c>
      <c r="C180" s="57">
        <v>0</v>
      </c>
      <c r="D180" s="78">
        <v>0</v>
      </c>
      <c r="E180" s="78">
        <v>0</v>
      </c>
      <c r="F180" s="82">
        <v>1295.31692</v>
      </c>
      <c r="G180" s="78">
        <v>0</v>
      </c>
      <c r="H180" s="78">
        <v>1295.31692</v>
      </c>
      <c r="I180" s="48">
        <v>0</v>
      </c>
      <c r="J180" s="82">
        <v>2608.55717</v>
      </c>
      <c r="K180" s="78">
        <v>0</v>
      </c>
      <c r="L180" s="78">
        <v>2608.55717</v>
      </c>
      <c r="M180" s="82">
        <v>0</v>
      </c>
      <c r="N180" s="78">
        <v>0</v>
      </c>
      <c r="O180" s="79">
        <v>0</v>
      </c>
      <c r="P180" s="82">
        <v>0</v>
      </c>
      <c r="Q180" s="78">
        <v>0</v>
      </c>
      <c r="R180" s="52">
        <v>0</v>
      </c>
      <c r="S180" s="48"/>
      <c r="T180" s="78"/>
      <c r="U180" s="52">
        <v>0</v>
      </c>
      <c r="V180" s="48">
        <v>0</v>
      </c>
      <c r="W180" s="52">
        <v>0</v>
      </c>
      <c r="X180" s="52">
        <v>0</v>
      </c>
      <c r="Y180" s="87">
        <v>3903.8740900000003</v>
      </c>
      <c r="Z180" s="52">
        <v>0</v>
      </c>
      <c r="AA180" s="52">
        <v>3903.8740900000003</v>
      </c>
    </row>
    <row r="181" spans="1:27" ht="12" customHeight="1" x14ac:dyDescent="0.25">
      <c r="A181" s="55">
        <v>2017</v>
      </c>
      <c r="B181" s="55" t="s">
        <v>8</v>
      </c>
      <c r="C181" s="57">
        <v>0</v>
      </c>
      <c r="D181" s="78">
        <v>0</v>
      </c>
      <c r="E181" s="78">
        <v>0</v>
      </c>
      <c r="F181" s="82">
        <v>1491.879219999998</v>
      </c>
      <c r="G181" s="78">
        <v>0</v>
      </c>
      <c r="H181" s="78">
        <v>1491.879219999998</v>
      </c>
      <c r="I181" s="48">
        <v>0</v>
      </c>
      <c r="J181" s="82">
        <v>2631.0199699999998</v>
      </c>
      <c r="K181" s="78">
        <v>0</v>
      </c>
      <c r="L181" s="78">
        <v>2631.0199699999998</v>
      </c>
      <c r="M181" s="82">
        <v>0</v>
      </c>
      <c r="N181" s="78">
        <v>0</v>
      </c>
      <c r="O181" s="79">
        <v>0</v>
      </c>
      <c r="P181" s="82">
        <v>0</v>
      </c>
      <c r="Q181" s="78">
        <v>0</v>
      </c>
      <c r="R181" s="52">
        <v>0</v>
      </c>
      <c r="S181" s="48"/>
      <c r="T181" s="78"/>
      <c r="U181" s="52">
        <v>0</v>
      </c>
      <c r="V181" s="48">
        <v>0</v>
      </c>
      <c r="W181" s="52">
        <v>0</v>
      </c>
      <c r="X181" s="52">
        <v>0</v>
      </c>
      <c r="Y181" s="87">
        <v>4122.8991899999983</v>
      </c>
      <c r="Z181" s="52">
        <v>0</v>
      </c>
      <c r="AA181" s="52">
        <v>4122.8991899999983</v>
      </c>
    </row>
    <row r="182" spans="1:27" ht="12" customHeight="1" x14ac:dyDescent="0.25">
      <c r="A182" s="55">
        <v>2017</v>
      </c>
      <c r="B182" s="55" t="s">
        <v>9</v>
      </c>
      <c r="C182" s="57">
        <v>0</v>
      </c>
      <c r="D182" s="78">
        <v>0</v>
      </c>
      <c r="E182" s="78">
        <v>0</v>
      </c>
      <c r="F182" s="82">
        <v>1745.7826200000002</v>
      </c>
      <c r="G182" s="78">
        <v>0</v>
      </c>
      <c r="H182" s="78">
        <v>1745.7826200000002</v>
      </c>
      <c r="I182" s="48">
        <v>0</v>
      </c>
      <c r="J182" s="82">
        <v>4720.5834599999998</v>
      </c>
      <c r="K182" s="78">
        <v>2029.1816200000001</v>
      </c>
      <c r="L182" s="78">
        <v>2691.40184</v>
      </c>
      <c r="M182" s="82">
        <v>820.38215000000002</v>
      </c>
      <c r="N182" s="78">
        <v>820.38215000000002</v>
      </c>
      <c r="O182" s="79">
        <v>0</v>
      </c>
      <c r="P182" s="82">
        <v>0</v>
      </c>
      <c r="Q182" s="78">
        <v>0</v>
      </c>
      <c r="R182" s="52">
        <v>0</v>
      </c>
      <c r="S182" s="48"/>
      <c r="T182" s="78"/>
      <c r="U182" s="52">
        <v>0</v>
      </c>
      <c r="V182" s="48">
        <v>0</v>
      </c>
      <c r="W182" s="52">
        <v>0</v>
      </c>
      <c r="X182" s="52">
        <v>0</v>
      </c>
      <c r="Y182" s="87">
        <v>7286.7482300000011</v>
      </c>
      <c r="Z182" s="52">
        <v>2849.5637700000002</v>
      </c>
      <c r="AA182" s="52">
        <v>4437.1844600000004</v>
      </c>
    </row>
    <row r="183" spans="1:27" s="69" customFormat="1" ht="12" customHeight="1" x14ac:dyDescent="0.2">
      <c r="A183" s="55">
        <v>2017</v>
      </c>
      <c r="B183" s="55" t="s">
        <v>10</v>
      </c>
      <c r="C183" s="57">
        <v>0</v>
      </c>
      <c r="D183" s="78">
        <v>0</v>
      </c>
      <c r="E183" s="78">
        <v>0</v>
      </c>
      <c r="F183" s="82">
        <v>1785.3462800000002</v>
      </c>
      <c r="G183" s="78">
        <v>0</v>
      </c>
      <c r="H183" s="78">
        <v>1785.3462800000002</v>
      </c>
      <c r="I183" s="48">
        <v>0</v>
      </c>
      <c r="J183" s="82">
        <v>4497.118629999999</v>
      </c>
      <c r="K183" s="78">
        <v>1865.1412399999997</v>
      </c>
      <c r="L183" s="78">
        <v>2631.9773899999996</v>
      </c>
      <c r="M183" s="82">
        <v>0</v>
      </c>
      <c r="N183" s="78">
        <v>0</v>
      </c>
      <c r="O183" s="79">
        <v>0</v>
      </c>
      <c r="P183" s="82">
        <v>0</v>
      </c>
      <c r="Q183" s="78">
        <v>0</v>
      </c>
      <c r="R183" s="52">
        <v>0</v>
      </c>
      <c r="S183" s="48"/>
      <c r="T183" s="78"/>
      <c r="U183" s="52">
        <v>0</v>
      </c>
      <c r="V183" s="48">
        <v>0</v>
      </c>
      <c r="W183" s="52">
        <v>0</v>
      </c>
      <c r="X183" s="52">
        <v>0</v>
      </c>
      <c r="Y183" s="87">
        <v>6282.4649099999997</v>
      </c>
      <c r="Z183" s="52">
        <v>1865.1412399999997</v>
      </c>
      <c r="AA183" s="52">
        <v>4417.3236699999998</v>
      </c>
    </row>
    <row r="184" spans="1:27" s="69" customFormat="1" ht="12" customHeight="1" x14ac:dyDescent="0.2">
      <c r="A184" s="55">
        <v>2017</v>
      </c>
      <c r="B184" s="55" t="s">
        <v>11</v>
      </c>
      <c r="C184" s="57">
        <v>0</v>
      </c>
      <c r="D184" s="78">
        <v>0</v>
      </c>
      <c r="E184" s="78">
        <v>0</v>
      </c>
      <c r="F184" s="82">
        <v>1037.5033600000002</v>
      </c>
      <c r="G184" s="78">
        <v>0</v>
      </c>
      <c r="H184" s="78">
        <v>1037.5033600000002</v>
      </c>
      <c r="I184" s="48">
        <v>0</v>
      </c>
      <c r="J184" s="82">
        <v>2537.2745399999999</v>
      </c>
      <c r="K184" s="78">
        <v>0</v>
      </c>
      <c r="L184" s="78">
        <v>2537.2745399999999</v>
      </c>
      <c r="M184" s="82">
        <v>0</v>
      </c>
      <c r="N184" s="78">
        <v>0</v>
      </c>
      <c r="O184" s="79">
        <v>0</v>
      </c>
      <c r="P184" s="82">
        <v>0</v>
      </c>
      <c r="Q184" s="78">
        <v>0</v>
      </c>
      <c r="R184" s="52">
        <v>0</v>
      </c>
      <c r="S184" s="48"/>
      <c r="T184" s="78"/>
      <c r="U184" s="52">
        <v>0</v>
      </c>
      <c r="V184" s="48">
        <v>0</v>
      </c>
      <c r="W184" s="52">
        <v>0</v>
      </c>
      <c r="X184" s="52">
        <v>0</v>
      </c>
      <c r="Y184" s="87">
        <v>3574.7779</v>
      </c>
      <c r="Z184" s="52">
        <v>0</v>
      </c>
      <c r="AA184" s="52">
        <v>3574.7779</v>
      </c>
    </row>
    <row r="185" spans="1:27" s="69" customFormat="1" ht="12" customHeight="1" x14ac:dyDescent="0.2">
      <c r="A185" s="55">
        <v>2017</v>
      </c>
      <c r="B185" s="55" t="s">
        <v>12</v>
      </c>
      <c r="C185" s="57">
        <v>0</v>
      </c>
      <c r="D185" s="78">
        <v>0</v>
      </c>
      <c r="E185" s="78">
        <v>0</v>
      </c>
      <c r="F185" s="82">
        <v>1720.53592</v>
      </c>
      <c r="G185" s="78">
        <v>0</v>
      </c>
      <c r="H185" s="78">
        <v>1720.53592</v>
      </c>
      <c r="I185" s="48">
        <v>0</v>
      </c>
      <c r="J185" s="82">
        <v>4362.1108199999999</v>
      </c>
      <c r="K185" s="78">
        <v>1872.2799600000001</v>
      </c>
      <c r="L185" s="78">
        <v>2489.83086</v>
      </c>
      <c r="M185" s="82">
        <v>0</v>
      </c>
      <c r="N185" s="78">
        <v>0</v>
      </c>
      <c r="O185" s="79">
        <v>0</v>
      </c>
      <c r="P185" s="82">
        <v>0</v>
      </c>
      <c r="Q185" s="78">
        <v>0</v>
      </c>
      <c r="R185" s="52">
        <v>0</v>
      </c>
      <c r="S185" s="48"/>
      <c r="T185" s="78"/>
      <c r="U185" s="52">
        <v>0</v>
      </c>
      <c r="V185" s="48">
        <v>0</v>
      </c>
      <c r="W185" s="52">
        <v>0</v>
      </c>
      <c r="X185" s="52">
        <v>0</v>
      </c>
      <c r="Y185" s="87">
        <v>6082.6467400000001</v>
      </c>
      <c r="Z185" s="52">
        <v>1872.2799600000001</v>
      </c>
      <c r="AA185" s="52">
        <v>4210.3667800000003</v>
      </c>
    </row>
    <row r="186" spans="1:27" s="69" customFormat="1" ht="12" customHeight="1" x14ac:dyDescent="0.2">
      <c r="A186" s="55">
        <v>2017</v>
      </c>
      <c r="B186" s="55" t="s">
        <v>13</v>
      </c>
      <c r="C186" s="57">
        <v>0</v>
      </c>
      <c r="D186" s="78">
        <v>0</v>
      </c>
      <c r="E186" s="78">
        <v>0</v>
      </c>
      <c r="F186" s="82">
        <v>713.69565000000011</v>
      </c>
      <c r="G186" s="78">
        <v>0</v>
      </c>
      <c r="H186" s="78">
        <v>713.69565000000011</v>
      </c>
      <c r="I186" s="48">
        <v>0</v>
      </c>
      <c r="J186" s="82">
        <v>3298.8945000000003</v>
      </c>
      <c r="K186" s="78">
        <v>1033.61646</v>
      </c>
      <c r="L186" s="78">
        <v>2265.2780400000001</v>
      </c>
      <c r="M186" s="82">
        <v>0</v>
      </c>
      <c r="N186" s="78">
        <v>0</v>
      </c>
      <c r="O186" s="79">
        <v>0</v>
      </c>
      <c r="P186" s="82">
        <v>0</v>
      </c>
      <c r="Q186" s="78">
        <v>0</v>
      </c>
      <c r="R186" s="52">
        <v>0</v>
      </c>
      <c r="S186" s="48"/>
      <c r="T186" s="78"/>
      <c r="U186" s="52">
        <v>0</v>
      </c>
      <c r="V186" s="48">
        <v>0</v>
      </c>
      <c r="W186" s="52">
        <v>0</v>
      </c>
      <c r="X186" s="52">
        <v>0</v>
      </c>
      <c r="Y186" s="87">
        <v>4012.59015</v>
      </c>
      <c r="Z186" s="52">
        <v>1033.61646</v>
      </c>
      <c r="AA186" s="52">
        <v>2978.9736900000003</v>
      </c>
    </row>
    <row r="187" spans="1:27" ht="12" customHeight="1" x14ac:dyDescent="0.25">
      <c r="A187" s="55">
        <v>2017</v>
      </c>
      <c r="B187" s="55" t="s">
        <v>14</v>
      </c>
      <c r="C187" s="57">
        <v>0</v>
      </c>
      <c r="D187" s="78">
        <v>0</v>
      </c>
      <c r="E187" s="78">
        <v>0</v>
      </c>
      <c r="F187" s="82">
        <v>1144.0862400000001</v>
      </c>
      <c r="G187" s="78">
        <v>0</v>
      </c>
      <c r="H187" s="78">
        <v>1144.0862400000001</v>
      </c>
      <c r="I187" s="48">
        <v>0</v>
      </c>
      <c r="J187" s="82">
        <v>3470.2852900000003</v>
      </c>
      <c r="K187" s="78">
        <v>918.79021</v>
      </c>
      <c r="L187" s="78">
        <v>2551.4950800000001</v>
      </c>
      <c r="M187" s="82">
        <v>0</v>
      </c>
      <c r="N187" s="78">
        <v>0</v>
      </c>
      <c r="O187" s="79">
        <v>0</v>
      </c>
      <c r="P187" s="82">
        <v>0</v>
      </c>
      <c r="Q187" s="78">
        <v>0</v>
      </c>
      <c r="R187" s="52">
        <v>0</v>
      </c>
      <c r="S187" s="48"/>
      <c r="T187" s="78"/>
      <c r="U187" s="52">
        <v>0</v>
      </c>
      <c r="V187" s="48">
        <v>0</v>
      </c>
      <c r="W187" s="52">
        <v>0</v>
      </c>
      <c r="X187" s="52">
        <v>0</v>
      </c>
      <c r="Y187" s="87">
        <v>4614.3715300000003</v>
      </c>
      <c r="Z187" s="52">
        <v>918.79021</v>
      </c>
      <c r="AA187" s="52">
        <v>3695.5813200000002</v>
      </c>
    </row>
    <row r="188" spans="1:27" ht="12" customHeight="1" x14ac:dyDescent="0.25">
      <c r="A188" s="55">
        <v>2017</v>
      </c>
      <c r="B188" s="55" t="s">
        <v>15</v>
      </c>
      <c r="C188" s="57">
        <v>0</v>
      </c>
      <c r="D188" s="78">
        <v>0</v>
      </c>
      <c r="E188" s="78">
        <v>0</v>
      </c>
      <c r="F188" s="82">
        <v>15557.312319999999</v>
      </c>
      <c r="G188" s="78">
        <v>0</v>
      </c>
      <c r="H188" s="78">
        <v>15557.312319999999</v>
      </c>
      <c r="I188" s="48">
        <v>0</v>
      </c>
      <c r="J188" s="82">
        <v>38597.87919</v>
      </c>
      <c r="K188" s="78">
        <v>10069.787649999998</v>
      </c>
      <c r="L188" s="78">
        <v>28528.091539999998</v>
      </c>
      <c r="M188" s="82">
        <v>1133.4825800000001</v>
      </c>
      <c r="N188" s="78">
        <v>1133.4825800000001</v>
      </c>
      <c r="O188" s="79">
        <v>0</v>
      </c>
      <c r="P188" s="82">
        <v>20.469170000000002</v>
      </c>
      <c r="Q188" s="78">
        <v>5.6104799999999999</v>
      </c>
      <c r="R188" s="52">
        <v>14.858690000000001</v>
      </c>
      <c r="S188" s="48"/>
      <c r="T188" s="78"/>
      <c r="U188" s="52">
        <v>0</v>
      </c>
      <c r="V188" s="48">
        <v>0</v>
      </c>
      <c r="W188" s="52">
        <v>0</v>
      </c>
      <c r="X188" s="52">
        <v>0</v>
      </c>
      <c r="Y188" s="87">
        <v>55309.143260000012</v>
      </c>
      <c r="Z188" s="52">
        <v>11208.880709999999</v>
      </c>
      <c r="AA188" s="52">
        <v>44100.262549999999</v>
      </c>
    </row>
    <row r="189" spans="1:27" ht="12" customHeight="1" x14ac:dyDescent="0.25">
      <c r="A189" s="55">
        <v>2018</v>
      </c>
      <c r="B189" s="55" t="s">
        <v>3</v>
      </c>
      <c r="C189" s="57">
        <v>0</v>
      </c>
      <c r="D189" s="78">
        <v>0</v>
      </c>
      <c r="E189" s="78">
        <v>0</v>
      </c>
      <c r="F189" s="82">
        <v>1187.3476900000003</v>
      </c>
      <c r="G189" s="78">
        <v>0</v>
      </c>
      <c r="H189" s="78">
        <v>1187.3476900000003</v>
      </c>
      <c r="I189" s="48">
        <v>0</v>
      </c>
      <c r="J189" s="82">
        <v>2623.58754</v>
      </c>
      <c r="K189" s="78">
        <v>0</v>
      </c>
      <c r="L189" s="78">
        <v>2623.58754</v>
      </c>
      <c r="M189" s="82">
        <v>0</v>
      </c>
      <c r="N189" s="78">
        <v>0</v>
      </c>
      <c r="O189" s="79">
        <v>0</v>
      </c>
      <c r="P189" s="82">
        <v>0</v>
      </c>
      <c r="Q189" s="78">
        <v>0</v>
      </c>
      <c r="R189" s="52">
        <v>0</v>
      </c>
      <c r="S189" s="48"/>
      <c r="T189" s="78"/>
      <c r="U189" s="52">
        <v>0</v>
      </c>
      <c r="V189" s="48">
        <v>1029.9064799999999</v>
      </c>
      <c r="W189" s="52">
        <v>1029.9064799999999</v>
      </c>
      <c r="X189" s="52">
        <v>0</v>
      </c>
      <c r="Y189" s="87">
        <v>4840.8417099999997</v>
      </c>
      <c r="Z189" s="52">
        <v>1029.9064799999999</v>
      </c>
      <c r="AA189" s="52">
        <v>3810.93523</v>
      </c>
    </row>
    <row r="190" spans="1:27" ht="12" customHeight="1" x14ac:dyDescent="0.25">
      <c r="A190" s="55">
        <v>2018</v>
      </c>
      <c r="B190" s="55" t="s">
        <v>4</v>
      </c>
      <c r="C190" s="57">
        <v>0</v>
      </c>
      <c r="D190" s="78">
        <v>0</v>
      </c>
      <c r="E190" s="78">
        <v>0</v>
      </c>
      <c r="F190" s="82">
        <v>1124.9423100000001</v>
      </c>
      <c r="G190" s="78">
        <v>0</v>
      </c>
      <c r="H190" s="78">
        <v>1124.9423100000001</v>
      </c>
      <c r="I190" s="48">
        <v>0</v>
      </c>
      <c r="J190" s="82">
        <v>3829.4036599999999</v>
      </c>
      <c r="K190" s="78">
        <v>974.64465000000007</v>
      </c>
      <c r="L190" s="78">
        <v>2854.7590099999998</v>
      </c>
      <c r="M190" s="82">
        <v>0</v>
      </c>
      <c r="N190" s="78">
        <v>0</v>
      </c>
      <c r="O190" s="79">
        <v>0</v>
      </c>
      <c r="P190" s="82">
        <v>10.026</v>
      </c>
      <c r="Q190" s="78">
        <v>0</v>
      </c>
      <c r="R190" s="52">
        <v>10.026</v>
      </c>
      <c r="S190" s="48"/>
      <c r="T190" s="78"/>
      <c r="U190" s="52">
        <v>0</v>
      </c>
      <c r="V190" s="48">
        <v>0</v>
      </c>
      <c r="W190" s="52">
        <v>0</v>
      </c>
      <c r="X190" s="52">
        <v>0</v>
      </c>
      <c r="Y190" s="87">
        <v>4964.3719700000001</v>
      </c>
      <c r="Z190" s="52">
        <v>974.64465000000007</v>
      </c>
      <c r="AA190" s="52">
        <v>3989.72732</v>
      </c>
    </row>
    <row r="191" spans="1:27" ht="12" customHeight="1" x14ac:dyDescent="0.25">
      <c r="A191" s="55">
        <v>2018</v>
      </c>
      <c r="B191" s="55" t="s">
        <v>5</v>
      </c>
      <c r="C191" s="57">
        <v>0</v>
      </c>
      <c r="D191" s="78">
        <v>0</v>
      </c>
      <c r="E191" s="78">
        <v>0</v>
      </c>
      <c r="F191" s="82">
        <v>1367.35079</v>
      </c>
      <c r="G191" s="78">
        <v>486.80970000000002</v>
      </c>
      <c r="H191" s="78">
        <v>880.54109000000005</v>
      </c>
      <c r="I191" s="48">
        <v>0</v>
      </c>
      <c r="J191" s="82">
        <v>2621.3008</v>
      </c>
      <c r="K191" s="78">
        <v>0</v>
      </c>
      <c r="L191" s="78">
        <v>2621.3008</v>
      </c>
      <c r="M191" s="82">
        <v>0</v>
      </c>
      <c r="N191" s="78">
        <v>0</v>
      </c>
      <c r="O191" s="79">
        <v>0</v>
      </c>
      <c r="P191" s="82">
        <v>0</v>
      </c>
      <c r="Q191" s="78">
        <v>0</v>
      </c>
      <c r="R191" s="52">
        <v>0</v>
      </c>
      <c r="S191" s="48"/>
      <c r="T191" s="78"/>
      <c r="U191" s="52">
        <v>0</v>
      </c>
      <c r="V191" s="48">
        <v>0</v>
      </c>
      <c r="W191" s="52">
        <v>0</v>
      </c>
      <c r="X191" s="52">
        <v>0</v>
      </c>
      <c r="Y191" s="87">
        <v>3988.6515900000004</v>
      </c>
      <c r="Z191" s="52">
        <v>486.80970000000002</v>
      </c>
      <c r="AA191" s="52">
        <v>3501.8418900000001</v>
      </c>
    </row>
    <row r="192" spans="1:27" ht="12" customHeight="1" x14ac:dyDescent="0.25">
      <c r="A192" s="55">
        <v>2018</v>
      </c>
      <c r="B192" s="55" t="s">
        <v>6</v>
      </c>
      <c r="C192" s="57">
        <v>0</v>
      </c>
      <c r="D192" s="78">
        <v>0</v>
      </c>
      <c r="E192" s="78">
        <v>0</v>
      </c>
      <c r="F192" s="82">
        <v>401.00554</v>
      </c>
      <c r="G192" s="78">
        <v>0</v>
      </c>
      <c r="H192" s="78">
        <v>401.00554</v>
      </c>
      <c r="I192" s="48">
        <v>0</v>
      </c>
      <c r="J192" s="82">
        <v>2638.1057800000003</v>
      </c>
      <c r="K192" s="78">
        <v>892.58091000000002</v>
      </c>
      <c r="L192" s="78">
        <v>1745.5248700000002</v>
      </c>
      <c r="M192" s="82">
        <v>0</v>
      </c>
      <c r="N192" s="78">
        <v>0</v>
      </c>
      <c r="O192" s="79">
        <v>0</v>
      </c>
      <c r="P192" s="82">
        <v>17.0442</v>
      </c>
      <c r="Q192" s="78">
        <v>0</v>
      </c>
      <c r="R192" s="52">
        <v>17.0442</v>
      </c>
      <c r="S192" s="48"/>
      <c r="T192" s="78"/>
      <c r="U192" s="52">
        <v>0</v>
      </c>
      <c r="V192" s="48">
        <v>1102.193</v>
      </c>
      <c r="W192" s="52">
        <v>1102.193</v>
      </c>
      <c r="X192" s="52">
        <v>0</v>
      </c>
      <c r="Y192" s="87">
        <v>4158.3485199999996</v>
      </c>
      <c r="Z192" s="52">
        <v>1994.7739099999999</v>
      </c>
      <c r="AA192" s="52">
        <v>2163.5746100000001</v>
      </c>
    </row>
    <row r="193" spans="1:27" ht="12" customHeight="1" x14ac:dyDescent="0.25">
      <c r="A193" s="55">
        <v>2018</v>
      </c>
      <c r="B193" s="55" t="s">
        <v>7</v>
      </c>
      <c r="C193" s="57">
        <v>0</v>
      </c>
      <c r="D193" s="78">
        <v>0</v>
      </c>
      <c r="E193" s="78">
        <v>0</v>
      </c>
      <c r="F193" s="82">
        <v>291.78001</v>
      </c>
      <c r="G193" s="78">
        <v>0</v>
      </c>
      <c r="H193" s="78">
        <v>291.78001</v>
      </c>
      <c r="I193" s="48">
        <v>0</v>
      </c>
      <c r="J193" s="82">
        <v>1854.7191</v>
      </c>
      <c r="K193" s="78">
        <v>0</v>
      </c>
      <c r="L193" s="78">
        <v>1854.7191</v>
      </c>
      <c r="M193" s="82">
        <v>0</v>
      </c>
      <c r="N193" s="78">
        <v>0</v>
      </c>
      <c r="O193" s="79">
        <v>0</v>
      </c>
      <c r="P193" s="82">
        <v>0</v>
      </c>
      <c r="Q193" s="78">
        <v>0</v>
      </c>
      <c r="R193" s="52">
        <v>0</v>
      </c>
      <c r="S193" s="48"/>
      <c r="T193" s="78"/>
      <c r="U193" s="52">
        <v>0</v>
      </c>
      <c r="V193" s="48">
        <v>0</v>
      </c>
      <c r="W193" s="52">
        <v>0</v>
      </c>
      <c r="X193" s="52">
        <v>0</v>
      </c>
      <c r="Y193" s="87">
        <v>2146.4991100000002</v>
      </c>
      <c r="Z193" s="52">
        <v>0</v>
      </c>
      <c r="AA193" s="52">
        <v>2146.4991100000002</v>
      </c>
    </row>
    <row r="194" spans="1:27" ht="12" customHeight="1" x14ac:dyDescent="0.25">
      <c r="A194" s="55">
        <v>2018</v>
      </c>
      <c r="B194" s="55" t="s">
        <v>8</v>
      </c>
      <c r="C194" s="57">
        <v>0</v>
      </c>
      <c r="D194" s="78">
        <v>0</v>
      </c>
      <c r="E194" s="78">
        <v>0</v>
      </c>
      <c r="F194" s="82">
        <v>51.042970000000004</v>
      </c>
      <c r="G194" s="78">
        <v>0</v>
      </c>
      <c r="H194" s="78">
        <v>51.042970000000004</v>
      </c>
      <c r="I194" s="48">
        <v>0</v>
      </c>
      <c r="J194" s="82">
        <v>2979.34501</v>
      </c>
      <c r="K194" s="78">
        <v>960.47029000000009</v>
      </c>
      <c r="L194" s="78">
        <v>2018.87472</v>
      </c>
      <c r="M194" s="82">
        <v>0</v>
      </c>
      <c r="N194" s="78">
        <v>0</v>
      </c>
      <c r="O194" s="79">
        <v>0</v>
      </c>
      <c r="P194" s="82">
        <v>0</v>
      </c>
      <c r="Q194" s="78">
        <v>0</v>
      </c>
      <c r="R194" s="52">
        <v>0</v>
      </c>
      <c r="S194" s="48"/>
      <c r="T194" s="78"/>
      <c r="U194" s="52">
        <v>0</v>
      </c>
      <c r="V194" s="48">
        <v>1112.3385600000001</v>
      </c>
      <c r="W194" s="52">
        <v>1112.3385600000001</v>
      </c>
      <c r="X194" s="52">
        <v>0</v>
      </c>
      <c r="Y194" s="87">
        <v>4142.7265400000006</v>
      </c>
      <c r="Z194" s="52">
        <v>2072.8088500000003</v>
      </c>
      <c r="AA194" s="52">
        <v>2069.9176900000002</v>
      </c>
    </row>
    <row r="195" spans="1:27" ht="12" customHeight="1" x14ac:dyDescent="0.25">
      <c r="A195" s="55">
        <v>2018</v>
      </c>
      <c r="B195" s="55" t="s">
        <v>9</v>
      </c>
      <c r="C195" s="57">
        <v>0</v>
      </c>
      <c r="D195" s="78">
        <v>0</v>
      </c>
      <c r="E195" s="78">
        <v>0</v>
      </c>
      <c r="F195" s="82">
        <v>118.2428</v>
      </c>
      <c r="G195" s="78">
        <v>0</v>
      </c>
      <c r="H195" s="78">
        <v>118.2428</v>
      </c>
      <c r="I195" s="48">
        <v>0</v>
      </c>
      <c r="J195" s="82">
        <v>2086.1705400000001</v>
      </c>
      <c r="K195" s="78">
        <v>0</v>
      </c>
      <c r="L195" s="78">
        <v>2086.1705400000001</v>
      </c>
      <c r="M195" s="82">
        <v>0</v>
      </c>
      <c r="N195" s="78">
        <v>0</v>
      </c>
      <c r="O195" s="79">
        <v>0</v>
      </c>
      <c r="P195" s="82">
        <v>19.049409999999998</v>
      </c>
      <c r="Q195" s="78">
        <v>0</v>
      </c>
      <c r="R195" s="52">
        <v>19.049409999999998</v>
      </c>
      <c r="S195" s="48"/>
      <c r="T195" s="78"/>
      <c r="U195" s="52">
        <v>0</v>
      </c>
      <c r="V195" s="48">
        <v>1109.35193</v>
      </c>
      <c r="W195" s="52">
        <v>1109.35193</v>
      </c>
      <c r="X195" s="52">
        <v>0</v>
      </c>
      <c r="Y195" s="87">
        <v>3332.8146800000004</v>
      </c>
      <c r="Z195" s="52">
        <v>1109.35193</v>
      </c>
      <c r="AA195" s="52">
        <v>2223.4627500000001</v>
      </c>
    </row>
    <row r="196" spans="1:27" ht="12" customHeight="1" x14ac:dyDescent="0.25">
      <c r="A196" s="55">
        <v>2018</v>
      </c>
      <c r="B196" s="55" t="s">
        <v>10</v>
      </c>
      <c r="C196" s="57">
        <v>895.97693000000004</v>
      </c>
      <c r="D196" s="78">
        <v>895.97693000000004</v>
      </c>
      <c r="E196" s="78">
        <v>0</v>
      </c>
      <c r="F196" s="82">
        <v>207.70760999999999</v>
      </c>
      <c r="G196" s="78">
        <v>0</v>
      </c>
      <c r="H196" s="78">
        <v>207.70760999999999</v>
      </c>
      <c r="I196" s="48">
        <v>0</v>
      </c>
      <c r="J196" s="82">
        <v>3958.3693499999999</v>
      </c>
      <c r="K196" s="78">
        <v>1872.1988100000001</v>
      </c>
      <c r="L196" s="78">
        <v>2086.1705400000001</v>
      </c>
      <c r="M196" s="82">
        <v>0</v>
      </c>
      <c r="N196" s="78">
        <v>0</v>
      </c>
      <c r="O196" s="79">
        <v>0</v>
      </c>
      <c r="P196" s="82">
        <v>0.60263</v>
      </c>
      <c r="Q196" s="78">
        <v>0.60263</v>
      </c>
      <c r="R196" s="52">
        <v>0</v>
      </c>
      <c r="S196" s="48"/>
      <c r="T196" s="78"/>
      <c r="U196" s="52">
        <v>0</v>
      </c>
      <c r="V196" s="48">
        <v>0</v>
      </c>
      <c r="W196" s="52">
        <v>0</v>
      </c>
      <c r="X196" s="52">
        <v>0</v>
      </c>
      <c r="Y196" s="87">
        <v>5062.6565200000005</v>
      </c>
      <c r="Z196" s="52">
        <v>2768.77837</v>
      </c>
      <c r="AA196" s="52">
        <v>2293.87815</v>
      </c>
    </row>
    <row r="197" spans="1:27" ht="12" customHeight="1" x14ac:dyDescent="0.25">
      <c r="A197" s="55">
        <v>2018</v>
      </c>
      <c r="B197" s="55" t="s">
        <v>11</v>
      </c>
      <c r="C197" s="57">
        <v>0.45400000000000001</v>
      </c>
      <c r="D197" s="78">
        <v>0</v>
      </c>
      <c r="E197" s="78">
        <v>0.45400000000000001</v>
      </c>
      <c r="F197" s="82">
        <v>1225.9549399999999</v>
      </c>
      <c r="G197" s="78">
        <v>0</v>
      </c>
      <c r="H197" s="78">
        <v>1225.9549399999999</v>
      </c>
      <c r="I197" s="48">
        <v>0</v>
      </c>
      <c r="J197" s="82">
        <v>2146.5228999999999</v>
      </c>
      <c r="K197" s="78">
        <v>0</v>
      </c>
      <c r="L197" s="78">
        <v>2146.5228999999999</v>
      </c>
      <c r="M197" s="82">
        <v>0</v>
      </c>
      <c r="N197" s="78">
        <v>0</v>
      </c>
      <c r="O197" s="79">
        <v>0</v>
      </c>
      <c r="P197" s="82">
        <v>0</v>
      </c>
      <c r="Q197" s="78">
        <v>0</v>
      </c>
      <c r="R197" s="52">
        <v>0</v>
      </c>
      <c r="S197" s="48"/>
      <c r="T197" s="78"/>
      <c r="U197" s="52">
        <v>0</v>
      </c>
      <c r="V197" s="48">
        <v>997.11266999999998</v>
      </c>
      <c r="W197" s="52">
        <v>997.11266999999998</v>
      </c>
      <c r="X197" s="52">
        <v>0</v>
      </c>
      <c r="Y197" s="87">
        <v>4370.0445099999997</v>
      </c>
      <c r="Z197" s="52">
        <v>997.11266999999998</v>
      </c>
      <c r="AA197" s="52">
        <v>3372.9318399999997</v>
      </c>
    </row>
    <row r="198" spans="1:27" ht="12" customHeight="1" x14ac:dyDescent="0.25">
      <c r="A198" s="55">
        <v>2018</v>
      </c>
      <c r="B198" s="55" t="s">
        <v>12</v>
      </c>
      <c r="C198" s="57">
        <v>0</v>
      </c>
      <c r="D198" s="78">
        <v>0</v>
      </c>
      <c r="E198" s="78">
        <v>0</v>
      </c>
      <c r="F198" s="82">
        <v>1629.6190699999995</v>
      </c>
      <c r="G198" s="78">
        <v>0</v>
      </c>
      <c r="H198" s="78">
        <v>1629.6190699999995</v>
      </c>
      <c r="I198" s="48">
        <v>0</v>
      </c>
      <c r="J198" s="82">
        <v>3682.1477999999997</v>
      </c>
      <c r="K198" s="78">
        <v>919.90141000000006</v>
      </c>
      <c r="L198" s="78">
        <v>2762.2463899999998</v>
      </c>
      <c r="M198" s="82">
        <v>0</v>
      </c>
      <c r="N198" s="78">
        <v>0</v>
      </c>
      <c r="O198" s="79">
        <v>0</v>
      </c>
      <c r="P198" s="82">
        <v>47.639040000000001</v>
      </c>
      <c r="Q198" s="78">
        <v>0</v>
      </c>
      <c r="R198" s="52">
        <v>47.639040000000001</v>
      </c>
      <c r="S198" s="48"/>
      <c r="T198" s="78"/>
      <c r="U198" s="52">
        <v>0</v>
      </c>
      <c r="V198" s="48">
        <v>2225.8121399999995</v>
      </c>
      <c r="W198" s="52">
        <v>2225.8121399999995</v>
      </c>
      <c r="X198" s="52">
        <v>0</v>
      </c>
      <c r="Y198" s="87">
        <v>7585.2180499999986</v>
      </c>
      <c r="Z198" s="52">
        <v>3145.7135499999995</v>
      </c>
      <c r="AA198" s="52">
        <v>4439.5044999999991</v>
      </c>
    </row>
    <row r="199" spans="1:27" ht="12" customHeight="1" x14ac:dyDescent="0.25">
      <c r="A199" s="55">
        <v>2018</v>
      </c>
      <c r="B199" s="55" t="s">
        <v>13</v>
      </c>
      <c r="C199" s="57">
        <v>0</v>
      </c>
      <c r="D199" s="78">
        <v>0</v>
      </c>
      <c r="E199" s="78">
        <v>0</v>
      </c>
      <c r="F199" s="82">
        <v>1655.7802599999998</v>
      </c>
      <c r="G199" s="78">
        <v>0</v>
      </c>
      <c r="H199" s="78">
        <v>1655.7802599999998</v>
      </c>
      <c r="I199" s="48">
        <v>0</v>
      </c>
      <c r="J199" s="82">
        <v>3241.5580499999996</v>
      </c>
      <c r="K199" s="78">
        <v>0</v>
      </c>
      <c r="L199" s="78">
        <v>3241.5580499999996</v>
      </c>
      <c r="M199" s="82">
        <v>0</v>
      </c>
      <c r="N199" s="78">
        <v>0</v>
      </c>
      <c r="O199" s="79">
        <v>0</v>
      </c>
      <c r="P199" s="82">
        <v>12.0312</v>
      </c>
      <c r="Q199" s="78">
        <v>0</v>
      </c>
      <c r="R199" s="52">
        <v>12.0312</v>
      </c>
      <c r="S199" s="48"/>
      <c r="T199" s="78"/>
      <c r="U199" s="52">
        <v>0</v>
      </c>
      <c r="V199" s="48">
        <v>1091.5911000000001</v>
      </c>
      <c r="W199" s="52">
        <v>1091.5911000000001</v>
      </c>
      <c r="X199" s="52">
        <v>0</v>
      </c>
      <c r="Y199" s="87">
        <v>6000.9606100000001</v>
      </c>
      <c r="Z199" s="52">
        <v>1091.5911000000001</v>
      </c>
      <c r="AA199" s="52">
        <v>4909.3695099999995</v>
      </c>
    </row>
    <row r="200" spans="1:27" ht="12" customHeight="1" x14ac:dyDescent="0.25">
      <c r="A200" s="55">
        <v>2018</v>
      </c>
      <c r="B200" s="55" t="s">
        <v>14</v>
      </c>
      <c r="C200" s="57">
        <v>0</v>
      </c>
      <c r="D200" s="78">
        <v>0</v>
      </c>
      <c r="E200" s="78">
        <v>0</v>
      </c>
      <c r="F200" s="82">
        <v>2195.8713899999998</v>
      </c>
      <c r="G200" s="78">
        <v>0</v>
      </c>
      <c r="H200" s="78">
        <v>2195.8713899999998</v>
      </c>
      <c r="I200" s="48">
        <v>15.023</v>
      </c>
      <c r="J200" s="82">
        <v>4149.1048799999999</v>
      </c>
      <c r="K200" s="78">
        <v>942.34477000000004</v>
      </c>
      <c r="L200" s="78">
        <v>3206.7601099999997</v>
      </c>
      <c r="M200" s="82">
        <v>0</v>
      </c>
      <c r="N200" s="78">
        <v>0</v>
      </c>
      <c r="O200" s="79">
        <v>0</v>
      </c>
      <c r="P200" s="82">
        <v>0</v>
      </c>
      <c r="Q200" s="78">
        <v>0</v>
      </c>
      <c r="R200" s="52">
        <v>0</v>
      </c>
      <c r="S200" s="48"/>
      <c r="T200" s="78"/>
      <c r="U200" s="52">
        <v>0</v>
      </c>
      <c r="V200" s="48">
        <v>1092.20966</v>
      </c>
      <c r="W200" s="52">
        <v>1092.20966</v>
      </c>
      <c r="X200" s="52">
        <v>0</v>
      </c>
      <c r="Y200" s="87">
        <v>7452.2089299999998</v>
      </c>
      <c r="Z200" s="52">
        <v>2049.5774300000003</v>
      </c>
      <c r="AA200" s="52">
        <v>5402.6314999999995</v>
      </c>
    </row>
    <row r="201" spans="1:27" ht="12" customHeight="1" x14ac:dyDescent="0.25">
      <c r="A201" s="55">
        <v>2018</v>
      </c>
      <c r="B201" s="55" t="s">
        <v>15</v>
      </c>
      <c r="C201" s="57">
        <v>896.43092999999999</v>
      </c>
      <c r="D201" s="78">
        <v>895.97693000000004</v>
      </c>
      <c r="E201" s="78">
        <v>0.45400000000000001</v>
      </c>
      <c r="F201" s="82">
        <v>11456.645380000002</v>
      </c>
      <c r="G201" s="78">
        <v>486.80970000000002</v>
      </c>
      <c r="H201" s="78">
        <v>10969.83568</v>
      </c>
      <c r="I201" s="48">
        <v>15.023</v>
      </c>
      <c r="J201" s="82">
        <v>35810.33541</v>
      </c>
      <c r="K201" s="78">
        <v>6562.14084</v>
      </c>
      <c r="L201" s="78">
        <v>29248.19457</v>
      </c>
      <c r="M201" s="82">
        <v>0</v>
      </c>
      <c r="N201" s="78">
        <v>0</v>
      </c>
      <c r="O201" s="79">
        <v>0</v>
      </c>
      <c r="P201" s="82">
        <v>106.39247999999999</v>
      </c>
      <c r="Q201" s="78">
        <v>0.60263</v>
      </c>
      <c r="R201" s="52">
        <v>105.78984999999999</v>
      </c>
      <c r="S201" s="48"/>
      <c r="T201" s="78"/>
      <c r="U201" s="52">
        <v>0</v>
      </c>
      <c r="V201" s="48">
        <v>9760.5155400000003</v>
      </c>
      <c r="W201" s="52">
        <v>9760.5155400000003</v>
      </c>
      <c r="X201" s="52">
        <v>0</v>
      </c>
      <c r="Y201" s="87">
        <v>58045.34274</v>
      </c>
      <c r="Z201" s="52">
        <v>17721.068639999998</v>
      </c>
      <c r="AA201" s="52">
        <v>40324.274099999995</v>
      </c>
    </row>
    <row r="202" spans="1:27" ht="12" customHeight="1" x14ac:dyDescent="0.25">
      <c r="A202" s="55">
        <v>2019</v>
      </c>
      <c r="B202" s="55" t="s">
        <v>3</v>
      </c>
      <c r="C202" s="57">
        <v>0</v>
      </c>
      <c r="D202" s="78">
        <v>0</v>
      </c>
      <c r="E202" s="78">
        <v>0</v>
      </c>
      <c r="F202" s="82">
        <v>3538.2592599999998</v>
      </c>
      <c r="G202" s="78">
        <v>0</v>
      </c>
      <c r="H202" s="78">
        <v>3538.2592599999998</v>
      </c>
      <c r="I202" s="48">
        <v>36.994999999999997</v>
      </c>
      <c r="J202" s="82">
        <v>2704.2738100000001</v>
      </c>
      <c r="K202" s="78">
        <v>0</v>
      </c>
      <c r="L202" s="78">
        <v>2704.2738100000001</v>
      </c>
      <c r="M202" s="82">
        <v>0</v>
      </c>
      <c r="N202" s="78">
        <v>0</v>
      </c>
      <c r="O202" s="79">
        <v>0</v>
      </c>
      <c r="P202" s="82">
        <v>397.84109999999998</v>
      </c>
      <c r="Q202" s="78">
        <v>0</v>
      </c>
      <c r="R202" s="52">
        <v>397.84109999999998</v>
      </c>
      <c r="S202" s="48"/>
      <c r="T202" s="78"/>
      <c r="U202" s="52">
        <v>0</v>
      </c>
      <c r="V202" s="48">
        <v>1025.4694200000001</v>
      </c>
      <c r="W202" s="52">
        <v>1025.4694200000001</v>
      </c>
      <c r="X202" s="52">
        <v>0</v>
      </c>
      <c r="Y202" s="87">
        <v>7702.8385899999994</v>
      </c>
      <c r="Z202" s="52">
        <v>1062.46442</v>
      </c>
      <c r="AA202" s="52">
        <v>6640.3741699999991</v>
      </c>
    </row>
    <row r="203" spans="1:27" ht="12" customHeight="1" x14ac:dyDescent="0.25">
      <c r="A203" s="55">
        <v>2019</v>
      </c>
      <c r="B203" s="55" t="s">
        <v>4</v>
      </c>
      <c r="C203" s="57">
        <v>0</v>
      </c>
      <c r="D203" s="78">
        <v>0</v>
      </c>
      <c r="E203" s="78">
        <v>0</v>
      </c>
      <c r="F203" s="82">
        <v>3572.5549900000001</v>
      </c>
      <c r="G203" s="78">
        <v>0</v>
      </c>
      <c r="H203" s="78">
        <v>3572.5549900000001</v>
      </c>
      <c r="I203" s="48">
        <v>24.459</v>
      </c>
      <c r="J203" s="82">
        <v>2954.0578300000002</v>
      </c>
      <c r="K203" s="78">
        <v>923.28337999999997</v>
      </c>
      <c r="L203" s="78">
        <v>2030.7744500000001</v>
      </c>
      <c r="M203" s="82">
        <v>0</v>
      </c>
      <c r="N203" s="78">
        <v>0</v>
      </c>
      <c r="O203" s="79">
        <v>0</v>
      </c>
      <c r="P203" s="82">
        <v>490.29861000000005</v>
      </c>
      <c r="Q203" s="78">
        <v>0</v>
      </c>
      <c r="R203" s="52">
        <v>490.29861000000005</v>
      </c>
      <c r="S203" s="48"/>
      <c r="T203" s="78"/>
      <c r="U203" s="52">
        <v>0</v>
      </c>
      <c r="V203" s="48">
        <v>1097.0319999999999</v>
      </c>
      <c r="W203" s="52">
        <v>1097.0319999999999</v>
      </c>
      <c r="X203" s="52">
        <v>0</v>
      </c>
      <c r="Y203" s="87">
        <v>8138.4024300000001</v>
      </c>
      <c r="Z203" s="52">
        <v>2044.7743800000001</v>
      </c>
      <c r="AA203" s="52">
        <v>6093.6280500000003</v>
      </c>
    </row>
    <row r="204" spans="1:27" ht="12" customHeight="1" x14ac:dyDescent="0.25">
      <c r="A204" s="55">
        <v>2019</v>
      </c>
      <c r="B204" s="55" t="s">
        <v>5</v>
      </c>
      <c r="C204" s="57">
        <v>0</v>
      </c>
      <c r="D204" s="78">
        <v>0</v>
      </c>
      <c r="E204" s="78">
        <v>0</v>
      </c>
      <c r="F204" s="82">
        <v>3987.7409900000002</v>
      </c>
      <c r="G204" s="78">
        <v>0</v>
      </c>
      <c r="H204" s="78">
        <v>3987.7409900000002</v>
      </c>
      <c r="I204" s="48">
        <v>25.28</v>
      </c>
      <c r="J204" s="82">
        <v>2169.6965</v>
      </c>
      <c r="K204" s="78">
        <v>0</v>
      </c>
      <c r="L204" s="78">
        <v>2169.6965</v>
      </c>
      <c r="M204" s="82">
        <v>0</v>
      </c>
      <c r="N204" s="78">
        <v>0</v>
      </c>
      <c r="O204" s="79">
        <v>0</v>
      </c>
      <c r="P204" s="82">
        <v>373.33878000000004</v>
      </c>
      <c r="Q204" s="78">
        <v>0</v>
      </c>
      <c r="R204" s="52">
        <v>373.33878000000004</v>
      </c>
      <c r="S204" s="48"/>
      <c r="T204" s="78"/>
      <c r="U204" s="52">
        <v>0</v>
      </c>
      <c r="V204" s="48">
        <v>0</v>
      </c>
      <c r="W204" s="52">
        <v>0</v>
      </c>
      <c r="X204" s="52">
        <v>0</v>
      </c>
      <c r="Y204" s="87">
        <v>6556.05627</v>
      </c>
      <c r="Z204" s="52">
        <v>25.28</v>
      </c>
      <c r="AA204" s="52">
        <v>6530.7762700000003</v>
      </c>
    </row>
    <row r="205" spans="1:27" ht="12" customHeight="1" x14ac:dyDescent="0.25">
      <c r="A205" s="55">
        <v>2019</v>
      </c>
      <c r="B205" s="55" t="s">
        <v>6</v>
      </c>
      <c r="C205" s="57">
        <v>0</v>
      </c>
      <c r="D205" s="78">
        <v>0</v>
      </c>
      <c r="E205" s="78">
        <v>0</v>
      </c>
      <c r="F205" s="82">
        <v>2353.4067300000024</v>
      </c>
      <c r="G205" s="78">
        <v>0</v>
      </c>
      <c r="H205" s="78">
        <v>2353.4067300000024</v>
      </c>
      <c r="I205" s="48">
        <v>30.765999999999998</v>
      </c>
      <c r="J205" s="82">
        <v>2931.3742400000001</v>
      </c>
      <c r="K205" s="78">
        <v>926.53592000000003</v>
      </c>
      <c r="L205" s="78">
        <v>2004.8383200000001</v>
      </c>
      <c r="M205" s="82">
        <v>0</v>
      </c>
      <c r="N205" s="78">
        <v>0</v>
      </c>
      <c r="O205" s="79">
        <v>0</v>
      </c>
      <c r="P205" s="82">
        <v>214.18929</v>
      </c>
      <c r="Q205" s="78">
        <v>0</v>
      </c>
      <c r="R205" s="52">
        <v>214.18929</v>
      </c>
      <c r="S205" s="48"/>
      <c r="T205" s="78"/>
      <c r="U205" s="52">
        <v>0</v>
      </c>
      <c r="V205" s="48">
        <v>1093.0632000000001</v>
      </c>
      <c r="W205" s="52">
        <v>1093.0632000000001</v>
      </c>
      <c r="X205" s="52">
        <v>0</v>
      </c>
      <c r="Y205" s="87">
        <v>6622.799460000002</v>
      </c>
      <c r="Z205" s="52">
        <v>2050.3651199999999</v>
      </c>
      <c r="AA205" s="52">
        <v>4572.4343400000025</v>
      </c>
    </row>
    <row r="206" spans="1:27" ht="12" customHeight="1" x14ac:dyDescent="0.25">
      <c r="A206" s="55">
        <v>2019</v>
      </c>
      <c r="B206" s="55" t="s">
        <v>7</v>
      </c>
      <c r="C206" s="57">
        <v>0</v>
      </c>
      <c r="D206" s="78">
        <v>0</v>
      </c>
      <c r="E206" s="78">
        <v>0</v>
      </c>
      <c r="F206" s="82">
        <v>1201.9541399999998</v>
      </c>
      <c r="G206" s="78">
        <v>0</v>
      </c>
      <c r="H206" s="78">
        <v>1201.9541399999998</v>
      </c>
      <c r="I206" s="48">
        <v>38.805</v>
      </c>
      <c r="J206" s="82">
        <v>2770.7114200000001</v>
      </c>
      <c r="K206" s="78">
        <v>0</v>
      </c>
      <c r="L206" s="78">
        <v>2770.7114200000001</v>
      </c>
      <c r="M206" s="82">
        <v>0</v>
      </c>
      <c r="N206" s="78">
        <v>0</v>
      </c>
      <c r="O206" s="79">
        <v>0</v>
      </c>
      <c r="P206" s="82">
        <v>49.973959999999998</v>
      </c>
      <c r="Q206" s="78">
        <v>0</v>
      </c>
      <c r="R206" s="52">
        <v>49.973959999999998</v>
      </c>
      <c r="S206" s="48"/>
      <c r="T206" s="78"/>
      <c r="U206" s="52">
        <v>0</v>
      </c>
      <c r="V206" s="48">
        <v>2300.4841100000003</v>
      </c>
      <c r="W206" s="52">
        <v>2300.4841100000003</v>
      </c>
      <c r="X206" s="52">
        <v>0</v>
      </c>
      <c r="Y206" s="87">
        <v>6361.9286300000003</v>
      </c>
      <c r="Z206" s="52">
        <v>2339.2891100000002</v>
      </c>
      <c r="AA206" s="52">
        <v>4022.6395199999997</v>
      </c>
    </row>
    <row r="207" spans="1:27" ht="12" customHeight="1" x14ac:dyDescent="0.25">
      <c r="A207" s="55">
        <v>2019</v>
      </c>
      <c r="B207" s="55" t="s">
        <v>8</v>
      </c>
      <c r="C207" s="57">
        <v>0</v>
      </c>
      <c r="D207" s="78">
        <v>0</v>
      </c>
      <c r="E207" s="78">
        <v>0</v>
      </c>
      <c r="F207" s="82">
        <v>2179.2813900000019</v>
      </c>
      <c r="G207" s="78">
        <v>0</v>
      </c>
      <c r="H207" s="78">
        <v>2179.2813900000019</v>
      </c>
      <c r="I207" s="48">
        <v>29.175999999999998</v>
      </c>
      <c r="J207" s="82">
        <v>2865.2656900000002</v>
      </c>
      <c r="K207" s="78">
        <v>1874.1796600000002</v>
      </c>
      <c r="L207" s="78">
        <v>991.08602999999994</v>
      </c>
      <c r="M207" s="82">
        <v>0</v>
      </c>
      <c r="N207" s="78">
        <v>0</v>
      </c>
      <c r="O207" s="79">
        <v>0</v>
      </c>
      <c r="P207" s="82">
        <v>135.97193999999999</v>
      </c>
      <c r="Q207" s="78">
        <v>0</v>
      </c>
      <c r="R207" s="52">
        <v>135.97193999999999</v>
      </c>
      <c r="S207" s="48"/>
      <c r="T207" s="78"/>
      <c r="U207" s="52">
        <v>0</v>
      </c>
      <c r="V207" s="48">
        <v>2148.7182499999999</v>
      </c>
      <c r="W207" s="52">
        <v>2148.7182499999999</v>
      </c>
      <c r="X207" s="52">
        <v>0</v>
      </c>
      <c r="Y207" s="87">
        <v>7358.4132700000018</v>
      </c>
      <c r="Z207" s="52">
        <v>4052.0739100000001</v>
      </c>
      <c r="AA207" s="52">
        <v>3306.3393600000018</v>
      </c>
    </row>
    <row r="208" spans="1:27" ht="12" customHeight="1" x14ac:dyDescent="0.25">
      <c r="A208" s="55">
        <v>2019</v>
      </c>
      <c r="B208" s="55" t="s">
        <v>9</v>
      </c>
      <c r="C208" s="57">
        <v>0</v>
      </c>
      <c r="D208" s="78">
        <v>0</v>
      </c>
      <c r="E208" s="78">
        <v>0</v>
      </c>
      <c r="F208" s="82">
        <v>2753.8223799999996</v>
      </c>
      <c r="G208" s="78">
        <v>0</v>
      </c>
      <c r="H208" s="78">
        <v>2753.8223799999996</v>
      </c>
      <c r="I208" s="48">
        <v>31.347000000000001</v>
      </c>
      <c r="J208" s="82">
        <v>1988.7467399999998</v>
      </c>
      <c r="K208" s="78">
        <v>925.83906999999999</v>
      </c>
      <c r="L208" s="78">
        <v>1062.9076699999998</v>
      </c>
      <c r="M208" s="82">
        <v>0</v>
      </c>
      <c r="N208" s="78">
        <v>0</v>
      </c>
      <c r="O208" s="79">
        <v>0</v>
      </c>
      <c r="P208" s="82">
        <v>0</v>
      </c>
      <c r="Q208" s="78">
        <v>0</v>
      </c>
      <c r="R208" s="52">
        <v>0</v>
      </c>
      <c r="S208" s="48"/>
      <c r="T208" s="78"/>
      <c r="U208" s="52">
        <v>0</v>
      </c>
      <c r="V208" s="48">
        <v>6377.6372200000005</v>
      </c>
      <c r="W208" s="52">
        <v>6377.6372200000005</v>
      </c>
      <c r="X208" s="52">
        <v>0</v>
      </c>
      <c r="Y208" s="87">
        <v>11151.553339999999</v>
      </c>
      <c r="Z208" s="52">
        <v>7334.8232900000003</v>
      </c>
      <c r="AA208" s="52">
        <v>3816.7300499999992</v>
      </c>
    </row>
    <row r="209" spans="1:27" ht="12" customHeight="1" x14ac:dyDescent="0.25">
      <c r="A209" s="55">
        <v>2019</v>
      </c>
      <c r="B209" s="55" t="s">
        <v>10</v>
      </c>
      <c r="C209" s="57">
        <v>1038.3118400000001</v>
      </c>
      <c r="D209" s="78">
        <v>1038.3118400000001</v>
      </c>
      <c r="E209" s="78">
        <v>0</v>
      </c>
      <c r="F209" s="82">
        <v>3452.9819700000025</v>
      </c>
      <c r="G209" s="78">
        <v>0</v>
      </c>
      <c r="H209" s="78">
        <v>3452.9819700000025</v>
      </c>
      <c r="I209" s="48">
        <v>27.434999999999999</v>
      </c>
      <c r="J209" s="82">
        <v>1918.7500199999999</v>
      </c>
      <c r="K209" s="78">
        <v>868.64906999999994</v>
      </c>
      <c r="L209" s="78">
        <v>1050.10095</v>
      </c>
      <c r="M209" s="82">
        <v>0</v>
      </c>
      <c r="N209" s="78">
        <v>0</v>
      </c>
      <c r="O209" s="79">
        <v>0</v>
      </c>
      <c r="P209" s="82">
        <v>0</v>
      </c>
      <c r="Q209" s="78">
        <v>0</v>
      </c>
      <c r="R209" s="52">
        <v>0</v>
      </c>
      <c r="S209" s="48"/>
      <c r="T209" s="78"/>
      <c r="U209" s="52">
        <v>0</v>
      </c>
      <c r="V209" s="48">
        <v>6432.0653200000006</v>
      </c>
      <c r="W209" s="52">
        <v>6432.0653200000006</v>
      </c>
      <c r="X209" s="52">
        <v>0</v>
      </c>
      <c r="Y209" s="87">
        <v>12869.544150000003</v>
      </c>
      <c r="Z209" s="52">
        <v>8366.4612300000008</v>
      </c>
      <c r="AA209" s="52">
        <v>4503.0829200000026</v>
      </c>
    </row>
    <row r="210" spans="1:27" ht="12" customHeight="1" x14ac:dyDescent="0.25">
      <c r="A210" s="55">
        <v>2019</v>
      </c>
      <c r="B210" s="55" t="s">
        <v>11</v>
      </c>
      <c r="C210" s="57">
        <v>1.4801500000000001</v>
      </c>
      <c r="D210" s="78">
        <v>0</v>
      </c>
      <c r="E210" s="78">
        <v>1.4801500000000001</v>
      </c>
      <c r="F210" s="82">
        <v>2154.1871500000016</v>
      </c>
      <c r="G210" s="78">
        <v>0</v>
      </c>
      <c r="H210" s="78">
        <v>2154.1871500000016</v>
      </c>
      <c r="I210" s="82">
        <v>29.274999999999999</v>
      </c>
      <c r="J210" s="82">
        <v>1997.5756100000001</v>
      </c>
      <c r="K210" s="78">
        <v>0</v>
      </c>
      <c r="L210" s="78">
        <v>1997.5756100000001</v>
      </c>
      <c r="M210" s="82">
        <v>0</v>
      </c>
      <c r="N210" s="78">
        <v>0</v>
      </c>
      <c r="O210" s="79">
        <v>0</v>
      </c>
      <c r="P210" s="82">
        <v>0</v>
      </c>
      <c r="Q210" s="78">
        <v>0</v>
      </c>
      <c r="R210" s="52">
        <v>0</v>
      </c>
      <c r="S210" s="48"/>
      <c r="T210" s="78"/>
      <c r="U210" s="52">
        <v>0</v>
      </c>
      <c r="V210" s="48">
        <v>7479.8333700000012</v>
      </c>
      <c r="W210" s="52">
        <v>7479.8333700000012</v>
      </c>
      <c r="X210" s="52">
        <v>0</v>
      </c>
      <c r="Y210" s="87">
        <v>11662.351280000003</v>
      </c>
      <c r="Z210" s="52">
        <v>7509.1083700000008</v>
      </c>
      <c r="AA210" s="52">
        <v>4153.2429100000018</v>
      </c>
    </row>
    <row r="211" spans="1:27" ht="12" customHeight="1" x14ac:dyDescent="0.25">
      <c r="A211" s="55">
        <v>2019</v>
      </c>
      <c r="B211" s="55" t="s">
        <v>12</v>
      </c>
      <c r="C211" s="57">
        <v>9.1871399999999994</v>
      </c>
      <c r="D211" s="78">
        <v>0</v>
      </c>
      <c r="E211" s="78">
        <v>9.1871399999999994</v>
      </c>
      <c r="F211" s="82">
        <v>3793.8110100000004</v>
      </c>
      <c r="G211" s="78">
        <v>0</v>
      </c>
      <c r="H211" s="78">
        <v>3793.8110100000004</v>
      </c>
      <c r="I211" s="82">
        <v>30.117000000000001</v>
      </c>
      <c r="J211" s="82">
        <v>2237.5831499999999</v>
      </c>
      <c r="K211" s="78">
        <v>929.27051000000006</v>
      </c>
      <c r="L211" s="78">
        <v>1308.3126399999999</v>
      </c>
      <c r="M211" s="82">
        <v>0</v>
      </c>
      <c r="N211" s="78">
        <v>0</v>
      </c>
      <c r="O211" s="79">
        <v>0</v>
      </c>
      <c r="P211" s="82">
        <v>0</v>
      </c>
      <c r="Q211" s="78">
        <v>0</v>
      </c>
      <c r="R211" s="52">
        <v>0</v>
      </c>
      <c r="S211" s="48"/>
      <c r="T211" s="78"/>
      <c r="U211" s="52">
        <v>0</v>
      </c>
      <c r="V211" s="48">
        <v>3247.2380800000001</v>
      </c>
      <c r="W211" s="52">
        <v>3247.2380800000001</v>
      </c>
      <c r="X211" s="52">
        <v>0</v>
      </c>
      <c r="Y211" s="87">
        <v>9317.936380000001</v>
      </c>
      <c r="Z211" s="52">
        <v>4206.6255900000006</v>
      </c>
      <c r="AA211" s="52">
        <v>5111.3107900000005</v>
      </c>
    </row>
    <row r="212" spans="1:27" ht="12" customHeight="1" x14ac:dyDescent="0.25">
      <c r="A212" s="55">
        <v>2019</v>
      </c>
      <c r="B212" s="55" t="s">
        <v>13</v>
      </c>
      <c r="C212" s="57">
        <v>0</v>
      </c>
      <c r="D212" s="78">
        <v>0</v>
      </c>
      <c r="E212" s="78">
        <v>0</v>
      </c>
      <c r="F212" s="82">
        <v>256.42534000000001</v>
      </c>
      <c r="G212" s="78">
        <v>0</v>
      </c>
      <c r="H212" s="78">
        <v>256.42534000000001</v>
      </c>
      <c r="I212" s="82">
        <v>37.802</v>
      </c>
      <c r="J212" s="82">
        <v>1194.9333799999999</v>
      </c>
      <c r="K212" s="78">
        <v>0</v>
      </c>
      <c r="L212" s="78">
        <v>1194.9333799999999</v>
      </c>
      <c r="M212" s="82">
        <v>0</v>
      </c>
      <c r="N212" s="78">
        <v>0</v>
      </c>
      <c r="O212" s="79">
        <v>0</v>
      </c>
      <c r="P212" s="82">
        <v>95.079039999999992</v>
      </c>
      <c r="Q212" s="78">
        <v>0</v>
      </c>
      <c r="R212" s="52">
        <v>95.079039999999992</v>
      </c>
      <c r="S212" s="48"/>
      <c r="T212" s="78"/>
      <c r="U212" s="52">
        <v>0</v>
      </c>
      <c r="V212" s="48">
        <v>1158.1175000000001</v>
      </c>
      <c r="W212" s="52">
        <v>1158.1175000000001</v>
      </c>
      <c r="X212" s="52">
        <v>0</v>
      </c>
      <c r="Y212" s="87">
        <v>2742.3572599999998</v>
      </c>
      <c r="Z212" s="52">
        <v>1195.9195</v>
      </c>
      <c r="AA212" s="52">
        <v>1546.43776</v>
      </c>
    </row>
    <row r="213" spans="1:27" ht="12" customHeight="1" x14ac:dyDescent="0.25">
      <c r="A213" s="55">
        <v>2019</v>
      </c>
      <c r="B213" s="55" t="s">
        <v>14</v>
      </c>
      <c r="C213" s="57">
        <v>0</v>
      </c>
      <c r="D213" s="78">
        <v>0</v>
      </c>
      <c r="E213" s="78">
        <v>0</v>
      </c>
      <c r="F213" s="82">
        <v>78.956480000000013</v>
      </c>
      <c r="G213" s="78">
        <v>0</v>
      </c>
      <c r="H213" s="78">
        <v>78.956480000000013</v>
      </c>
      <c r="I213" s="82">
        <v>53.588999999999999</v>
      </c>
      <c r="J213" s="82">
        <v>1518.2561700000001</v>
      </c>
      <c r="K213" s="78">
        <v>926.23053000000004</v>
      </c>
      <c r="L213" s="78">
        <v>592.02564000000007</v>
      </c>
      <c r="M213" s="82">
        <v>0</v>
      </c>
      <c r="N213" s="78">
        <v>0</v>
      </c>
      <c r="O213" s="79">
        <v>0</v>
      </c>
      <c r="P213" s="82">
        <v>178.81214000000003</v>
      </c>
      <c r="Q213" s="78">
        <v>0</v>
      </c>
      <c r="R213" s="52">
        <v>178.81214000000003</v>
      </c>
      <c r="S213" s="48"/>
      <c r="T213" s="78"/>
      <c r="U213" s="52">
        <v>0</v>
      </c>
      <c r="V213" s="48">
        <v>3258.5558100000007</v>
      </c>
      <c r="W213" s="52">
        <v>3258.5558100000007</v>
      </c>
      <c r="X213" s="52">
        <v>0</v>
      </c>
      <c r="Y213" s="87">
        <v>5088.1696000000011</v>
      </c>
      <c r="Z213" s="52">
        <v>4238.3753400000005</v>
      </c>
      <c r="AA213" s="52">
        <v>849.79426000000012</v>
      </c>
    </row>
    <row r="214" spans="1:27" ht="12" customHeight="1" x14ac:dyDescent="0.25">
      <c r="A214" s="55">
        <v>2019</v>
      </c>
      <c r="B214" s="55" t="s">
        <v>15</v>
      </c>
      <c r="C214" s="57">
        <v>1048.9791300000002</v>
      </c>
      <c r="D214" s="78">
        <v>1038.3118400000001</v>
      </c>
      <c r="E214" s="78">
        <v>10.667289999999999</v>
      </c>
      <c r="F214" s="82">
        <v>29323.381830000006</v>
      </c>
      <c r="G214" s="78">
        <v>0</v>
      </c>
      <c r="H214" s="78">
        <v>29323.381830000006</v>
      </c>
      <c r="I214" s="82">
        <v>395.04600000000005</v>
      </c>
      <c r="J214" s="82">
        <v>27251.224559999995</v>
      </c>
      <c r="K214" s="78">
        <v>7373.9881400000004</v>
      </c>
      <c r="L214" s="78">
        <v>19877.236420000001</v>
      </c>
      <c r="M214" s="82">
        <v>0</v>
      </c>
      <c r="N214" s="78">
        <v>0</v>
      </c>
      <c r="O214" s="79">
        <v>0</v>
      </c>
      <c r="P214" s="82">
        <v>1935.50486</v>
      </c>
      <c r="Q214" s="78">
        <v>0</v>
      </c>
      <c r="R214" s="52">
        <v>1935.50486</v>
      </c>
      <c r="S214" s="48"/>
      <c r="T214" s="78"/>
      <c r="U214" s="52">
        <v>0</v>
      </c>
      <c r="V214" s="48">
        <v>35618.21428</v>
      </c>
      <c r="W214" s="52">
        <v>35618.21428</v>
      </c>
      <c r="X214" s="52">
        <v>0</v>
      </c>
      <c r="Y214" s="87">
        <v>95572.350660000026</v>
      </c>
      <c r="Z214" s="52">
        <v>44425.560259999998</v>
      </c>
      <c r="AA214" s="52">
        <v>51146.790400000013</v>
      </c>
    </row>
    <row r="215" spans="1:27" ht="12" customHeight="1" x14ac:dyDescent="0.25">
      <c r="A215" s="55">
        <v>2020</v>
      </c>
      <c r="B215" s="55" t="s">
        <v>3</v>
      </c>
      <c r="C215" s="57">
        <v>0</v>
      </c>
      <c r="D215" s="78">
        <v>0</v>
      </c>
      <c r="E215" s="78">
        <v>0</v>
      </c>
      <c r="F215" s="82">
        <v>1505.9576999999999</v>
      </c>
      <c r="G215" s="78">
        <v>0</v>
      </c>
      <c r="H215" s="78">
        <v>1505.9576999999999</v>
      </c>
      <c r="I215" s="82">
        <v>48.154000000000003</v>
      </c>
      <c r="J215" s="82">
        <v>1608.22363</v>
      </c>
      <c r="K215" s="78">
        <v>0</v>
      </c>
      <c r="L215" s="78">
        <v>1608.22363</v>
      </c>
      <c r="M215" s="82">
        <v>0</v>
      </c>
      <c r="N215" s="78">
        <v>0</v>
      </c>
      <c r="O215" s="79">
        <v>0</v>
      </c>
      <c r="P215" s="82">
        <v>378.20240000000001</v>
      </c>
      <c r="Q215" s="78">
        <v>0</v>
      </c>
      <c r="R215" s="52">
        <v>378.20240000000001</v>
      </c>
      <c r="S215" s="48">
        <v>0</v>
      </c>
      <c r="T215" s="78">
        <v>0</v>
      </c>
      <c r="U215" s="52">
        <v>0</v>
      </c>
      <c r="V215" s="48">
        <v>3282.741</v>
      </c>
      <c r="W215" s="52">
        <v>3282.741</v>
      </c>
      <c r="X215" s="52">
        <v>0</v>
      </c>
      <c r="Y215" s="87">
        <v>6823.27873</v>
      </c>
      <c r="Z215" s="52">
        <v>3330.895</v>
      </c>
      <c r="AA215" s="52">
        <v>3492.38373</v>
      </c>
    </row>
    <row r="216" spans="1:27" ht="12" customHeight="1" x14ac:dyDescent="0.25">
      <c r="A216" s="55">
        <v>2020</v>
      </c>
      <c r="B216" s="55" t="s">
        <v>4</v>
      </c>
      <c r="C216" s="57">
        <v>0</v>
      </c>
      <c r="D216" s="78">
        <v>0</v>
      </c>
      <c r="E216" s="78">
        <v>0</v>
      </c>
      <c r="F216" s="82">
        <v>2073.0830300000002</v>
      </c>
      <c r="G216" s="78">
        <v>0</v>
      </c>
      <c r="H216" s="78">
        <v>2073.0830300000002</v>
      </c>
      <c r="I216" s="82">
        <v>48.688000000000002</v>
      </c>
      <c r="J216" s="82">
        <v>2030.82429</v>
      </c>
      <c r="K216" s="78">
        <v>941.92448999999999</v>
      </c>
      <c r="L216" s="78">
        <v>1088.8998000000001</v>
      </c>
      <c r="M216" s="82">
        <v>0</v>
      </c>
      <c r="N216" s="78">
        <v>0</v>
      </c>
      <c r="O216" s="79">
        <v>0</v>
      </c>
      <c r="P216" s="82">
        <v>228.65655999999998</v>
      </c>
      <c r="Q216" s="78">
        <v>0</v>
      </c>
      <c r="R216" s="52">
        <v>228.65655999999998</v>
      </c>
      <c r="S216" s="48">
        <v>0</v>
      </c>
      <c r="T216" s="78">
        <v>0</v>
      </c>
      <c r="U216" s="52">
        <v>0</v>
      </c>
      <c r="V216" s="48">
        <v>1092.74596</v>
      </c>
      <c r="W216" s="52">
        <v>1092.74596</v>
      </c>
      <c r="X216" s="52">
        <v>0</v>
      </c>
      <c r="Y216" s="87">
        <v>5473.99784</v>
      </c>
      <c r="Z216" s="52">
        <v>2083.3584499999997</v>
      </c>
      <c r="AA216" s="52">
        <v>3390.6393900000003</v>
      </c>
    </row>
    <row r="217" spans="1:27" ht="12" customHeight="1" x14ac:dyDescent="0.25">
      <c r="A217" s="55">
        <v>2020</v>
      </c>
      <c r="B217" s="55" t="s">
        <v>5</v>
      </c>
      <c r="C217" s="57">
        <v>0</v>
      </c>
      <c r="D217" s="78">
        <v>0</v>
      </c>
      <c r="E217" s="78">
        <v>0</v>
      </c>
      <c r="F217" s="82">
        <v>1013.05199</v>
      </c>
      <c r="G217" s="78">
        <v>0</v>
      </c>
      <c r="H217" s="78">
        <v>1013.05199</v>
      </c>
      <c r="I217" s="82">
        <v>32.631</v>
      </c>
      <c r="J217" s="82">
        <v>1085.8299199999999</v>
      </c>
      <c r="K217" s="78">
        <v>0</v>
      </c>
      <c r="L217" s="78">
        <v>1085.8299199999999</v>
      </c>
      <c r="M217" s="82">
        <v>0</v>
      </c>
      <c r="N217" s="78">
        <v>0</v>
      </c>
      <c r="O217" s="79">
        <v>0</v>
      </c>
      <c r="P217" s="82">
        <v>59.915999999999997</v>
      </c>
      <c r="Q217" s="78">
        <v>0</v>
      </c>
      <c r="R217" s="52">
        <v>59.915999999999997</v>
      </c>
      <c r="S217" s="48">
        <v>0</v>
      </c>
      <c r="T217" s="78">
        <v>0</v>
      </c>
      <c r="U217" s="52">
        <v>0</v>
      </c>
      <c r="V217" s="48">
        <v>5347.9752099999996</v>
      </c>
      <c r="W217" s="52">
        <v>5347.9752099999996</v>
      </c>
      <c r="X217" s="52">
        <v>0</v>
      </c>
      <c r="Y217" s="87">
        <v>7539.4041200000001</v>
      </c>
      <c r="Z217" s="52">
        <v>5380.6062099999999</v>
      </c>
      <c r="AA217" s="52">
        <v>2158.7979100000002</v>
      </c>
    </row>
    <row r="218" spans="1:27" ht="12" customHeight="1" x14ac:dyDescent="0.25">
      <c r="A218" s="55">
        <v>2020</v>
      </c>
      <c r="B218" s="55" t="s">
        <v>6</v>
      </c>
      <c r="C218" s="57">
        <v>0</v>
      </c>
      <c r="D218" s="78">
        <v>0</v>
      </c>
      <c r="E218" s="78">
        <v>0</v>
      </c>
      <c r="F218" s="82">
        <v>1441.6821699999996</v>
      </c>
      <c r="G218" s="78">
        <v>0</v>
      </c>
      <c r="H218" s="78">
        <v>1441.6821699999996</v>
      </c>
      <c r="I218" s="82">
        <v>11.542999999999999</v>
      </c>
      <c r="J218" s="82">
        <v>759.11593999999991</v>
      </c>
      <c r="K218" s="78">
        <v>0</v>
      </c>
      <c r="L218" s="78">
        <v>759.11593999999991</v>
      </c>
      <c r="M218" s="82">
        <v>0</v>
      </c>
      <c r="N218" s="78">
        <v>0</v>
      </c>
      <c r="O218" s="79">
        <v>0</v>
      </c>
      <c r="P218" s="82">
        <v>595.8501</v>
      </c>
      <c r="Q218" s="78">
        <v>0</v>
      </c>
      <c r="R218" s="52">
        <v>595.8501</v>
      </c>
      <c r="S218" s="48">
        <v>0</v>
      </c>
      <c r="T218" s="78">
        <v>0</v>
      </c>
      <c r="U218" s="52">
        <v>0</v>
      </c>
      <c r="V218" s="48">
        <v>2190.4594299999999</v>
      </c>
      <c r="W218" s="52">
        <v>2190.4594299999999</v>
      </c>
      <c r="X218" s="52">
        <v>0</v>
      </c>
      <c r="Y218" s="87">
        <v>4998.6506399999998</v>
      </c>
      <c r="Z218" s="52">
        <v>2202.00243</v>
      </c>
      <c r="AA218" s="52">
        <v>2796.6482099999998</v>
      </c>
    </row>
    <row r="219" spans="1:27" ht="12" customHeight="1" x14ac:dyDescent="0.25">
      <c r="A219" s="55">
        <v>2020</v>
      </c>
      <c r="B219" s="55" t="s">
        <v>7</v>
      </c>
      <c r="C219" s="57">
        <v>14.09755</v>
      </c>
      <c r="D219" s="78">
        <v>0</v>
      </c>
      <c r="E219" s="78">
        <v>14.09755</v>
      </c>
      <c r="F219" s="82">
        <v>1458.4365500000001</v>
      </c>
      <c r="G219" s="78">
        <v>0</v>
      </c>
      <c r="H219" s="78">
        <v>1458.4365500000001</v>
      </c>
      <c r="I219" s="82">
        <v>10.393000000000001</v>
      </c>
      <c r="J219" s="82">
        <v>1880.6649700000003</v>
      </c>
      <c r="K219" s="78">
        <v>910.33606000000009</v>
      </c>
      <c r="L219" s="78">
        <v>970.32891000000006</v>
      </c>
      <c r="M219" s="82">
        <v>0</v>
      </c>
      <c r="N219" s="78">
        <v>0</v>
      </c>
      <c r="O219" s="79">
        <v>0</v>
      </c>
      <c r="P219" s="82">
        <v>128.25650999999999</v>
      </c>
      <c r="Q219" s="78">
        <v>0</v>
      </c>
      <c r="R219" s="52">
        <v>128.25650999999999</v>
      </c>
      <c r="S219" s="48">
        <v>0</v>
      </c>
      <c r="T219" s="78">
        <v>0</v>
      </c>
      <c r="U219" s="52">
        <v>0</v>
      </c>
      <c r="V219" s="48">
        <v>2192.3857699999999</v>
      </c>
      <c r="W219" s="52">
        <v>2192.3857699999999</v>
      </c>
      <c r="X219" s="52">
        <v>0</v>
      </c>
      <c r="Y219" s="87">
        <v>5684.2343500000006</v>
      </c>
      <c r="Z219" s="52">
        <v>3113.11483</v>
      </c>
      <c r="AA219" s="52">
        <v>2571.1195200000002</v>
      </c>
    </row>
    <row r="220" spans="1:27" ht="12" customHeight="1" x14ac:dyDescent="0.25">
      <c r="A220" s="55">
        <v>2020</v>
      </c>
      <c r="B220" s="55" t="s">
        <v>8</v>
      </c>
      <c r="C220" s="57">
        <v>136.87535</v>
      </c>
      <c r="D220" s="78">
        <v>0</v>
      </c>
      <c r="E220" s="78">
        <v>136.87535</v>
      </c>
      <c r="F220" s="82">
        <v>2711.9950399999998</v>
      </c>
      <c r="G220" s="78">
        <v>881.66300000000001</v>
      </c>
      <c r="H220" s="78">
        <v>1830.3320399999998</v>
      </c>
      <c r="I220" s="82">
        <v>0</v>
      </c>
      <c r="J220" s="82">
        <v>2229.9751699999997</v>
      </c>
      <c r="K220" s="78">
        <v>901.37543000000005</v>
      </c>
      <c r="L220" s="78">
        <v>1328.5997399999999</v>
      </c>
      <c r="M220" s="82">
        <v>0</v>
      </c>
      <c r="N220" s="78">
        <v>0</v>
      </c>
      <c r="O220" s="79">
        <v>0</v>
      </c>
      <c r="P220" s="82">
        <v>64.175640000000001</v>
      </c>
      <c r="Q220" s="78">
        <v>0</v>
      </c>
      <c r="R220" s="52">
        <v>64.175640000000001</v>
      </c>
      <c r="S220" s="48">
        <v>0</v>
      </c>
      <c r="T220" s="78">
        <v>0</v>
      </c>
      <c r="U220" s="52">
        <v>0</v>
      </c>
      <c r="V220" s="48">
        <v>4364.9301899999991</v>
      </c>
      <c r="W220" s="52">
        <v>4364.9301899999991</v>
      </c>
      <c r="X220" s="52">
        <v>0</v>
      </c>
      <c r="Y220" s="87">
        <v>9507.9513899999984</v>
      </c>
      <c r="Z220" s="52">
        <v>6147.9686199999996</v>
      </c>
      <c r="AA220" s="52">
        <v>3359.9827699999996</v>
      </c>
    </row>
    <row r="221" spans="1:27" ht="12" customHeight="1" x14ac:dyDescent="0.25">
      <c r="A221" s="55">
        <v>2020</v>
      </c>
      <c r="B221" s="55" t="s">
        <v>9</v>
      </c>
      <c r="C221" s="57">
        <v>360.78663</v>
      </c>
      <c r="D221" s="78">
        <v>0</v>
      </c>
      <c r="E221" s="78">
        <v>360.78663</v>
      </c>
      <c r="F221" s="82">
        <v>2568.2951399999997</v>
      </c>
      <c r="G221" s="78">
        <v>0</v>
      </c>
      <c r="H221" s="78">
        <v>2568.2951399999997</v>
      </c>
      <c r="I221" s="82">
        <v>14.269</v>
      </c>
      <c r="J221" s="82">
        <v>1064.1205400000001</v>
      </c>
      <c r="K221" s="78">
        <v>0</v>
      </c>
      <c r="L221" s="78">
        <v>1064.1205400000001</v>
      </c>
      <c r="M221" s="82">
        <v>0</v>
      </c>
      <c r="N221" s="78">
        <v>0</v>
      </c>
      <c r="O221" s="79">
        <v>0</v>
      </c>
      <c r="P221" s="82">
        <v>0</v>
      </c>
      <c r="Q221" s="78">
        <v>0</v>
      </c>
      <c r="R221" s="52">
        <v>0</v>
      </c>
      <c r="S221" s="48">
        <v>0</v>
      </c>
      <c r="T221" s="78">
        <v>0</v>
      </c>
      <c r="U221" s="52">
        <v>0</v>
      </c>
      <c r="V221" s="48">
        <v>3219.39338</v>
      </c>
      <c r="W221" s="52">
        <v>3219.39338</v>
      </c>
      <c r="X221" s="52">
        <v>0</v>
      </c>
      <c r="Y221" s="87">
        <v>7226.8646900000003</v>
      </c>
      <c r="Z221" s="52">
        <v>3233.6623799999998</v>
      </c>
      <c r="AA221" s="52">
        <v>3993.2023100000001</v>
      </c>
    </row>
    <row r="222" spans="1:27" ht="12" customHeight="1" x14ac:dyDescent="0.25">
      <c r="A222" s="55">
        <v>2020</v>
      </c>
      <c r="B222" s="55" t="s">
        <v>10</v>
      </c>
      <c r="C222" s="57">
        <v>52.875160000000001</v>
      </c>
      <c r="D222" s="78">
        <v>0</v>
      </c>
      <c r="E222" s="78">
        <v>52.875160000000001</v>
      </c>
      <c r="F222" s="82">
        <v>2422.6265200000007</v>
      </c>
      <c r="G222" s="78">
        <v>0</v>
      </c>
      <c r="H222" s="78">
        <v>2422.6265200000007</v>
      </c>
      <c r="I222" s="82">
        <v>27.442</v>
      </c>
      <c r="J222" s="82">
        <v>3575.8117099999999</v>
      </c>
      <c r="K222" s="78">
        <v>1842.5012099999999</v>
      </c>
      <c r="L222" s="78">
        <v>1733.3105</v>
      </c>
      <c r="M222" s="82">
        <v>0</v>
      </c>
      <c r="N222" s="78">
        <v>0</v>
      </c>
      <c r="O222" s="79">
        <v>0</v>
      </c>
      <c r="P222" s="82">
        <v>12.024049999999999</v>
      </c>
      <c r="Q222" s="78">
        <v>0</v>
      </c>
      <c r="R222" s="52">
        <v>12.024049999999999</v>
      </c>
      <c r="S222" s="48">
        <v>0</v>
      </c>
      <c r="T222" s="78">
        <v>0</v>
      </c>
      <c r="U222" s="52">
        <v>0</v>
      </c>
      <c r="V222" s="48">
        <v>2066.5862900000002</v>
      </c>
      <c r="W222" s="52">
        <v>2066.5862900000002</v>
      </c>
      <c r="X222" s="52">
        <v>0</v>
      </c>
      <c r="Y222" s="87">
        <v>8157.3657300000013</v>
      </c>
      <c r="Z222" s="52">
        <v>3936.5295000000001</v>
      </c>
      <c r="AA222" s="52">
        <v>4220.8362300000008</v>
      </c>
    </row>
    <row r="223" spans="1:27" ht="12" customHeight="1" x14ac:dyDescent="0.25">
      <c r="A223" s="55">
        <v>2020</v>
      </c>
      <c r="B223" s="55" t="s">
        <v>11</v>
      </c>
      <c r="C223" s="57">
        <v>0</v>
      </c>
      <c r="D223" s="78">
        <v>0</v>
      </c>
      <c r="E223" s="78">
        <v>0</v>
      </c>
      <c r="F223" s="82">
        <v>2376.11265</v>
      </c>
      <c r="G223" s="78">
        <v>922.04953</v>
      </c>
      <c r="H223" s="78">
        <v>1454.06312</v>
      </c>
      <c r="I223" s="82">
        <v>12.771000000000001</v>
      </c>
      <c r="J223" s="82">
        <v>1763.2329399999999</v>
      </c>
      <c r="K223" s="78">
        <v>924.04939000000002</v>
      </c>
      <c r="L223" s="78">
        <v>839.18354999999997</v>
      </c>
      <c r="M223" s="82">
        <v>0</v>
      </c>
      <c r="N223" s="78">
        <v>0</v>
      </c>
      <c r="O223" s="79">
        <v>0</v>
      </c>
      <c r="P223" s="82">
        <v>28.252500000000001</v>
      </c>
      <c r="Q223" s="78">
        <v>0</v>
      </c>
      <c r="R223" s="52">
        <v>28.252500000000001</v>
      </c>
      <c r="S223" s="48">
        <v>0</v>
      </c>
      <c r="T223" s="78">
        <v>0</v>
      </c>
      <c r="U223" s="52">
        <v>0</v>
      </c>
      <c r="V223" s="48">
        <v>5297.8080500000005</v>
      </c>
      <c r="W223" s="52">
        <v>5297.8080500000005</v>
      </c>
      <c r="X223" s="52">
        <v>0</v>
      </c>
      <c r="Y223" s="87">
        <v>9478.1771399999998</v>
      </c>
      <c r="Z223" s="52">
        <v>7156.6779700000006</v>
      </c>
      <c r="AA223" s="52">
        <v>2321.49917</v>
      </c>
    </row>
    <row r="224" spans="1:27" ht="12" customHeight="1" x14ac:dyDescent="0.25">
      <c r="A224" s="55">
        <v>2020</v>
      </c>
      <c r="B224" s="55" t="s">
        <v>12</v>
      </c>
      <c r="C224" s="57">
        <v>0</v>
      </c>
      <c r="D224" s="78">
        <v>0</v>
      </c>
      <c r="E224" s="78">
        <v>0</v>
      </c>
      <c r="F224" s="82">
        <v>486.36815999999999</v>
      </c>
      <c r="G224" s="78">
        <v>0</v>
      </c>
      <c r="H224" s="78">
        <v>486.36815999999999</v>
      </c>
      <c r="I224" s="82">
        <v>0</v>
      </c>
      <c r="J224" s="82">
        <v>238.96119000000002</v>
      </c>
      <c r="K224" s="78">
        <v>0</v>
      </c>
      <c r="L224" s="78">
        <v>238.96119000000002</v>
      </c>
      <c r="M224" s="82">
        <v>0</v>
      </c>
      <c r="N224" s="78">
        <v>0</v>
      </c>
      <c r="O224" s="79">
        <v>0</v>
      </c>
      <c r="P224" s="82">
        <v>0</v>
      </c>
      <c r="Q224" s="78">
        <v>0</v>
      </c>
      <c r="R224" s="52">
        <v>0</v>
      </c>
      <c r="S224" s="48">
        <v>0</v>
      </c>
      <c r="T224" s="78">
        <v>0</v>
      </c>
      <c r="U224" s="52">
        <v>0</v>
      </c>
      <c r="V224" s="48">
        <v>3065.5074599999998</v>
      </c>
      <c r="W224" s="52">
        <v>3065.5074599999998</v>
      </c>
      <c r="X224" s="52">
        <v>0</v>
      </c>
      <c r="Y224" s="87">
        <v>3790.8368099999998</v>
      </c>
      <c r="Z224" s="52">
        <v>3065.5074599999998</v>
      </c>
      <c r="AA224" s="52">
        <v>725.32934999999998</v>
      </c>
    </row>
    <row r="225" spans="1:27" ht="12" customHeight="1" x14ac:dyDescent="0.25">
      <c r="A225" s="55">
        <v>2020</v>
      </c>
      <c r="B225" s="55" t="s">
        <v>13</v>
      </c>
      <c r="C225" s="57">
        <v>0</v>
      </c>
      <c r="D225" s="78">
        <v>0</v>
      </c>
      <c r="E225" s="78">
        <v>0</v>
      </c>
      <c r="F225" s="82">
        <v>1195.8063800000002</v>
      </c>
      <c r="G225" s="78">
        <v>0</v>
      </c>
      <c r="H225" s="78">
        <v>1195.8063800000002</v>
      </c>
      <c r="I225" s="82">
        <v>17.843</v>
      </c>
      <c r="J225" s="82">
        <v>664.85884999999996</v>
      </c>
      <c r="K225" s="78">
        <v>0</v>
      </c>
      <c r="L225" s="78">
        <v>664.85884999999996</v>
      </c>
      <c r="M225" s="82">
        <v>0</v>
      </c>
      <c r="N225" s="78">
        <v>0</v>
      </c>
      <c r="O225" s="79">
        <v>0</v>
      </c>
      <c r="P225" s="82">
        <v>43.58717</v>
      </c>
      <c r="Q225" s="78">
        <v>0</v>
      </c>
      <c r="R225" s="52">
        <v>43.58717</v>
      </c>
      <c r="S225" s="48">
        <v>0</v>
      </c>
      <c r="T225" s="78">
        <v>0</v>
      </c>
      <c r="U225" s="52">
        <v>0</v>
      </c>
      <c r="V225" s="48">
        <v>4332.0272300000006</v>
      </c>
      <c r="W225" s="52">
        <v>4332.0272300000006</v>
      </c>
      <c r="X225" s="52">
        <v>0</v>
      </c>
      <c r="Y225" s="87">
        <v>6254.1226300000008</v>
      </c>
      <c r="Z225" s="52">
        <v>4349.8702300000004</v>
      </c>
      <c r="AA225" s="52">
        <v>1904.2524000000001</v>
      </c>
    </row>
    <row r="226" spans="1:27" ht="12" customHeight="1" x14ac:dyDescent="0.25">
      <c r="A226" s="55">
        <v>2020</v>
      </c>
      <c r="B226" s="55" t="s">
        <v>14</v>
      </c>
      <c r="C226" s="57">
        <v>0</v>
      </c>
      <c r="D226" s="78">
        <v>0</v>
      </c>
      <c r="E226" s="78">
        <v>0</v>
      </c>
      <c r="F226" s="82">
        <v>2974.0336499999999</v>
      </c>
      <c r="G226" s="78">
        <v>0</v>
      </c>
      <c r="H226" s="78">
        <v>2974.0336499999999</v>
      </c>
      <c r="I226" s="82">
        <v>0</v>
      </c>
      <c r="J226" s="82">
        <v>1408.8345200000001</v>
      </c>
      <c r="K226" s="78">
        <v>0</v>
      </c>
      <c r="L226" s="78">
        <v>1408.8345200000001</v>
      </c>
      <c r="M226" s="82">
        <v>0</v>
      </c>
      <c r="N226" s="78">
        <v>0</v>
      </c>
      <c r="O226" s="79">
        <v>0</v>
      </c>
      <c r="P226" s="82">
        <v>317.87945999999999</v>
      </c>
      <c r="Q226" s="78">
        <v>0</v>
      </c>
      <c r="R226" s="52">
        <v>317.87945999999999</v>
      </c>
      <c r="S226" s="48">
        <v>0</v>
      </c>
      <c r="T226" s="78">
        <v>0</v>
      </c>
      <c r="U226" s="52">
        <v>0</v>
      </c>
      <c r="V226" s="48">
        <v>1627.9855400000001</v>
      </c>
      <c r="W226" s="52">
        <v>1627.9855400000001</v>
      </c>
      <c r="X226" s="52">
        <v>0</v>
      </c>
      <c r="Y226" s="87">
        <v>6328.7331699999995</v>
      </c>
      <c r="Z226" s="52">
        <v>1627.9855400000001</v>
      </c>
      <c r="AA226" s="52">
        <v>4700.7476299999998</v>
      </c>
    </row>
    <row r="227" spans="1:27" ht="12" customHeight="1" x14ac:dyDescent="0.25">
      <c r="A227" s="55">
        <v>2020</v>
      </c>
      <c r="B227" s="55" t="s">
        <v>15</v>
      </c>
      <c r="C227" s="57">
        <v>564.63469000000009</v>
      </c>
      <c r="D227" s="78">
        <v>0</v>
      </c>
      <c r="E227" s="78">
        <v>564.63469000000009</v>
      </c>
      <c r="F227" s="82">
        <v>22227.448980000005</v>
      </c>
      <c r="G227" s="78">
        <v>1803.71253</v>
      </c>
      <c r="H227" s="78">
        <v>20423.736450000004</v>
      </c>
      <c r="I227" s="82">
        <v>223.73400000000001</v>
      </c>
      <c r="J227" s="82">
        <v>18310.453669999999</v>
      </c>
      <c r="K227" s="78">
        <v>5520.1865799999996</v>
      </c>
      <c r="L227" s="78">
        <v>12790.267089999999</v>
      </c>
      <c r="M227" s="82">
        <v>0</v>
      </c>
      <c r="N227" s="78">
        <v>0</v>
      </c>
      <c r="O227" s="79">
        <v>0</v>
      </c>
      <c r="P227" s="82">
        <v>1856.8003899999999</v>
      </c>
      <c r="Q227" s="78">
        <v>0</v>
      </c>
      <c r="R227" s="52">
        <v>1856.8003899999999</v>
      </c>
      <c r="S227" s="48">
        <v>0</v>
      </c>
      <c r="T227" s="78">
        <v>0</v>
      </c>
      <c r="U227" s="52">
        <v>0</v>
      </c>
      <c r="V227" s="48">
        <v>38080.545510000004</v>
      </c>
      <c r="W227" s="52">
        <v>38080.545510000004</v>
      </c>
      <c r="X227" s="52">
        <v>0</v>
      </c>
      <c r="Y227" s="87">
        <v>81263.617239999992</v>
      </c>
      <c r="Z227" s="52">
        <v>45628.178620000006</v>
      </c>
      <c r="AA227" s="52">
        <v>35635.438620000001</v>
      </c>
    </row>
    <row r="228" spans="1:27" ht="12" customHeight="1" x14ac:dyDescent="0.25">
      <c r="A228" s="55">
        <v>2021</v>
      </c>
      <c r="B228" s="55" t="s">
        <v>3</v>
      </c>
      <c r="C228" s="57">
        <v>0</v>
      </c>
      <c r="D228" s="78">
        <v>0</v>
      </c>
      <c r="E228" s="78">
        <v>0</v>
      </c>
      <c r="F228" s="82">
        <v>3665.6963300000029</v>
      </c>
      <c r="G228" s="78">
        <v>0</v>
      </c>
      <c r="H228" s="78">
        <v>3665.6963300000029</v>
      </c>
      <c r="I228" s="82">
        <v>13.327</v>
      </c>
      <c r="J228" s="82">
        <v>2425.32071</v>
      </c>
      <c r="K228" s="78">
        <v>0</v>
      </c>
      <c r="L228" s="78">
        <v>2425.32071</v>
      </c>
      <c r="M228" s="82">
        <v>0</v>
      </c>
      <c r="N228" s="78">
        <v>0</v>
      </c>
      <c r="O228" s="79">
        <v>0</v>
      </c>
      <c r="P228" s="82">
        <v>358.31841000000003</v>
      </c>
      <c r="Q228" s="78">
        <v>0.59632000000000007</v>
      </c>
      <c r="R228" s="52">
        <v>357.72209000000004</v>
      </c>
      <c r="S228" s="48">
        <v>0</v>
      </c>
      <c r="T228" s="78">
        <v>0</v>
      </c>
      <c r="U228" s="52">
        <v>0</v>
      </c>
      <c r="V228" s="48">
        <v>2640.5592399999996</v>
      </c>
      <c r="W228" s="52">
        <v>2640.5592399999996</v>
      </c>
      <c r="X228" s="52">
        <v>0</v>
      </c>
      <c r="Y228" s="87">
        <v>9103.2216900000021</v>
      </c>
      <c r="Z228" s="52">
        <v>2654.4825599999995</v>
      </c>
      <c r="AA228" s="52">
        <v>6448.7391300000027</v>
      </c>
    </row>
    <row r="229" spans="1:27" ht="12" customHeight="1" x14ac:dyDescent="0.25">
      <c r="A229" s="55">
        <v>2021</v>
      </c>
      <c r="B229" s="55" t="s">
        <v>4</v>
      </c>
      <c r="C229" s="57">
        <v>0</v>
      </c>
      <c r="D229" s="78">
        <v>0</v>
      </c>
      <c r="E229" s="78">
        <v>0</v>
      </c>
      <c r="F229" s="82">
        <v>201.45599999999999</v>
      </c>
      <c r="G229" s="78">
        <v>0</v>
      </c>
      <c r="H229" s="78">
        <v>201.45599999999999</v>
      </c>
      <c r="I229" s="82">
        <v>0</v>
      </c>
      <c r="J229" s="82">
        <v>462.32555999999994</v>
      </c>
      <c r="K229" s="78">
        <v>0</v>
      </c>
      <c r="L229" s="78">
        <v>462.32555999999994</v>
      </c>
      <c r="M229" s="82">
        <v>0</v>
      </c>
      <c r="N229" s="78">
        <v>0</v>
      </c>
      <c r="O229" s="79">
        <v>0</v>
      </c>
      <c r="P229" s="82">
        <v>209.29938000000001</v>
      </c>
      <c r="Q229" s="78">
        <v>0</v>
      </c>
      <c r="R229" s="52">
        <v>209.29938000000001</v>
      </c>
      <c r="S229" s="48">
        <v>0</v>
      </c>
      <c r="T229" s="78">
        <v>0</v>
      </c>
      <c r="U229" s="52">
        <v>0</v>
      </c>
      <c r="V229" s="48">
        <v>4602.9399199999998</v>
      </c>
      <c r="W229" s="52">
        <v>4602.9399199999998</v>
      </c>
      <c r="X229" s="52">
        <v>0</v>
      </c>
      <c r="Y229" s="87">
        <v>5476.0208599999996</v>
      </c>
      <c r="Z229" s="52">
        <v>4602.9399199999998</v>
      </c>
      <c r="AA229" s="52">
        <v>873.08093999999994</v>
      </c>
    </row>
    <row r="230" spans="1:27" ht="12" customHeight="1" x14ac:dyDescent="0.25">
      <c r="A230" s="55">
        <v>2021</v>
      </c>
      <c r="B230" s="55" t="s">
        <v>5</v>
      </c>
      <c r="C230" s="57">
        <v>0</v>
      </c>
      <c r="D230" s="78">
        <v>0</v>
      </c>
      <c r="E230" s="78">
        <v>0</v>
      </c>
      <c r="F230" s="82">
        <v>475.02982000000009</v>
      </c>
      <c r="G230" s="78">
        <v>0</v>
      </c>
      <c r="H230" s="78">
        <v>475.02982000000009</v>
      </c>
      <c r="I230" s="82">
        <v>32.384</v>
      </c>
      <c r="J230" s="82">
        <v>265.62061999999997</v>
      </c>
      <c r="K230" s="78">
        <v>0</v>
      </c>
      <c r="L230" s="78">
        <v>265.62061999999997</v>
      </c>
      <c r="M230" s="82">
        <v>0</v>
      </c>
      <c r="N230" s="78">
        <v>0</v>
      </c>
      <c r="O230" s="79">
        <v>0</v>
      </c>
      <c r="P230" s="82">
        <v>968.63285000000008</v>
      </c>
      <c r="Q230" s="78">
        <v>0</v>
      </c>
      <c r="R230" s="52">
        <v>968.63285000000008</v>
      </c>
      <c r="S230" s="48">
        <v>0</v>
      </c>
      <c r="T230" s="78">
        <v>0</v>
      </c>
      <c r="U230" s="52">
        <v>0</v>
      </c>
      <c r="V230" s="48">
        <v>3229.80636</v>
      </c>
      <c r="W230" s="52">
        <v>3229.80636</v>
      </c>
      <c r="X230" s="52">
        <v>0</v>
      </c>
      <c r="Y230" s="87">
        <v>4971.4736499999999</v>
      </c>
      <c r="Z230" s="52">
        <v>3262.1903600000001</v>
      </c>
      <c r="AA230" s="52">
        <v>1709.2832900000003</v>
      </c>
    </row>
    <row r="231" spans="1:27" ht="12" customHeight="1" x14ac:dyDescent="0.25">
      <c r="A231" s="55">
        <v>2021</v>
      </c>
      <c r="B231" s="55" t="s">
        <v>6</v>
      </c>
      <c r="C231" s="57">
        <v>0</v>
      </c>
      <c r="D231" s="78">
        <v>0</v>
      </c>
      <c r="E231" s="78">
        <v>0</v>
      </c>
      <c r="F231" s="82">
        <v>1579.14606</v>
      </c>
      <c r="G231" s="78">
        <v>0</v>
      </c>
      <c r="H231" s="78">
        <v>1579.14606</v>
      </c>
      <c r="I231" s="82">
        <v>12.465999999999999</v>
      </c>
      <c r="J231" s="82">
        <v>608.62918999999999</v>
      </c>
      <c r="K231" s="78">
        <v>0</v>
      </c>
      <c r="L231" s="78">
        <v>608.62918999999999</v>
      </c>
      <c r="M231" s="82">
        <v>0</v>
      </c>
      <c r="N231" s="78">
        <v>0</v>
      </c>
      <c r="O231" s="79">
        <v>0</v>
      </c>
      <c r="P231" s="82">
        <v>280.51643999999999</v>
      </c>
      <c r="Q231" s="78">
        <v>0</v>
      </c>
      <c r="R231" s="52">
        <v>280.51643999999999</v>
      </c>
      <c r="S231" s="48">
        <v>0</v>
      </c>
      <c r="T231" s="78">
        <v>0</v>
      </c>
      <c r="U231" s="52">
        <v>0</v>
      </c>
      <c r="V231" s="48">
        <v>2182.3946399999995</v>
      </c>
      <c r="W231" s="52">
        <v>2182.3946399999995</v>
      </c>
      <c r="X231" s="52">
        <v>0</v>
      </c>
      <c r="Y231" s="87">
        <v>4663.152329999999</v>
      </c>
      <c r="Z231" s="52">
        <v>2194.8606399999994</v>
      </c>
      <c r="AA231" s="52">
        <v>2468.29169</v>
      </c>
    </row>
    <row r="232" spans="1:27" ht="12" customHeight="1" x14ac:dyDescent="0.25">
      <c r="A232" s="55">
        <v>2021</v>
      </c>
      <c r="B232" s="55" t="s">
        <v>7</v>
      </c>
      <c r="C232" s="57">
        <v>0</v>
      </c>
      <c r="D232" s="78">
        <v>0</v>
      </c>
      <c r="E232" s="78">
        <v>0</v>
      </c>
      <c r="F232" s="82">
        <v>270.51673999999997</v>
      </c>
      <c r="G232" s="78">
        <v>0</v>
      </c>
      <c r="H232" s="78">
        <v>270.51673999999997</v>
      </c>
      <c r="I232" s="82">
        <v>16.513000000000002</v>
      </c>
      <c r="J232" s="82">
        <v>805.59027999999989</v>
      </c>
      <c r="K232" s="78">
        <v>0</v>
      </c>
      <c r="L232" s="78">
        <v>805.59027999999989</v>
      </c>
      <c r="M232" s="82">
        <v>0</v>
      </c>
      <c r="N232" s="78">
        <v>0</v>
      </c>
      <c r="O232" s="79">
        <v>0</v>
      </c>
      <c r="P232" s="82">
        <v>134.69215</v>
      </c>
      <c r="Q232" s="78">
        <v>0</v>
      </c>
      <c r="R232" s="52">
        <v>134.69215</v>
      </c>
      <c r="S232" s="48">
        <v>0</v>
      </c>
      <c r="T232" s="78">
        <v>0</v>
      </c>
      <c r="U232" s="52">
        <v>0</v>
      </c>
      <c r="V232" s="48">
        <v>2162.70642</v>
      </c>
      <c r="W232" s="52">
        <v>2162.70642</v>
      </c>
      <c r="X232" s="52">
        <v>0</v>
      </c>
      <c r="Y232" s="87">
        <v>3390.0185899999997</v>
      </c>
      <c r="Z232" s="52">
        <v>2179.2194199999999</v>
      </c>
      <c r="AA232" s="52">
        <v>1210.79917</v>
      </c>
    </row>
    <row r="233" spans="1:27" ht="12" customHeight="1" x14ac:dyDescent="0.25">
      <c r="A233" s="55">
        <v>2021</v>
      </c>
      <c r="B233" s="55" t="s">
        <v>8</v>
      </c>
      <c r="C233" s="57">
        <v>0</v>
      </c>
      <c r="D233" s="78">
        <v>0</v>
      </c>
      <c r="E233" s="78">
        <v>0</v>
      </c>
      <c r="F233" s="82">
        <v>461.55619999999999</v>
      </c>
      <c r="G233" s="78">
        <v>0</v>
      </c>
      <c r="H233" s="78">
        <v>461.55619999999999</v>
      </c>
      <c r="I233" s="82">
        <v>13.695</v>
      </c>
      <c r="J233" s="82">
        <v>496.56936999999999</v>
      </c>
      <c r="K233" s="78">
        <v>0</v>
      </c>
      <c r="L233" s="78">
        <v>496.56936999999999</v>
      </c>
      <c r="M233" s="82">
        <v>0</v>
      </c>
      <c r="N233" s="78">
        <v>0</v>
      </c>
      <c r="O233" s="79">
        <v>0</v>
      </c>
      <c r="P233" s="82">
        <v>0</v>
      </c>
      <c r="Q233" s="78">
        <v>0</v>
      </c>
      <c r="R233" s="52">
        <v>0</v>
      </c>
      <c r="S233" s="48">
        <v>0</v>
      </c>
      <c r="T233" s="78">
        <v>0</v>
      </c>
      <c r="U233" s="52">
        <v>0</v>
      </c>
      <c r="V233" s="48">
        <v>6587.1915200000012</v>
      </c>
      <c r="W233" s="52">
        <v>6587.1915200000012</v>
      </c>
      <c r="X233" s="52">
        <v>0</v>
      </c>
      <c r="Y233" s="87">
        <v>7559.0120900000011</v>
      </c>
      <c r="Z233" s="52">
        <v>6600.8865200000009</v>
      </c>
      <c r="AA233" s="52">
        <v>958.12556999999993</v>
      </c>
    </row>
    <row r="234" spans="1:27" ht="12" customHeight="1" x14ac:dyDescent="0.25">
      <c r="A234" s="55">
        <v>2021</v>
      </c>
      <c r="B234" s="55" t="s">
        <v>9</v>
      </c>
      <c r="C234" s="57">
        <v>0</v>
      </c>
      <c r="D234" s="78">
        <v>0</v>
      </c>
      <c r="E234" s="78">
        <v>0</v>
      </c>
      <c r="F234" s="82">
        <v>1585.0718700000002</v>
      </c>
      <c r="G234" s="78">
        <v>0</v>
      </c>
      <c r="H234" s="78">
        <v>1585.0718700000002</v>
      </c>
      <c r="I234" s="82">
        <v>35.143999999999998</v>
      </c>
      <c r="J234" s="82">
        <v>1334.9349600000003</v>
      </c>
      <c r="K234" s="78">
        <v>0</v>
      </c>
      <c r="L234" s="78">
        <v>1334.9349600000003</v>
      </c>
      <c r="M234" s="82">
        <v>0</v>
      </c>
      <c r="N234" s="78">
        <v>0</v>
      </c>
      <c r="O234" s="79">
        <v>0</v>
      </c>
      <c r="P234" s="82">
        <v>44.457409999999996</v>
      </c>
      <c r="Q234" s="78">
        <v>0.19888999999999998</v>
      </c>
      <c r="R234" s="52">
        <v>44.258519999999997</v>
      </c>
      <c r="S234" s="48">
        <v>0</v>
      </c>
      <c r="T234" s="78">
        <v>0</v>
      </c>
      <c r="U234" s="52">
        <v>0</v>
      </c>
      <c r="V234" s="48">
        <v>2203.7999399999999</v>
      </c>
      <c r="W234" s="52">
        <v>2203.7999399999999</v>
      </c>
      <c r="X234" s="52">
        <v>0</v>
      </c>
      <c r="Y234" s="87">
        <v>5203.4081800000004</v>
      </c>
      <c r="Z234" s="52">
        <v>2239.1428299999998</v>
      </c>
      <c r="AA234" s="52">
        <v>2964.2653500000001</v>
      </c>
    </row>
    <row r="235" spans="1:27" ht="12" customHeight="1" x14ac:dyDescent="0.25">
      <c r="A235" s="55">
        <v>2021</v>
      </c>
      <c r="B235" s="55" t="s">
        <v>10</v>
      </c>
      <c r="C235" s="57">
        <v>0</v>
      </c>
      <c r="D235" s="78">
        <v>0</v>
      </c>
      <c r="E235" s="78">
        <v>0</v>
      </c>
      <c r="F235" s="82">
        <v>1264.2267300000003</v>
      </c>
      <c r="G235" s="78">
        <v>0</v>
      </c>
      <c r="H235" s="78">
        <v>1264.2267300000003</v>
      </c>
      <c r="I235" s="82">
        <v>70.543999999999997</v>
      </c>
      <c r="J235" s="82">
        <v>1133.44199</v>
      </c>
      <c r="K235" s="78">
        <v>0</v>
      </c>
      <c r="L235" s="78">
        <v>1133.44199</v>
      </c>
      <c r="M235" s="82">
        <v>0</v>
      </c>
      <c r="N235" s="78">
        <v>0</v>
      </c>
      <c r="O235" s="79">
        <v>0</v>
      </c>
      <c r="P235" s="82">
        <v>446.86908</v>
      </c>
      <c r="Q235" s="78">
        <v>0</v>
      </c>
      <c r="R235" s="52">
        <v>446.86908</v>
      </c>
      <c r="S235" s="48">
        <v>0</v>
      </c>
      <c r="T235" s="78">
        <v>0</v>
      </c>
      <c r="U235" s="52">
        <v>0</v>
      </c>
      <c r="V235" s="48">
        <v>2227.57656</v>
      </c>
      <c r="W235" s="52">
        <v>2227.57656</v>
      </c>
      <c r="X235" s="52">
        <v>0</v>
      </c>
      <c r="Y235" s="87">
        <v>5142.6583600000004</v>
      </c>
      <c r="Z235" s="52">
        <v>2298.1205599999998</v>
      </c>
      <c r="AA235" s="52">
        <v>2844.5378000000005</v>
      </c>
    </row>
    <row r="236" spans="1:27" ht="12" customHeight="1" x14ac:dyDescent="0.25">
      <c r="A236" s="55">
        <v>2021</v>
      </c>
      <c r="B236" s="55" t="s">
        <v>11</v>
      </c>
      <c r="C236" s="57">
        <v>1.76149</v>
      </c>
      <c r="D236" s="78">
        <v>0</v>
      </c>
      <c r="E236" s="78">
        <v>1.76149</v>
      </c>
      <c r="F236" s="82">
        <v>2067.8488899999998</v>
      </c>
      <c r="G236" s="78">
        <v>0</v>
      </c>
      <c r="H236" s="78">
        <v>2067.8488899999998</v>
      </c>
      <c r="I236" s="82">
        <v>47.463000000000001</v>
      </c>
      <c r="J236" s="82">
        <v>944.57130000000006</v>
      </c>
      <c r="K236" s="78">
        <v>0</v>
      </c>
      <c r="L236" s="78">
        <v>944.57130000000006</v>
      </c>
      <c r="M236" s="82">
        <v>0</v>
      </c>
      <c r="N236" s="78">
        <v>0</v>
      </c>
      <c r="O236" s="79">
        <v>0</v>
      </c>
      <c r="P236" s="82">
        <v>528.93333999999993</v>
      </c>
      <c r="Q236" s="78">
        <v>0</v>
      </c>
      <c r="R236" s="52">
        <v>528.93333999999993</v>
      </c>
      <c r="S236" s="48">
        <v>0</v>
      </c>
      <c r="T236" s="78">
        <v>0</v>
      </c>
      <c r="U236" s="52">
        <v>0</v>
      </c>
      <c r="V236" s="48">
        <v>0</v>
      </c>
      <c r="W236" s="52">
        <v>0</v>
      </c>
      <c r="X236" s="52">
        <v>0</v>
      </c>
      <c r="Y236" s="87">
        <v>3590.5780199999999</v>
      </c>
      <c r="Z236" s="52">
        <v>47.463000000000001</v>
      </c>
      <c r="AA236" s="52">
        <v>3543.1150199999997</v>
      </c>
    </row>
    <row r="237" spans="1:27" ht="12" customHeight="1" x14ac:dyDescent="0.25">
      <c r="A237" s="55">
        <v>2021</v>
      </c>
      <c r="B237" s="55" t="s">
        <v>12</v>
      </c>
      <c r="C237" s="57">
        <v>0</v>
      </c>
      <c r="D237" s="78">
        <v>0</v>
      </c>
      <c r="E237" s="78">
        <v>0</v>
      </c>
      <c r="F237" s="82">
        <v>1883.9520199999999</v>
      </c>
      <c r="G237" s="78">
        <v>0</v>
      </c>
      <c r="H237" s="78">
        <v>1883.9520199999999</v>
      </c>
      <c r="I237" s="82">
        <v>15.225</v>
      </c>
      <c r="J237" s="82">
        <v>962.56939999999997</v>
      </c>
      <c r="K237" s="78">
        <v>0</v>
      </c>
      <c r="L237" s="78">
        <v>962.56939999999997</v>
      </c>
      <c r="M237" s="82">
        <v>0</v>
      </c>
      <c r="N237" s="78">
        <v>0</v>
      </c>
      <c r="O237" s="79">
        <v>0</v>
      </c>
      <c r="P237" s="82">
        <v>72.144289999999998</v>
      </c>
      <c r="Q237" s="78">
        <v>0</v>
      </c>
      <c r="R237" s="52">
        <v>72.144289999999998</v>
      </c>
      <c r="S237" s="48">
        <v>0</v>
      </c>
      <c r="T237" s="78">
        <v>0</v>
      </c>
      <c r="U237" s="52">
        <v>0</v>
      </c>
      <c r="V237" s="48">
        <v>2560.8480800000002</v>
      </c>
      <c r="W237" s="52">
        <v>2560.8480800000002</v>
      </c>
      <c r="X237" s="52">
        <v>0</v>
      </c>
      <c r="Y237" s="87">
        <v>5494.7387900000003</v>
      </c>
      <c r="Z237" s="52">
        <v>2576.0730800000001</v>
      </c>
      <c r="AA237" s="52">
        <v>2918.6657100000002</v>
      </c>
    </row>
    <row r="238" spans="1:27" ht="12" customHeight="1" x14ac:dyDescent="0.25">
      <c r="A238" s="55">
        <v>2021</v>
      </c>
      <c r="B238" s="55" t="s">
        <v>13</v>
      </c>
      <c r="C238" s="57">
        <v>0</v>
      </c>
      <c r="D238" s="78">
        <v>0</v>
      </c>
      <c r="E238" s="78">
        <v>0</v>
      </c>
      <c r="F238" s="82">
        <v>4035.3370500000001</v>
      </c>
      <c r="G238" s="78">
        <v>1059.0801100000001</v>
      </c>
      <c r="H238" s="78">
        <v>2976.2569399999998</v>
      </c>
      <c r="I238" s="82">
        <v>42.771999999999998</v>
      </c>
      <c r="J238" s="82">
        <v>1401.5089800000001</v>
      </c>
      <c r="K238" s="78">
        <v>0</v>
      </c>
      <c r="L238" s="78">
        <v>1401.5089800000001</v>
      </c>
      <c r="M238" s="82">
        <v>0</v>
      </c>
      <c r="N238" s="78">
        <v>0</v>
      </c>
      <c r="O238" s="79">
        <v>0</v>
      </c>
      <c r="P238" s="82">
        <v>330.30065000000002</v>
      </c>
      <c r="Q238" s="78">
        <v>0</v>
      </c>
      <c r="R238" s="52">
        <v>330.30065000000002</v>
      </c>
      <c r="S238" s="48">
        <v>0</v>
      </c>
      <c r="T238" s="78">
        <v>0</v>
      </c>
      <c r="U238" s="52">
        <v>0</v>
      </c>
      <c r="V238" s="48">
        <v>3603.5307799999996</v>
      </c>
      <c r="W238" s="52">
        <v>3603.5307799999996</v>
      </c>
      <c r="X238" s="52">
        <v>0</v>
      </c>
      <c r="Y238" s="87">
        <v>9413.4494599999998</v>
      </c>
      <c r="Z238" s="52">
        <v>4705.3828899999999</v>
      </c>
      <c r="AA238" s="52">
        <v>4708.06657</v>
      </c>
    </row>
    <row r="239" spans="1:27" ht="12" customHeight="1" x14ac:dyDescent="0.25">
      <c r="A239" s="55">
        <v>2021</v>
      </c>
      <c r="B239" s="55" t="s">
        <v>14</v>
      </c>
      <c r="C239" s="57">
        <v>0</v>
      </c>
      <c r="D239" s="78">
        <v>0</v>
      </c>
      <c r="E239" s="78">
        <v>0</v>
      </c>
      <c r="F239" s="82">
        <v>2734.6013699999994</v>
      </c>
      <c r="G239" s="78">
        <v>0</v>
      </c>
      <c r="H239" s="78">
        <v>2734.6013699999994</v>
      </c>
      <c r="I239" s="82">
        <v>15.321</v>
      </c>
      <c r="J239" s="82">
        <v>920.55691999999988</v>
      </c>
      <c r="K239" s="78">
        <v>0</v>
      </c>
      <c r="L239" s="78">
        <v>920.55691999999988</v>
      </c>
      <c r="M239" s="82">
        <v>0</v>
      </c>
      <c r="N239" s="78">
        <v>0</v>
      </c>
      <c r="O239" s="79">
        <v>0</v>
      </c>
      <c r="P239" s="82">
        <v>186.98244999999997</v>
      </c>
      <c r="Q239" s="78">
        <v>0</v>
      </c>
      <c r="R239" s="52">
        <v>186.98244999999997</v>
      </c>
      <c r="S239" s="48">
        <v>0</v>
      </c>
      <c r="T239" s="78">
        <v>0</v>
      </c>
      <c r="U239" s="52">
        <v>0</v>
      </c>
      <c r="V239" s="48">
        <v>4195.2506399999993</v>
      </c>
      <c r="W239" s="52">
        <v>4195.2506399999993</v>
      </c>
      <c r="X239" s="52">
        <v>0</v>
      </c>
      <c r="Y239" s="87">
        <v>8052.712379999999</v>
      </c>
      <c r="Z239" s="52">
        <v>4210.5716399999992</v>
      </c>
      <c r="AA239" s="52">
        <v>3842.1407399999994</v>
      </c>
    </row>
    <row r="240" spans="1:27" ht="12" customHeight="1" x14ac:dyDescent="0.25">
      <c r="A240" s="55">
        <v>2021</v>
      </c>
      <c r="B240" s="55" t="s">
        <v>15</v>
      </c>
      <c r="C240" s="57">
        <v>1.76149</v>
      </c>
      <c r="D240" s="78">
        <v>0</v>
      </c>
      <c r="E240" s="78">
        <v>1.76149</v>
      </c>
      <c r="F240" s="82">
        <v>20224.439080000004</v>
      </c>
      <c r="G240" s="78">
        <v>1059.0801100000001</v>
      </c>
      <c r="H240" s="78">
        <v>19165.358970000005</v>
      </c>
      <c r="I240" s="82">
        <v>314.85399999999998</v>
      </c>
      <c r="J240" s="82">
        <v>11761.639280000001</v>
      </c>
      <c r="K240" s="78">
        <v>0</v>
      </c>
      <c r="L240" s="78">
        <v>11761.639280000001</v>
      </c>
      <c r="M240" s="82">
        <v>0</v>
      </c>
      <c r="N240" s="78">
        <v>0</v>
      </c>
      <c r="O240" s="79">
        <v>0</v>
      </c>
      <c r="P240" s="82">
        <v>3561.1464500000006</v>
      </c>
      <c r="Q240" s="78">
        <v>0.79521000000000008</v>
      </c>
      <c r="R240" s="52">
        <v>3560.3512400000004</v>
      </c>
      <c r="S240" s="48">
        <v>0</v>
      </c>
      <c r="T240" s="78">
        <v>0</v>
      </c>
      <c r="U240" s="52">
        <v>0</v>
      </c>
      <c r="V240" s="48">
        <v>36196.604100000004</v>
      </c>
      <c r="W240" s="52">
        <v>36196.604100000004</v>
      </c>
      <c r="X240" s="52">
        <v>0</v>
      </c>
      <c r="Y240" s="87">
        <v>72060.444400000008</v>
      </c>
      <c r="Z240" s="52">
        <v>37571.333420000003</v>
      </c>
      <c r="AA240" s="52">
        <v>34489.110980000005</v>
      </c>
    </row>
    <row r="241" spans="1:27" ht="12" customHeight="1" x14ac:dyDescent="0.25">
      <c r="A241" s="55">
        <v>2022</v>
      </c>
      <c r="B241" s="55" t="s">
        <v>3</v>
      </c>
      <c r="C241" s="57">
        <v>0</v>
      </c>
      <c r="D241" s="78">
        <v>0</v>
      </c>
      <c r="E241" s="78">
        <v>0</v>
      </c>
      <c r="F241" s="82">
        <v>1616.1246599999999</v>
      </c>
      <c r="G241" s="78">
        <v>4.2029100000000001</v>
      </c>
      <c r="H241" s="78">
        <v>1611.92175</v>
      </c>
      <c r="I241" s="82">
        <v>73.623000000000005</v>
      </c>
      <c r="J241" s="82">
        <v>239.71697</v>
      </c>
      <c r="K241" s="78">
        <v>0</v>
      </c>
      <c r="L241" s="78">
        <v>239.71697</v>
      </c>
      <c r="M241" s="82">
        <v>0</v>
      </c>
      <c r="N241" s="78">
        <v>0</v>
      </c>
      <c r="O241" s="79">
        <v>0</v>
      </c>
      <c r="P241" s="82">
        <v>338.04695000000004</v>
      </c>
      <c r="Q241" s="78">
        <v>0</v>
      </c>
      <c r="R241" s="52">
        <v>338.04695000000004</v>
      </c>
      <c r="S241" s="48">
        <v>0</v>
      </c>
      <c r="T241" s="78">
        <v>0</v>
      </c>
      <c r="U241" s="52">
        <v>0</v>
      </c>
      <c r="V241" s="48">
        <v>2178.4280199999998</v>
      </c>
      <c r="W241" s="52">
        <v>2178.4280199999998</v>
      </c>
      <c r="X241" s="52">
        <v>0</v>
      </c>
      <c r="Y241" s="87">
        <v>4445.9395999999997</v>
      </c>
      <c r="Z241" s="52">
        <v>2256.2539299999999</v>
      </c>
      <c r="AA241" s="52">
        <v>2189.6856699999998</v>
      </c>
    </row>
    <row r="242" spans="1:27" ht="12" customHeight="1" x14ac:dyDescent="0.25">
      <c r="A242" s="55">
        <v>2022</v>
      </c>
      <c r="B242" s="55" t="s">
        <v>4</v>
      </c>
      <c r="C242" s="57">
        <v>0</v>
      </c>
      <c r="D242" s="78">
        <v>0</v>
      </c>
      <c r="E242" s="78">
        <v>0</v>
      </c>
      <c r="F242" s="82">
        <v>1430.0361</v>
      </c>
      <c r="G242" s="78">
        <v>0</v>
      </c>
      <c r="H242" s="78">
        <v>1430.0361</v>
      </c>
      <c r="I242" s="82">
        <v>32.110999999999997</v>
      </c>
      <c r="J242" s="82">
        <v>474.38595999999995</v>
      </c>
      <c r="K242" s="78">
        <v>0</v>
      </c>
      <c r="L242" s="78">
        <v>474.38595999999995</v>
      </c>
      <c r="M242" s="82">
        <v>0</v>
      </c>
      <c r="N242" s="78">
        <v>0</v>
      </c>
      <c r="O242" s="79">
        <v>0</v>
      </c>
      <c r="P242" s="82">
        <v>707.6433199999999</v>
      </c>
      <c r="Q242" s="78">
        <v>0</v>
      </c>
      <c r="R242" s="52">
        <v>707.6433199999999</v>
      </c>
      <c r="S242" s="48">
        <v>0</v>
      </c>
      <c r="T242" s="78">
        <v>0</v>
      </c>
      <c r="U242" s="52">
        <v>0</v>
      </c>
      <c r="V242" s="48">
        <v>2173.53721</v>
      </c>
      <c r="W242" s="52">
        <v>2173.53721</v>
      </c>
      <c r="X242" s="52">
        <v>0</v>
      </c>
      <c r="Y242" s="87">
        <v>4817.7135899999994</v>
      </c>
      <c r="Z242" s="52">
        <v>2205.6482099999998</v>
      </c>
      <c r="AA242" s="52">
        <v>2612.06538</v>
      </c>
    </row>
    <row r="243" spans="1:27" ht="12" customHeight="1" x14ac:dyDescent="0.25">
      <c r="A243" s="55">
        <v>2022</v>
      </c>
      <c r="B243" s="55" t="s">
        <v>5</v>
      </c>
      <c r="C243" s="57">
        <v>0</v>
      </c>
      <c r="D243" s="78">
        <v>0</v>
      </c>
      <c r="E243" s="78">
        <v>0</v>
      </c>
      <c r="F243" s="82">
        <v>322.74492999999995</v>
      </c>
      <c r="G243" s="78">
        <v>0</v>
      </c>
      <c r="H243" s="78">
        <v>322.74492999999995</v>
      </c>
      <c r="I243" s="82">
        <v>14.101000000000001</v>
      </c>
      <c r="J243" s="82">
        <v>389.16727000000003</v>
      </c>
      <c r="K243" s="78">
        <v>0</v>
      </c>
      <c r="L243" s="78">
        <v>389.16727000000003</v>
      </c>
      <c r="M243" s="82">
        <v>0.19594</v>
      </c>
      <c r="N243" s="78">
        <v>0.19594</v>
      </c>
      <c r="O243" s="79">
        <v>0</v>
      </c>
      <c r="P243" s="82">
        <v>514.40779000000009</v>
      </c>
      <c r="Q243" s="78">
        <v>0</v>
      </c>
      <c r="R243" s="52">
        <v>514.40779000000009</v>
      </c>
      <c r="S243" s="48">
        <v>0</v>
      </c>
      <c r="T243" s="78">
        <v>0</v>
      </c>
      <c r="U243" s="52">
        <v>0</v>
      </c>
      <c r="V243" s="48">
        <v>3277.4671499999995</v>
      </c>
      <c r="W243" s="52">
        <v>3277.4671499999995</v>
      </c>
      <c r="X243" s="52">
        <v>0</v>
      </c>
      <c r="Y243" s="87">
        <v>4518.0840799999996</v>
      </c>
      <c r="Z243" s="52">
        <v>3291.7640899999997</v>
      </c>
      <c r="AA243" s="52">
        <v>1226.31999</v>
      </c>
    </row>
    <row r="244" spans="1:27" ht="12" customHeight="1" x14ac:dyDescent="0.25">
      <c r="A244" s="55">
        <v>2022</v>
      </c>
      <c r="B244" s="55" t="s">
        <v>6</v>
      </c>
      <c r="C244" s="57">
        <v>0</v>
      </c>
      <c r="D244" s="78">
        <v>0</v>
      </c>
      <c r="E244" s="78">
        <v>0</v>
      </c>
      <c r="F244" s="82">
        <v>283.55027000000001</v>
      </c>
      <c r="G244" s="78">
        <v>0</v>
      </c>
      <c r="H244" s="78">
        <v>283.55027000000001</v>
      </c>
      <c r="I244" s="82">
        <v>10.566000000000001</v>
      </c>
      <c r="J244" s="82">
        <v>180.48008999999999</v>
      </c>
      <c r="K244" s="78">
        <v>0</v>
      </c>
      <c r="L244" s="78">
        <v>180.48008999999999</v>
      </c>
      <c r="M244" s="82">
        <v>0</v>
      </c>
      <c r="N244" s="78">
        <v>0</v>
      </c>
      <c r="O244" s="79">
        <v>0</v>
      </c>
      <c r="P244" s="82">
        <v>613.78904999999997</v>
      </c>
      <c r="Q244" s="78">
        <v>0</v>
      </c>
      <c r="R244" s="52">
        <v>613.78904999999997</v>
      </c>
      <c r="S244" s="48">
        <v>0</v>
      </c>
      <c r="T244" s="78">
        <v>0</v>
      </c>
      <c r="U244" s="52">
        <v>0</v>
      </c>
      <c r="V244" s="48">
        <v>3278.2432799999997</v>
      </c>
      <c r="W244" s="52">
        <v>3278.2432799999997</v>
      </c>
      <c r="X244" s="52">
        <v>0</v>
      </c>
      <c r="Y244" s="87">
        <v>4366.6286899999996</v>
      </c>
      <c r="Z244" s="52">
        <v>3288.8092799999995</v>
      </c>
      <c r="AA244" s="52">
        <v>1077.8194100000001</v>
      </c>
    </row>
    <row r="245" spans="1:27" ht="12" customHeight="1" x14ac:dyDescent="0.25">
      <c r="A245" s="55">
        <v>2022</v>
      </c>
      <c r="B245" s="55" t="s">
        <v>7</v>
      </c>
      <c r="C245" s="57">
        <v>0</v>
      </c>
      <c r="D245" s="78">
        <v>0</v>
      </c>
      <c r="E245" s="78">
        <v>0</v>
      </c>
      <c r="F245" s="82">
        <v>144.24278000000001</v>
      </c>
      <c r="G245" s="78">
        <v>0</v>
      </c>
      <c r="H245" s="78">
        <v>144.24278000000001</v>
      </c>
      <c r="I245" s="82">
        <v>7.5830000000000002</v>
      </c>
      <c r="J245" s="82">
        <v>186.45713000000001</v>
      </c>
      <c r="K245" s="78">
        <v>0</v>
      </c>
      <c r="L245" s="78">
        <v>186.45713000000001</v>
      </c>
      <c r="M245" s="82">
        <v>0</v>
      </c>
      <c r="N245" s="78">
        <v>0</v>
      </c>
      <c r="O245" s="79">
        <v>0</v>
      </c>
      <c r="P245" s="82">
        <v>880.98448999999994</v>
      </c>
      <c r="Q245" s="78">
        <v>0</v>
      </c>
      <c r="R245" s="52">
        <v>880.98448999999994</v>
      </c>
      <c r="S245" s="48">
        <v>0</v>
      </c>
      <c r="T245" s="78">
        <v>0</v>
      </c>
      <c r="U245" s="52">
        <v>0</v>
      </c>
      <c r="V245" s="48">
        <v>4357.3920499999995</v>
      </c>
      <c r="W245" s="52">
        <v>4357.3920499999995</v>
      </c>
      <c r="X245" s="52">
        <v>0</v>
      </c>
      <c r="Y245" s="87">
        <v>5576.6594499999992</v>
      </c>
      <c r="Z245" s="52">
        <v>4364.9750499999991</v>
      </c>
      <c r="AA245" s="52">
        <v>1211.6844000000001</v>
      </c>
    </row>
    <row r="246" spans="1:27" ht="12" customHeight="1" x14ac:dyDescent="0.25">
      <c r="A246" s="55">
        <v>2022</v>
      </c>
      <c r="B246" s="55" t="s">
        <v>8</v>
      </c>
      <c r="C246" s="57">
        <v>0</v>
      </c>
      <c r="D246" s="78">
        <v>0</v>
      </c>
      <c r="E246" s="78">
        <v>0</v>
      </c>
      <c r="F246" s="82">
        <v>599.14265</v>
      </c>
      <c r="G246" s="78">
        <v>0</v>
      </c>
      <c r="H246" s="78">
        <v>599.14265</v>
      </c>
      <c r="I246" s="82">
        <v>18.834</v>
      </c>
      <c r="J246" s="82">
        <v>122.62148999999999</v>
      </c>
      <c r="K246" s="78">
        <v>0</v>
      </c>
      <c r="L246" s="78">
        <v>122.62148999999999</v>
      </c>
      <c r="M246" s="82">
        <v>0</v>
      </c>
      <c r="N246" s="78">
        <v>0</v>
      </c>
      <c r="O246" s="79">
        <v>0</v>
      </c>
      <c r="P246" s="82">
        <v>203.11583000000002</v>
      </c>
      <c r="Q246" s="78">
        <v>0</v>
      </c>
      <c r="R246" s="52">
        <v>203.11583000000002</v>
      </c>
      <c r="S246" s="48">
        <v>0</v>
      </c>
      <c r="T246" s="78">
        <v>0</v>
      </c>
      <c r="U246" s="52">
        <v>0</v>
      </c>
      <c r="V246" s="48">
        <v>8751.4236999999994</v>
      </c>
      <c r="W246" s="52">
        <v>8751.4236999999994</v>
      </c>
      <c r="X246" s="52">
        <v>0</v>
      </c>
      <c r="Y246" s="87">
        <v>9695.1376700000001</v>
      </c>
      <c r="Z246" s="52">
        <v>8770.2577000000001</v>
      </c>
      <c r="AA246" s="52">
        <v>924.87996999999996</v>
      </c>
    </row>
    <row r="247" spans="1:27" ht="12" customHeight="1" x14ac:dyDescent="0.25">
      <c r="A247" s="55">
        <v>2022</v>
      </c>
      <c r="B247" s="55" t="s">
        <v>9</v>
      </c>
      <c r="C247" s="57">
        <v>29.86627</v>
      </c>
      <c r="D247" s="78">
        <v>0</v>
      </c>
      <c r="E247" s="78">
        <v>29.86627</v>
      </c>
      <c r="F247" s="82">
        <v>1313.7771800000005</v>
      </c>
      <c r="G247" s="78">
        <v>0</v>
      </c>
      <c r="H247" s="78">
        <v>1313.7771800000005</v>
      </c>
      <c r="I247" s="82">
        <v>18.719000000000001</v>
      </c>
      <c r="J247" s="82">
        <v>218.13554000000002</v>
      </c>
      <c r="K247" s="78">
        <v>0</v>
      </c>
      <c r="L247" s="78">
        <v>218.13554000000002</v>
      </c>
      <c r="M247" s="82">
        <v>0</v>
      </c>
      <c r="N247" s="78">
        <v>0</v>
      </c>
      <c r="O247" s="79">
        <v>0</v>
      </c>
      <c r="P247" s="82">
        <v>125.95830000000001</v>
      </c>
      <c r="Q247" s="78">
        <v>0</v>
      </c>
      <c r="R247" s="52">
        <v>125.95830000000001</v>
      </c>
      <c r="S247" s="48">
        <v>0</v>
      </c>
      <c r="T247" s="78">
        <v>0</v>
      </c>
      <c r="U247" s="52">
        <v>0</v>
      </c>
      <c r="V247" s="48">
        <v>5316.6853899999996</v>
      </c>
      <c r="W247" s="52">
        <v>5316.6853899999996</v>
      </c>
      <c r="X247" s="52">
        <v>0</v>
      </c>
      <c r="Y247" s="87">
        <v>7023.1416800000006</v>
      </c>
      <c r="Z247" s="52">
        <v>5335.4043899999997</v>
      </c>
      <c r="AA247" s="52">
        <v>1687.7372900000005</v>
      </c>
    </row>
    <row r="248" spans="1:27" ht="12" customHeight="1" x14ac:dyDescent="0.25">
      <c r="A248" s="55">
        <v>2022</v>
      </c>
      <c r="B248" s="55" t="s">
        <v>10</v>
      </c>
      <c r="C248" s="57">
        <v>0</v>
      </c>
      <c r="D248" s="78">
        <v>0</v>
      </c>
      <c r="E248" s="78">
        <v>0</v>
      </c>
      <c r="F248" s="82">
        <v>4503.7978800000001</v>
      </c>
      <c r="G248" s="78">
        <v>1.9745599999999999</v>
      </c>
      <c r="H248" s="78">
        <v>4501.8233200000004</v>
      </c>
      <c r="I248" s="82">
        <v>0</v>
      </c>
      <c r="J248" s="82">
        <v>1123.7872600000001</v>
      </c>
      <c r="K248" s="78">
        <v>937.29117000000008</v>
      </c>
      <c r="L248" s="78">
        <v>186.49609000000001</v>
      </c>
      <c r="M248" s="82">
        <v>0</v>
      </c>
      <c r="N248" s="78">
        <v>0</v>
      </c>
      <c r="O248" s="79">
        <v>0</v>
      </c>
      <c r="P248" s="82">
        <v>140.73117000000002</v>
      </c>
      <c r="Q248" s="78">
        <v>0</v>
      </c>
      <c r="R248" s="52">
        <v>140.73117000000002</v>
      </c>
      <c r="S248" s="48">
        <v>0</v>
      </c>
      <c r="T248" s="78">
        <v>0</v>
      </c>
      <c r="U248" s="52">
        <v>0</v>
      </c>
      <c r="V248" s="48">
        <v>5598.6629299999995</v>
      </c>
      <c r="W248" s="52">
        <v>5598.6629299999995</v>
      </c>
      <c r="X248" s="52">
        <v>0</v>
      </c>
      <c r="Y248" s="87">
        <v>11366.979240000001</v>
      </c>
      <c r="Z248" s="52">
        <v>6537.9286599999996</v>
      </c>
      <c r="AA248" s="52">
        <v>4829.0505800000001</v>
      </c>
    </row>
    <row r="249" spans="1:27" ht="12" customHeight="1" x14ac:dyDescent="0.25">
      <c r="A249" s="55">
        <v>2022</v>
      </c>
      <c r="B249" s="55" t="s">
        <v>11</v>
      </c>
      <c r="C249" s="57">
        <v>0</v>
      </c>
      <c r="D249" s="78">
        <v>0</v>
      </c>
      <c r="E249" s="78">
        <v>0</v>
      </c>
      <c r="F249" s="82">
        <v>2443.2587100000001</v>
      </c>
      <c r="G249" s="78">
        <v>6.3928100000000008</v>
      </c>
      <c r="H249" s="78">
        <v>2436.8659000000002</v>
      </c>
      <c r="I249" s="82">
        <v>0</v>
      </c>
      <c r="J249" s="82">
        <v>180.48008999999999</v>
      </c>
      <c r="K249" s="78">
        <v>0</v>
      </c>
      <c r="L249" s="78">
        <v>180.48008999999999</v>
      </c>
      <c r="M249" s="82">
        <v>0</v>
      </c>
      <c r="N249" s="78">
        <v>0</v>
      </c>
      <c r="O249" s="79">
        <v>0</v>
      </c>
      <c r="P249" s="82">
        <v>74.502949999999998</v>
      </c>
      <c r="Q249" s="78">
        <v>0</v>
      </c>
      <c r="R249" s="52">
        <v>74.502949999999998</v>
      </c>
      <c r="S249" s="48">
        <v>0</v>
      </c>
      <c r="T249" s="78">
        <v>0</v>
      </c>
      <c r="U249" s="52">
        <v>0</v>
      </c>
      <c r="V249" s="48">
        <v>5355.2406200000005</v>
      </c>
      <c r="W249" s="52">
        <v>5355.2406200000005</v>
      </c>
      <c r="X249" s="52">
        <v>0</v>
      </c>
      <c r="Y249" s="87">
        <v>8053.4823700000015</v>
      </c>
      <c r="Z249" s="52">
        <v>5361.6334300000008</v>
      </c>
      <c r="AA249" s="52">
        <v>2691.8489400000003</v>
      </c>
    </row>
    <row r="250" spans="1:27" ht="12" customHeight="1" x14ac:dyDescent="0.25">
      <c r="A250" s="55">
        <v>2022</v>
      </c>
      <c r="B250" s="55" t="s">
        <v>12</v>
      </c>
      <c r="C250" s="57">
        <v>0</v>
      </c>
      <c r="D250" s="78">
        <v>0</v>
      </c>
      <c r="E250" s="78">
        <v>0</v>
      </c>
      <c r="F250" s="82">
        <v>5232.4951199999987</v>
      </c>
      <c r="G250" s="78">
        <v>3.2509999999999999</v>
      </c>
      <c r="H250" s="78">
        <v>5229.2441199999985</v>
      </c>
      <c r="I250" s="82">
        <v>0</v>
      </c>
      <c r="J250" s="82">
        <v>718.44373999999993</v>
      </c>
      <c r="K250" s="78">
        <v>619.50185999999997</v>
      </c>
      <c r="L250" s="78">
        <v>98.941879999999998</v>
      </c>
      <c r="M250" s="82">
        <v>0</v>
      </c>
      <c r="N250" s="78">
        <v>0</v>
      </c>
      <c r="O250" s="79">
        <v>0</v>
      </c>
      <c r="P250" s="82">
        <v>21.268349999999998</v>
      </c>
      <c r="Q250" s="78">
        <v>0</v>
      </c>
      <c r="R250" s="52">
        <v>21.268349999999998</v>
      </c>
      <c r="S250" s="48">
        <v>0</v>
      </c>
      <c r="T250" s="78">
        <v>0</v>
      </c>
      <c r="U250" s="52">
        <v>0</v>
      </c>
      <c r="V250" s="48">
        <v>4328.0125900000003</v>
      </c>
      <c r="W250" s="52">
        <v>4328.0125900000003</v>
      </c>
      <c r="X250" s="52">
        <v>0</v>
      </c>
      <c r="Y250" s="87">
        <v>10300.219799999999</v>
      </c>
      <c r="Z250" s="52">
        <v>4950.7654499999999</v>
      </c>
      <c r="AA250" s="52">
        <v>5349.4543499999991</v>
      </c>
    </row>
    <row r="251" spans="1:27" ht="12" customHeight="1" x14ac:dyDescent="0.25">
      <c r="A251" s="55">
        <v>2022</v>
      </c>
      <c r="B251" s="55" t="s">
        <v>13</v>
      </c>
      <c r="C251" s="57">
        <v>0</v>
      </c>
      <c r="D251" s="78">
        <v>0</v>
      </c>
      <c r="E251" s="78">
        <v>0</v>
      </c>
      <c r="F251" s="82">
        <v>988.1573800000001</v>
      </c>
      <c r="G251" s="78">
        <v>0.87255999999999989</v>
      </c>
      <c r="H251" s="78">
        <v>987.28482000000008</v>
      </c>
      <c r="I251" s="82">
        <v>7.7039999999999997</v>
      </c>
      <c r="J251" s="82">
        <v>104.43422</v>
      </c>
      <c r="K251" s="78">
        <v>0</v>
      </c>
      <c r="L251" s="78">
        <v>104.43422</v>
      </c>
      <c r="M251" s="82">
        <v>0</v>
      </c>
      <c r="N251" s="78">
        <v>0</v>
      </c>
      <c r="O251" s="79">
        <v>0</v>
      </c>
      <c r="P251" s="82">
        <v>664.65138999999999</v>
      </c>
      <c r="Q251" s="78">
        <v>0</v>
      </c>
      <c r="R251" s="52">
        <v>664.65138999999999</v>
      </c>
      <c r="S251" s="48">
        <v>0</v>
      </c>
      <c r="T251" s="78">
        <v>0</v>
      </c>
      <c r="U251" s="52">
        <v>0</v>
      </c>
      <c r="V251" s="48">
        <v>5952.86366</v>
      </c>
      <c r="W251" s="52">
        <v>5952.86366</v>
      </c>
      <c r="X251" s="52">
        <v>0</v>
      </c>
      <c r="Y251" s="87">
        <v>7717.8106500000004</v>
      </c>
      <c r="Z251" s="52">
        <v>5961.4402200000004</v>
      </c>
      <c r="AA251" s="52">
        <v>1756.3704300000002</v>
      </c>
    </row>
    <row r="252" spans="1:27" ht="12" customHeight="1" x14ac:dyDescent="0.25">
      <c r="A252" s="55">
        <v>2022</v>
      </c>
      <c r="B252" s="55" t="s">
        <v>14</v>
      </c>
      <c r="C252" s="57">
        <v>0</v>
      </c>
      <c r="D252" s="78">
        <v>0</v>
      </c>
      <c r="E252" s="78">
        <v>0</v>
      </c>
      <c r="F252" s="82">
        <v>180.75785000000002</v>
      </c>
      <c r="G252" s="78">
        <v>0</v>
      </c>
      <c r="H252" s="78">
        <v>180.75785000000002</v>
      </c>
      <c r="I252" s="82">
        <v>15.787000000000001</v>
      </c>
      <c r="J252" s="82">
        <v>83.809060000000002</v>
      </c>
      <c r="K252" s="78">
        <v>0</v>
      </c>
      <c r="L252" s="78">
        <v>83.809060000000002</v>
      </c>
      <c r="M252" s="82">
        <v>0</v>
      </c>
      <c r="N252" s="78">
        <v>0</v>
      </c>
      <c r="O252" s="79">
        <v>0</v>
      </c>
      <c r="P252" s="82">
        <v>400.31133999999997</v>
      </c>
      <c r="Q252" s="78">
        <v>0</v>
      </c>
      <c r="R252" s="52">
        <v>400.31133999999997</v>
      </c>
      <c r="S252" s="48">
        <v>0</v>
      </c>
      <c r="T252" s="78">
        <v>0</v>
      </c>
      <c r="U252" s="52">
        <v>0</v>
      </c>
      <c r="V252" s="48">
        <v>5453.075710000001</v>
      </c>
      <c r="W252" s="52">
        <v>5453.075710000001</v>
      </c>
      <c r="X252" s="52">
        <v>0</v>
      </c>
      <c r="Y252" s="87">
        <v>6133.740960000001</v>
      </c>
      <c r="Z252" s="52">
        <v>5468.8627100000012</v>
      </c>
      <c r="AA252" s="52">
        <v>664.87824999999998</v>
      </c>
    </row>
    <row r="253" spans="1:27" ht="12" customHeight="1" x14ac:dyDescent="0.25">
      <c r="A253" s="55">
        <v>2022</v>
      </c>
      <c r="B253" s="55" t="s">
        <v>15</v>
      </c>
      <c r="C253" s="57">
        <v>29.86627</v>
      </c>
      <c r="D253" s="78">
        <v>0</v>
      </c>
      <c r="E253" s="78">
        <v>29.86627</v>
      </c>
      <c r="F253" s="82">
        <v>19058.085510000001</v>
      </c>
      <c r="G253" s="78">
        <v>16.693839999999998</v>
      </c>
      <c r="H253" s="78">
        <v>19041.391670000005</v>
      </c>
      <c r="I253" s="82">
        <v>199.02800000000002</v>
      </c>
      <c r="J253" s="82">
        <v>4021.9188200000003</v>
      </c>
      <c r="K253" s="78">
        <v>1556.79303</v>
      </c>
      <c r="L253" s="78">
        <v>2465.1257900000001</v>
      </c>
      <c r="M253" s="82">
        <v>0.19594</v>
      </c>
      <c r="N253" s="78">
        <v>0.19594</v>
      </c>
      <c r="O253" s="79">
        <v>0</v>
      </c>
      <c r="P253" s="82">
        <v>4685.41093</v>
      </c>
      <c r="Q253" s="78">
        <v>0</v>
      </c>
      <c r="R253" s="52">
        <v>4685.41093</v>
      </c>
      <c r="S253" s="48">
        <v>0</v>
      </c>
      <c r="T253" s="78">
        <v>0</v>
      </c>
      <c r="U253" s="52">
        <v>0</v>
      </c>
      <c r="V253" s="48">
        <v>56021.03231000001</v>
      </c>
      <c r="W253" s="52">
        <v>56021.03231000001</v>
      </c>
      <c r="X253" s="52">
        <v>0</v>
      </c>
      <c r="Y253" s="87">
        <v>84015.537779999984</v>
      </c>
      <c r="Z253" s="52">
        <v>57793.743119999999</v>
      </c>
      <c r="AA253" s="52">
        <v>26221.794660000003</v>
      </c>
    </row>
    <row r="254" spans="1:27" ht="12" customHeight="1" x14ac:dyDescent="0.25">
      <c r="A254" s="55">
        <v>2023</v>
      </c>
      <c r="B254" s="55" t="s">
        <v>3</v>
      </c>
      <c r="C254" s="57">
        <v>0</v>
      </c>
      <c r="D254" s="78">
        <v>0</v>
      </c>
      <c r="E254" s="78">
        <v>0</v>
      </c>
      <c r="F254" s="82">
        <v>1078.1899799999999</v>
      </c>
      <c r="G254" s="78">
        <v>0</v>
      </c>
      <c r="H254" s="78">
        <v>1078.1899799999999</v>
      </c>
      <c r="I254" s="82">
        <v>0</v>
      </c>
      <c r="J254" s="82">
        <v>186.49609000000001</v>
      </c>
      <c r="K254" s="78">
        <v>0</v>
      </c>
      <c r="L254" s="78">
        <v>186.49609000000001</v>
      </c>
      <c r="M254" s="82">
        <v>0</v>
      </c>
      <c r="N254" s="78">
        <v>0</v>
      </c>
      <c r="O254" s="79">
        <v>0</v>
      </c>
      <c r="P254" s="82">
        <v>1087.5185100000001</v>
      </c>
      <c r="Q254" s="78">
        <v>0</v>
      </c>
      <c r="R254" s="52">
        <v>1087.5185100000001</v>
      </c>
      <c r="S254" s="48">
        <v>0</v>
      </c>
      <c r="T254" s="78">
        <v>0</v>
      </c>
      <c r="U254" s="52">
        <v>0</v>
      </c>
      <c r="V254" s="48">
        <v>6371.9516700000004</v>
      </c>
      <c r="W254" s="52">
        <v>6371.9516700000004</v>
      </c>
      <c r="X254" s="52">
        <v>0</v>
      </c>
      <c r="Y254" s="87">
        <v>8724.15625</v>
      </c>
      <c r="Z254" s="52">
        <v>6371.9516700000004</v>
      </c>
      <c r="AA254" s="52">
        <v>2352.2045800000001</v>
      </c>
    </row>
    <row r="255" spans="1:27" ht="12" customHeight="1" x14ac:dyDescent="0.25">
      <c r="A255" s="55">
        <v>2023</v>
      </c>
      <c r="B255" s="55" t="s">
        <v>4</v>
      </c>
      <c r="C255" s="57">
        <v>0</v>
      </c>
      <c r="D255" s="78">
        <v>0</v>
      </c>
      <c r="E255" s="78">
        <v>0</v>
      </c>
      <c r="F255" s="82">
        <v>2406.79504</v>
      </c>
      <c r="G255" s="78">
        <v>0</v>
      </c>
      <c r="H255" s="78">
        <v>2406.79504</v>
      </c>
      <c r="I255" s="82">
        <v>0</v>
      </c>
      <c r="J255" s="82">
        <v>168.44807999999998</v>
      </c>
      <c r="K255" s="78">
        <v>0</v>
      </c>
      <c r="L255" s="78">
        <v>168.44807999999998</v>
      </c>
      <c r="M255" s="82">
        <v>0</v>
      </c>
      <c r="N255" s="78">
        <v>0</v>
      </c>
      <c r="O255" s="79">
        <v>0</v>
      </c>
      <c r="P255" s="82">
        <v>364.40760999999998</v>
      </c>
      <c r="Q255" s="78">
        <v>0</v>
      </c>
      <c r="R255" s="52">
        <v>364.40760999999998</v>
      </c>
      <c r="S255" s="48">
        <v>74.692499999999995</v>
      </c>
      <c r="T255" s="78">
        <v>74.692499999999995</v>
      </c>
      <c r="U255" s="52">
        <v>0</v>
      </c>
      <c r="V255" s="48">
        <v>5465.2987599999997</v>
      </c>
      <c r="W255" s="52">
        <v>5465.2987599999997</v>
      </c>
      <c r="X255" s="52">
        <v>0</v>
      </c>
      <c r="Y255" s="87">
        <v>8479.6419900000001</v>
      </c>
      <c r="Z255" s="52">
        <v>5539.9912599999998</v>
      </c>
      <c r="AA255" s="52">
        <v>2939.6507300000003</v>
      </c>
    </row>
    <row r="256" spans="1:27" ht="12" customHeight="1" x14ac:dyDescent="0.25">
      <c r="A256" s="55">
        <v>2023</v>
      </c>
      <c r="B256" s="55" t="s">
        <v>5</v>
      </c>
      <c r="C256" s="57">
        <v>0</v>
      </c>
      <c r="D256" s="78">
        <v>0</v>
      </c>
      <c r="E256" s="78">
        <v>0</v>
      </c>
      <c r="F256" s="82">
        <v>803.05088999999998</v>
      </c>
      <c r="G256" s="78">
        <v>0</v>
      </c>
      <c r="H256" s="78">
        <v>803.05088999999998</v>
      </c>
      <c r="I256" s="82">
        <v>0</v>
      </c>
      <c r="J256" s="82">
        <v>242.51496000000003</v>
      </c>
      <c r="K256" s="78">
        <v>0</v>
      </c>
      <c r="L256" s="78">
        <v>242.51496000000003</v>
      </c>
      <c r="M256" s="82">
        <v>0</v>
      </c>
      <c r="N256" s="78">
        <v>0</v>
      </c>
      <c r="O256" s="79">
        <v>0</v>
      </c>
      <c r="P256" s="82">
        <v>469.55129999999997</v>
      </c>
      <c r="Q256" s="78">
        <v>0</v>
      </c>
      <c r="R256" s="52">
        <v>469.55129999999997</v>
      </c>
      <c r="S256" s="52">
        <v>0</v>
      </c>
      <c r="T256" s="78">
        <v>0</v>
      </c>
      <c r="U256" s="52">
        <v>0</v>
      </c>
      <c r="V256" s="48">
        <v>5459.6898600000004</v>
      </c>
      <c r="W256" s="52">
        <v>5459.6898600000004</v>
      </c>
      <c r="X256" s="52">
        <v>0</v>
      </c>
      <c r="Y256" s="87">
        <v>6974.8070100000004</v>
      </c>
      <c r="Z256" s="52">
        <v>5459.6898600000004</v>
      </c>
      <c r="AA256" s="52">
        <v>1515.11715</v>
      </c>
    </row>
    <row r="257" spans="1:27" ht="12" customHeight="1" x14ac:dyDescent="0.25">
      <c r="A257" s="55">
        <v>2023</v>
      </c>
      <c r="B257" s="55" t="s">
        <v>6</v>
      </c>
      <c r="C257" s="57">
        <v>0</v>
      </c>
      <c r="D257" s="78">
        <v>0</v>
      </c>
      <c r="E257" s="78">
        <v>0</v>
      </c>
      <c r="F257" s="82">
        <v>23.475000000000001</v>
      </c>
      <c r="G257" s="78">
        <v>0</v>
      </c>
      <c r="H257" s="78">
        <v>23.475000000000001</v>
      </c>
      <c r="I257" s="82">
        <v>0</v>
      </c>
      <c r="J257" s="82">
        <v>1113.2402400000001</v>
      </c>
      <c r="K257" s="78">
        <v>932.76015000000007</v>
      </c>
      <c r="L257" s="78">
        <v>180.48008999999999</v>
      </c>
      <c r="M257" s="82">
        <v>0</v>
      </c>
      <c r="N257" s="78">
        <v>0</v>
      </c>
      <c r="O257" s="79">
        <v>0</v>
      </c>
      <c r="P257" s="82">
        <v>1273.6368399999999</v>
      </c>
      <c r="Q257" s="78">
        <v>0</v>
      </c>
      <c r="R257" s="52">
        <v>1273.6368399999999</v>
      </c>
      <c r="S257" s="52">
        <v>0</v>
      </c>
      <c r="T257" s="78">
        <v>0</v>
      </c>
      <c r="U257" s="52">
        <v>0</v>
      </c>
      <c r="V257" s="48">
        <v>6512.9477800000004</v>
      </c>
      <c r="W257" s="52">
        <v>6512.9477800000004</v>
      </c>
      <c r="X257" s="52">
        <v>0</v>
      </c>
      <c r="Y257" s="87">
        <v>8923.299860000001</v>
      </c>
      <c r="Z257" s="52">
        <v>7445.7079300000005</v>
      </c>
      <c r="AA257" s="52">
        <v>1477.5919299999998</v>
      </c>
    </row>
    <row r="258" spans="1:27" ht="12" customHeight="1" x14ac:dyDescent="0.25">
      <c r="A258" s="55">
        <v>2023</v>
      </c>
      <c r="B258" s="55" t="s">
        <v>7</v>
      </c>
      <c r="C258" s="57">
        <v>0</v>
      </c>
      <c r="D258" s="78">
        <v>0</v>
      </c>
      <c r="E258" s="78">
        <v>0</v>
      </c>
      <c r="F258" s="82">
        <v>175.91043000000002</v>
      </c>
      <c r="G258" s="78">
        <v>0</v>
      </c>
      <c r="H258" s="78">
        <v>175.91043000000002</v>
      </c>
      <c r="I258" s="82">
        <v>0</v>
      </c>
      <c r="J258" s="82">
        <v>83.809060000000002</v>
      </c>
      <c r="K258" s="78">
        <v>0</v>
      </c>
      <c r="L258" s="78">
        <v>83.809060000000002</v>
      </c>
      <c r="M258" s="82">
        <v>0</v>
      </c>
      <c r="N258" s="78">
        <v>0</v>
      </c>
      <c r="O258" s="79">
        <v>0</v>
      </c>
      <c r="P258" s="82">
        <v>1795.3572900000001</v>
      </c>
      <c r="Q258" s="78">
        <v>0</v>
      </c>
      <c r="R258" s="52">
        <v>1795.3572900000001</v>
      </c>
      <c r="S258" s="52">
        <v>0</v>
      </c>
      <c r="T258" s="78">
        <v>0</v>
      </c>
      <c r="U258" s="52">
        <v>0</v>
      </c>
      <c r="V258" s="48">
        <v>9662.6034600000003</v>
      </c>
      <c r="W258" s="52">
        <v>9662.6034600000003</v>
      </c>
      <c r="X258" s="52">
        <v>0</v>
      </c>
      <c r="Y258" s="87">
        <v>11717.680240000002</v>
      </c>
      <c r="Z258" s="52">
        <v>9662.6034600000003</v>
      </c>
      <c r="AA258" s="52">
        <v>2055.0767800000003</v>
      </c>
    </row>
    <row r="259" spans="1:27" ht="12" customHeight="1" x14ac:dyDescent="0.25">
      <c r="A259" s="55">
        <v>2023</v>
      </c>
      <c r="B259" s="55" t="s">
        <v>8</v>
      </c>
      <c r="C259" s="57">
        <v>0</v>
      </c>
      <c r="D259" s="78">
        <v>0</v>
      </c>
      <c r="E259" s="78">
        <v>0</v>
      </c>
      <c r="F259" s="82">
        <v>819.79045999999994</v>
      </c>
      <c r="G259" s="78">
        <v>0</v>
      </c>
      <c r="H259" s="78">
        <v>819.79045999999994</v>
      </c>
      <c r="I259" s="82">
        <v>0</v>
      </c>
      <c r="J259" s="82">
        <v>180.48008999999999</v>
      </c>
      <c r="K259" s="78">
        <v>0</v>
      </c>
      <c r="L259" s="78">
        <v>180.48008999999999</v>
      </c>
      <c r="M259" s="82">
        <v>0</v>
      </c>
      <c r="N259" s="78">
        <v>0</v>
      </c>
      <c r="O259" s="79">
        <v>0</v>
      </c>
      <c r="P259" s="82">
        <v>1193.6795099999999</v>
      </c>
      <c r="Q259" s="78">
        <v>0</v>
      </c>
      <c r="R259" s="52">
        <v>1193.6795099999999</v>
      </c>
      <c r="S259" s="52">
        <v>0</v>
      </c>
      <c r="T259" s="78">
        <v>0</v>
      </c>
      <c r="U259" s="52">
        <v>0</v>
      </c>
      <c r="V259" s="48">
        <v>7672.9228899999998</v>
      </c>
      <c r="W259" s="52">
        <v>7672.9228899999998</v>
      </c>
      <c r="X259" s="52">
        <v>0</v>
      </c>
      <c r="Y259" s="87">
        <v>9866.8729500000009</v>
      </c>
      <c r="Z259" s="52">
        <v>7672.9228899999998</v>
      </c>
      <c r="AA259" s="52">
        <v>2193.9500600000001</v>
      </c>
    </row>
    <row r="260" spans="1:27" ht="12" customHeight="1" x14ac:dyDescent="0.25">
      <c r="A260" s="55">
        <v>2023</v>
      </c>
      <c r="B260" s="55" t="s">
        <v>9</v>
      </c>
      <c r="C260" s="57">
        <v>0</v>
      </c>
      <c r="D260" s="78">
        <v>0</v>
      </c>
      <c r="E260" s="78">
        <v>0</v>
      </c>
      <c r="F260" s="82">
        <v>1516.6300799999999</v>
      </c>
      <c r="G260" s="78">
        <v>0</v>
      </c>
      <c r="H260" s="78">
        <v>1516.6300799999999</v>
      </c>
      <c r="I260" s="82">
        <v>0</v>
      </c>
      <c r="J260" s="82">
        <v>186.49609000000001</v>
      </c>
      <c r="K260" s="78">
        <v>0</v>
      </c>
      <c r="L260" s="78">
        <v>186.49609000000001</v>
      </c>
      <c r="M260" s="82">
        <v>0</v>
      </c>
      <c r="N260" s="78">
        <v>0</v>
      </c>
      <c r="O260" s="79">
        <v>0</v>
      </c>
      <c r="P260" s="82">
        <v>866.2781500000001</v>
      </c>
      <c r="Q260" s="78">
        <v>0</v>
      </c>
      <c r="R260" s="52">
        <v>866.2781500000001</v>
      </c>
      <c r="S260" s="52">
        <v>0</v>
      </c>
      <c r="T260" s="78">
        <v>0</v>
      </c>
      <c r="U260" s="52">
        <v>0</v>
      </c>
      <c r="V260" s="48">
        <v>8763.8101700000007</v>
      </c>
      <c r="W260" s="52">
        <v>8763.8101700000007</v>
      </c>
      <c r="X260" s="52">
        <v>0</v>
      </c>
      <c r="Y260" s="87">
        <v>11333.21449</v>
      </c>
      <c r="Z260" s="52">
        <v>8763.8101700000007</v>
      </c>
      <c r="AA260" s="52">
        <v>2569.4043200000001</v>
      </c>
    </row>
    <row r="261" spans="1:27" ht="12" customHeight="1" x14ac:dyDescent="0.25">
      <c r="A261" s="55">
        <v>2023</v>
      </c>
      <c r="B261" s="55" t="s">
        <v>10</v>
      </c>
      <c r="C261" s="57">
        <v>0</v>
      </c>
      <c r="D261" s="78">
        <v>0</v>
      </c>
      <c r="E261" s="78">
        <v>0</v>
      </c>
      <c r="F261" s="82">
        <v>1852.2389499999997</v>
      </c>
      <c r="G261" s="78">
        <v>0</v>
      </c>
      <c r="H261" s="78">
        <v>1852.2389499999997</v>
      </c>
      <c r="I261" s="82">
        <v>0</v>
      </c>
      <c r="J261" s="82">
        <v>1118.94498</v>
      </c>
      <c r="K261" s="78">
        <v>933.12959999999998</v>
      </c>
      <c r="L261" s="78">
        <v>185.81538</v>
      </c>
      <c r="M261" s="82">
        <v>0</v>
      </c>
      <c r="N261" s="78">
        <v>0</v>
      </c>
      <c r="O261" s="79">
        <v>0</v>
      </c>
      <c r="P261" s="82">
        <v>582.21103000000005</v>
      </c>
      <c r="Q261" s="78">
        <v>0</v>
      </c>
      <c r="R261" s="52">
        <v>582.21103000000005</v>
      </c>
      <c r="S261" s="52">
        <v>0</v>
      </c>
      <c r="T261" s="78">
        <v>0</v>
      </c>
      <c r="U261" s="52">
        <v>0</v>
      </c>
      <c r="V261" s="48">
        <v>3321.8628100000001</v>
      </c>
      <c r="W261" s="52">
        <v>3321.8628100000001</v>
      </c>
      <c r="X261" s="52">
        <v>0</v>
      </c>
      <c r="Y261" s="87">
        <v>6875.2577700000002</v>
      </c>
      <c r="Z261" s="52">
        <v>4254.9924099999998</v>
      </c>
      <c r="AA261" s="52">
        <v>2620.2653599999999</v>
      </c>
    </row>
    <row r="262" spans="1:27" ht="12" customHeight="1" x14ac:dyDescent="0.25">
      <c r="A262" s="55">
        <v>2023</v>
      </c>
      <c r="B262" s="55" t="s">
        <v>11</v>
      </c>
      <c r="C262" s="57">
        <v>0</v>
      </c>
      <c r="D262" s="78">
        <v>0</v>
      </c>
      <c r="E262" s="78">
        <v>0</v>
      </c>
      <c r="F262" s="82">
        <v>2850.5986200000002</v>
      </c>
      <c r="G262" s="78">
        <v>1088.653</v>
      </c>
      <c r="H262" s="78">
        <v>1761.9456200000002</v>
      </c>
      <c r="I262" s="82">
        <v>0</v>
      </c>
      <c r="J262" s="82">
        <v>180.48014000000001</v>
      </c>
      <c r="K262" s="78">
        <v>0</v>
      </c>
      <c r="L262" s="78">
        <v>180.48014000000001</v>
      </c>
      <c r="M262" s="82">
        <v>0</v>
      </c>
      <c r="N262" s="78">
        <v>0</v>
      </c>
      <c r="O262" s="79">
        <v>0</v>
      </c>
      <c r="P262" s="82">
        <v>541.09225000000004</v>
      </c>
      <c r="Q262" s="78">
        <v>0</v>
      </c>
      <c r="R262" s="52">
        <v>541.09225000000004</v>
      </c>
      <c r="S262" s="52">
        <v>0</v>
      </c>
      <c r="T262" s="78">
        <v>0</v>
      </c>
      <c r="U262" s="52">
        <v>0</v>
      </c>
      <c r="V262" s="48">
        <v>3258.7608300000002</v>
      </c>
      <c r="W262" s="52">
        <v>3258.7608300000002</v>
      </c>
      <c r="X262" s="52">
        <v>0</v>
      </c>
      <c r="Y262" s="87">
        <v>6830.9318400000011</v>
      </c>
      <c r="Z262" s="52">
        <v>4347.4138300000004</v>
      </c>
      <c r="AA262" s="52">
        <v>2483.5180100000002</v>
      </c>
    </row>
    <row r="263" spans="1:27" ht="12" customHeight="1" x14ac:dyDescent="0.25">
      <c r="A263" s="55">
        <v>2023</v>
      </c>
      <c r="B263" s="55" t="s">
        <v>12</v>
      </c>
      <c r="C263" s="57">
        <v>0</v>
      </c>
      <c r="D263" s="78">
        <v>0</v>
      </c>
      <c r="E263" s="78">
        <v>0</v>
      </c>
      <c r="F263" s="82">
        <v>503.14040999999992</v>
      </c>
      <c r="G263" s="78">
        <v>0</v>
      </c>
      <c r="H263" s="78">
        <v>503.14040999999992</v>
      </c>
      <c r="I263" s="82">
        <v>0</v>
      </c>
      <c r="J263" s="82">
        <v>1106.1792</v>
      </c>
      <c r="K263" s="78">
        <v>920.10793000000001</v>
      </c>
      <c r="L263" s="78">
        <v>186.07127</v>
      </c>
      <c r="M263" s="82">
        <v>0</v>
      </c>
      <c r="N263" s="78">
        <v>0</v>
      </c>
      <c r="O263" s="79">
        <v>0</v>
      </c>
      <c r="P263" s="82">
        <v>514.92079999999999</v>
      </c>
      <c r="Q263" s="78">
        <v>0</v>
      </c>
      <c r="R263" s="52">
        <v>514.92079999999999</v>
      </c>
      <c r="S263" s="52">
        <v>0</v>
      </c>
      <c r="T263" s="78">
        <v>0</v>
      </c>
      <c r="U263" s="52">
        <v>0</v>
      </c>
      <c r="V263" s="48">
        <v>4280.4586899999995</v>
      </c>
      <c r="W263" s="52">
        <v>4280.4586899999995</v>
      </c>
      <c r="X263" s="52">
        <v>0</v>
      </c>
      <c r="Y263" s="87">
        <v>6404.6990999999998</v>
      </c>
      <c r="Z263" s="52">
        <v>5200.5666199999996</v>
      </c>
      <c r="AA263" s="52">
        <v>1204.1324799999998</v>
      </c>
    </row>
    <row r="264" spans="1:27" ht="12" customHeight="1" x14ac:dyDescent="0.25">
      <c r="A264" s="55">
        <v>2023</v>
      </c>
      <c r="B264" s="55" t="s">
        <v>13</v>
      </c>
      <c r="C264" s="57">
        <v>0</v>
      </c>
      <c r="D264" s="78">
        <v>0</v>
      </c>
      <c r="E264" s="78">
        <v>0</v>
      </c>
      <c r="F264" s="82">
        <v>327.60559000000001</v>
      </c>
      <c r="G264" s="78">
        <v>0</v>
      </c>
      <c r="H264" s="78">
        <v>327.60559000000001</v>
      </c>
      <c r="I264" s="82">
        <v>0</v>
      </c>
      <c r="J264" s="82">
        <v>180.48008999999999</v>
      </c>
      <c r="K264" s="78">
        <v>0</v>
      </c>
      <c r="L264" s="78">
        <v>180.48008999999999</v>
      </c>
      <c r="M264" s="82">
        <v>0</v>
      </c>
      <c r="N264" s="78">
        <v>0</v>
      </c>
      <c r="O264" s="79">
        <v>0</v>
      </c>
      <c r="P264" s="82">
        <v>696.26294000000007</v>
      </c>
      <c r="Q264" s="78">
        <v>0</v>
      </c>
      <c r="R264" s="52">
        <v>696.26294000000007</v>
      </c>
      <c r="S264" s="52">
        <v>0</v>
      </c>
      <c r="T264" s="78">
        <v>0</v>
      </c>
      <c r="U264" s="52">
        <v>0</v>
      </c>
      <c r="V264" s="48">
        <v>6439.0654100000002</v>
      </c>
      <c r="W264" s="52">
        <v>6439.0654100000002</v>
      </c>
      <c r="X264" s="52">
        <v>0</v>
      </c>
      <c r="Y264" s="87">
        <v>7643.4140299999999</v>
      </c>
      <c r="Z264" s="52">
        <v>6439.0654100000002</v>
      </c>
      <c r="AA264" s="52">
        <v>1204.3486200000002</v>
      </c>
    </row>
    <row r="265" spans="1:27" ht="12" customHeight="1" x14ac:dyDescent="0.25">
      <c r="A265" s="55">
        <v>2023</v>
      </c>
      <c r="B265" s="56" t="s">
        <v>14</v>
      </c>
      <c r="C265" s="45">
        <v>0</v>
      </c>
      <c r="D265" s="52">
        <v>0</v>
      </c>
      <c r="E265" s="52">
        <v>0</v>
      </c>
      <c r="F265" s="48">
        <v>1039.4697699999999</v>
      </c>
      <c r="G265" s="52">
        <v>0</v>
      </c>
      <c r="H265" s="52">
        <v>1039.4697699999999</v>
      </c>
      <c r="I265" s="48">
        <v>0</v>
      </c>
      <c r="J265" s="48">
        <v>1115.4840900000002</v>
      </c>
      <c r="K265" s="52">
        <v>928.98800000000006</v>
      </c>
      <c r="L265" s="52">
        <v>186.49609000000001</v>
      </c>
      <c r="M265" s="48">
        <v>0</v>
      </c>
      <c r="N265" s="89">
        <v>0</v>
      </c>
      <c r="O265" s="52">
        <v>0</v>
      </c>
      <c r="P265" s="48">
        <v>673.09212000000002</v>
      </c>
      <c r="Q265" s="88">
        <v>0</v>
      </c>
      <c r="R265" s="52">
        <v>673.09212000000002</v>
      </c>
      <c r="S265" s="52">
        <v>0</v>
      </c>
      <c r="T265" s="88">
        <v>0</v>
      </c>
      <c r="U265" s="52">
        <v>0</v>
      </c>
      <c r="V265" s="48">
        <v>5481.0412099999994</v>
      </c>
      <c r="W265" s="52">
        <v>5481.0412099999994</v>
      </c>
      <c r="X265" s="52">
        <v>0</v>
      </c>
      <c r="Y265" s="87">
        <v>8309.0871900000002</v>
      </c>
      <c r="Z265" s="52">
        <v>6410.0292099999997</v>
      </c>
      <c r="AA265" s="52">
        <v>1899.05798</v>
      </c>
    </row>
    <row r="266" spans="1:27" ht="12" customHeight="1" x14ac:dyDescent="0.25">
      <c r="A266" s="55">
        <v>2023</v>
      </c>
      <c r="B266" s="56" t="s">
        <v>15</v>
      </c>
      <c r="C266" s="45">
        <v>0</v>
      </c>
      <c r="D266" s="52">
        <v>0</v>
      </c>
      <c r="E266" s="52">
        <v>0</v>
      </c>
      <c r="F266" s="48">
        <v>13396.89522</v>
      </c>
      <c r="G266" s="52">
        <v>1088.653</v>
      </c>
      <c r="H266" s="52">
        <v>12308.24222</v>
      </c>
      <c r="I266" s="48">
        <v>0</v>
      </c>
      <c r="J266" s="48">
        <v>5863.0531099999998</v>
      </c>
      <c r="K266" s="52">
        <v>3714.9856799999998</v>
      </c>
      <c r="L266" s="52">
        <v>2148.0674300000001</v>
      </c>
      <c r="M266" s="48">
        <v>0</v>
      </c>
      <c r="N266" s="89">
        <v>0</v>
      </c>
      <c r="O266" s="52">
        <v>0</v>
      </c>
      <c r="P266" s="48">
        <v>10058.00835</v>
      </c>
      <c r="Q266" s="88">
        <v>0</v>
      </c>
      <c r="R266" s="52">
        <v>10058.00835</v>
      </c>
      <c r="S266" s="48">
        <v>74.692499999999995</v>
      </c>
      <c r="T266" s="52">
        <v>74.692499999999995</v>
      </c>
      <c r="U266" s="52">
        <v>0</v>
      </c>
      <c r="V266" s="48">
        <v>72690.413539999994</v>
      </c>
      <c r="W266" s="52">
        <v>72690.413539999994</v>
      </c>
      <c r="X266" s="52">
        <v>0</v>
      </c>
      <c r="Y266" s="87">
        <v>102083.06272</v>
      </c>
      <c r="Z266" s="52">
        <v>77568.744719999988</v>
      </c>
      <c r="AA266" s="52">
        <v>24514.318000000003</v>
      </c>
    </row>
    <row r="267" spans="1:27" ht="12" customHeight="1" x14ac:dyDescent="0.25">
      <c r="A267" s="59">
        <v>2024</v>
      </c>
      <c r="B267" s="60" t="s">
        <v>3</v>
      </c>
      <c r="C267" s="45">
        <v>0</v>
      </c>
      <c r="D267" s="52">
        <v>0</v>
      </c>
      <c r="E267" s="52">
        <v>0</v>
      </c>
      <c r="F267" s="48">
        <v>1404.0448399999998</v>
      </c>
      <c r="G267" s="52">
        <v>0</v>
      </c>
      <c r="H267" s="52">
        <v>1404.0448399999998</v>
      </c>
      <c r="I267" s="48">
        <v>0</v>
      </c>
      <c r="J267" s="48">
        <v>186.49609000000001</v>
      </c>
      <c r="K267" s="52">
        <v>0</v>
      </c>
      <c r="L267" s="52">
        <v>186.49609000000001</v>
      </c>
      <c r="M267" s="48">
        <v>0</v>
      </c>
      <c r="N267" s="90">
        <v>0</v>
      </c>
      <c r="O267" s="52">
        <v>0</v>
      </c>
      <c r="P267" s="48">
        <v>574.63936000000001</v>
      </c>
      <c r="Q267" s="88">
        <v>0</v>
      </c>
      <c r="R267" s="52">
        <v>574.63936000000001</v>
      </c>
      <c r="S267" s="52">
        <v>0</v>
      </c>
      <c r="T267" s="88">
        <v>0</v>
      </c>
      <c r="U267" s="52">
        <v>0</v>
      </c>
      <c r="V267" s="48">
        <v>8687.2031500000012</v>
      </c>
      <c r="W267" s="52">
        <v>8687.2031500000012</v>
      </c>
      <c r="X267" s="52">
        <v>0</v>
      </c>
      <c r="Y267" s="87">
        <v>10852.383440000001</v>
      </c>
      <c r="Z267" s="52">
        <v>8687.2031500000012</v>
      </c>
      <c r="AA267" s="52">
        <v>2165.1802899999998</v>
      </c>
    </row>
    <row r="268" spans="1:27" ht="12" customHeight="1" x14ac:dyDescent="0.25">
      <c r="A268" s="59">
        <v>2024</v>
      </c>
      <c r="B268" s="60" t="s">
        <v>4</v>
      </c>
      <c r="C268" s="45">
        <v>0</v>
      </c>
      <c r="D268" s="52">
        <v>0</v>
      </c>
      <c r="E268" s="52">
        <v>0</v>
      </c>
      <c r="F268" s="48">
        <v>788.77404000000001</v>
      </c>
      <c r="G268" s="52">
        <v>0</v>
      </c>
      <c r="H268" s="52">
        <v>788.77404000000001</v>
      </c>
      <c r="I268" s="48">
        <v>0</v>
      </c>
      <c r="J268" s="48">
        <v>1101.20102</v>
      </c>
      <c r="K268" s="52">
        <v>926.73693000000003</v>
      </c>
      <c r="L268" s="52">
        <v>174.46409</v>
      </c>
      <c r="M268" s="48">
        <v>0</v>
      </c>
      <c r="N268" s="90">
        <v>0</v>
      </c>
      <c r="O268" s="52">
        <v>0</v>
      </c>
      <c r="P268" s="48">
        <v>1017.87737</v>
      </c>
      <c r="Q268" s="88">
        <v>0</v>
      </c>
      <c r="R268" s="52">
        <v>1017.87737</v>
      </c>
      <c r="S268" s="52">
        <v>0</v>
      </c>
      <c r="T268" s="88">
        <v>0</v>
      </c>
      <c r="U268" s="52">
        <v>0</v>
      </c>
      <c r="V268" s="48">
        <v>5337.1553899999999</v>
      </c>
      <c r="W268" s="52">
        <v>5337.1553899999999</v>
      </c>
      <c r="X268" s="52">
        <v>0</v>
      </c>
      <c r="Y268" s="87">
        <v>8245.0078199999989</v>
      </c>
      <c r="Z268" s="52">
        <v>6263.8923199999999</v>
      </c>
      <c r="AA268" s="52">
        <v>1981.1154999999999</v>
      </c>
    </row>
    <row r="269" spans="1:27" ht="12" customHeight="1" x14ac:dyDescent="0.25">
      <c r="A269" s="59">
        <v>2024</v>
      </c>
      <c r="B269" s="60" t="s">
        <v>5</v>
      </c>
      <c r="C269" s="45">
        <v>1022.36314</v>
      </c>
      <c r="D269" s="52">
        <v>1022.36314</v>
      </c>
      <c r="E269" s="52">
        <v>0</v>
      </c>
      <c r="F269" s="48">
        <v>565.33778000000007</v>
      </c>
      <c r="G269" s="52">
        <v>0</v>
      </c>
      <c r="H269" s="52">
        <v>565.33778000000007</v>
      </c>
      <c r="I269" s="48">
        <v>0</v>
      </c>
      <c r="J269" s="48">
        <v>186.24543</v>
      </c>
      <c r="K269" s="52">
        <v>0</v>
      </c>
      <c r="L269" s="52">
        <v>186.24543</v>
      </c>
      <c r="M269" s="48">
        <v>0</v>
      </c>
      <c r="N269" s="90">
        <v>0</v>
      </c>
      <c r="O269" s="52">
        <v>0</v>
      </c>
      <c r="P269" s="48">
        <v>548.22838000000002</v>
      </c>
      <c r="Q269" s="88">
        <v>0</v>
      </c>
      <c r="R269" s="52">
        <v>548.22838000000002</v>
      </c>
      <c r="S269" s="52">
        <v>0</v>
      </c>
      <c r="T269" s="88">
        <v>0</v>
      </c>
      <c r="U269" s="52">
        <v>0</v>
      </c>
      <c r="V269" s="48">
        <v>7486.9133100000008</v>
      </c>
      <c r="W269" s="52">
        <v>7486.9133100000008</v>
      </c>
      <c r="X269" s="52">
        <v>0</v>
      </c>
      <c r="Y269" s="87">
        <v>9809.0880400000005</v>
      </c>
      <c r="Z269" s="52">
        <v>8509.2764500000012</v>
      </c>
      <c r="AA269" s="52">
        <v>1299.81159</v>
      </c>
    </row>
    <row r="270" spans="1:27" ht="12" customHeight="1" x14ac:dyDescent="0.25">
      <c r="A270" s="59">
        <v>2024</v>
      </c>
      <c r="B270" s="60" t="s">
        <v>6</v>
      </c>
      <c r="C270" s="45">
        <v>1106.1198400000001</v>
      </c>
      <c r="D270" s="52">
        <v>1106.1198400000001</v>
      </c>
      <c r="E270" s="52">
        <v>0</v>
      </c>
      <c r="F270" s="48">
        <v>985.10920999999996</v>
      </c>
      <c r="G270" s="52">
        <v>0</v>
      </c>
      <c r="H270" s="52">
        <v>985.10920999999996</v>
      </c>
      <c r="I270" s="48">
        <v>0</v>
      </c>
      <c r="J270" s="48">
        <v>1101.0665899999999</v>
      </c>
      <c r="K270" s="52">
        <v>920.5865</v>
      </c>
      <c r="L270" s="52">
        <v>180.48008999999999</v>
      </c>
      <c r="M270" s="48">
        <v>0</v>
      </c>
      <c r="N270" s="90">
        <v>0</v>
      </c>
      <c r="O270" s="52">
        <v>0</v>
      </c>
      <c r="P270" s="48">
        <v>1046.4230500000001</v>
      </c>
      <c r="Q270" s="88">
        <v>0</v>
      </c>
      <c r="R270" s="52">
        <v>1046.4230500000001</v>
      </c>
      <c r="S270" s="52">
        <v>0</v>
      </c>
      <c r="T270" s="88">
        <v>0</v>
      </c>
      <c r="U270" s="52">
        <v>0</v>
      </c>
      <c r="V270" s="48">
        <v>5342.3344500000003</v>
      </c>
      <c r="W270" s="52">
        <v>5342.3344500000003</v>
      </c>
      <c r="X270" s="52">
        <v>0</v>
      </c>
      <c r="Y270" s="87">
        <v>9581.05314</v>
      </c>
      <c r="Z270" s="52">
        <v>7369.0407900000009</v>
      </c>
      <c r="AA270" s="52">
        <v>2212.01235</v>
      </c>
    </row>
    <row r="271" spans="1:27" ht="12" customHeight="1" x14ac:dyDescent="0.25">
      <c r="A271" s="59">
        <v>2024</v>
      </c>
      <c r="B271" s="60" t="s">
        <v>7</v>
      </c>
      <c r="C271" s="45">
        <v>0</v>
      </c>
      <c r="D271" s="52">
        <v>0</v>
      </c>
      <c r="E271" s="52">
        <v>0</v>
      </c>
      <c r="F271" s="48">
        <v>1223.6614199999985</v>
      </c>
      <c r="G271" s="52">
        <v>0</v>
      </c>
      <c r="H271" s="52">
        <v>1223.6614199999985</v>
      </c>
      <c r="I271" s="48">
        <v>0</v>
      </c>
      <c r="J271" s="48">
        <v>186.49596</v>
      </c>
      <c r="K271" s="52">
        <v>0</v>
      </c>
      <c r="L271" s="52">
        <v>186.49596</v>
      </c>
      <c r="M271" s="48">
        <v>0</v>
      </c>
      <c r="N271" s="90">
        <v>0</v>
      </c>
      <c r="O271" s="52">
        <v>0</v>
      </c>
      <c r="P271" s="48">
        <v>742.95623999999987</v>
      </c>
      <c r="Q271" s="88">
        <v>0</v>
      </c>
      <c r="R271" s="52">
        <v>742.95623999999987</v>
      </c>
      <c r="S271" s="52">
        <v>0</v>
      </c>
      <c r="T271" s="88">
        <v>0</v>
      </c>
      <c r="U271" s="52">
        <v>0</v>
      </c>
      <c r="V271" s="48">
        <v>6415.6247800000001</v>
      </c>
      <c r="W271" s="52">
        <v>6415.6247800000001</v>
      </c>
      <c r="X271" s="52">
        <v>0</v>
      </c>
      <c r="Y271" s="87">
        <v>8568.7383999999984</v>
      </c>
      <c r="Z271" s="52">
        <v>6415.6247800000001</v>
      </c>
      <c r="AA271" s="52">
        <v>2153.1136199999983</v>
      </c>
    </row>
    <row r="272" spans="1:27" ht="12" customHeight="1" x14ac:dyDescent="0.25">
      <c r="A272" s="59">
        <v>2024</v>
      </c>
      <c r="B272" s="60" t="s">
        <v>8</v>
      </c>
      <c r="C272" s="45">
        <v>0</v>
      </c>
      <c r="D272" s="52">
        <v>0</v>
      </c>
      <c r="E272" s="52">
        <v>0</v>
      </c>
      <c r="F272" s="48">
        <v>861.05008999999995</v>
      </c>
      <c r="G272" s="52">
        <v>0</v>
      </c>
      <c r="H272" s="52">
        <v>861.05008999999995</v>
      </c>
      <c r="I272" s="48">
        <v>0</v>
      </c>
      <c r="J272" s="48">
        <v>1110.58077</v>
      </c>
      <c r="K272" s="52">
        <v>930.10068000000001</v>
      </c>
      <c r="L272" s="52">
        <v>180.48008999999999</v>
      </c>
      <c r="M272" s="48">
        <v>0</v>
      </c>
      <c r="N272" s="90">
        <v>0</v>
      </c>
      <c r="O272" s="52">
        <v>0</v>
      </c>
      <c r="P272" s="48">
        <v>1725.61319</v>
      </c>
      <c r="Q272" s="88">
        <v>0</v>
      </c>
      <c r="R272" s="52">
        <v>1725.61319</v>
      </c>
      <c r="S272" s="52">
        <v>0</v>
      </c>
      <c r="T272" s="88">
        <v>0</v>
      </c>
      <c r="U272" s="52">
        <v>0</v>
      </c>
      <c r="V272" s="48">
        <v>5680.9023699999998</v>
      </c>
      <c r="W272" s="52">
        <v>5680.9023699999998</v>
      </c>
      <c r="X272" s="52">
        <v>0</v>
      </c>
      <c r="Y272" s="87">
        <v>9378.1464199999991</v>
      </c>
      <c r="Z272" s="52">
        <v>6611.0030499999993</v>
      </c>
      <c r="AA272" s="52">
        <v>2767.1433699999998</v>
      </c>
    </row>
    <row r="273" spans="1:27" ht="12" customHeight="1" x14ac:dyDescent="0.25">
      <c r="A273" s="59">
        <v>2024</v>
      </c>
      <c r="B273" s="60" t="s">
        <v>9</v>
      </c>
      <c r="C273" s="45">
        <v>1092.69274</v>
      </c>
      <c r="D273" s="52">
        <v>1092.69274</v>
      </c>
      <c r="E273" s="52">
        <v>0</v>
      </c>
      <c r="F273" s="48">
        <v>1546.6971799999999</v>
      </c>
      <c r="G273" s="52">
        <v>0</v>
      </c>
      <c r="H273" s="52">
        <v>1546.6971799999999</v>
      </c>
      <c r="I273" s="48">
        <v>0</v>
      </c>
      <c r="J273" s="48">
        <v>186.47797</v>
      </c>
      <c r="K273" s="52">
        <v>0</v>
      </c>
      <c r="L273" s="52">
        <v>186.47797</v>
      </c>
      <c r="M273" s="48">
        <v>0</v>
      </c>
      <c r="N273" s="90">
        <v>0</v>
      </c>
      <c r="O273" s="52">
        <v>0</v>
      </c>
      <c r="P273" s="48">
        <v>1632.1897300000001</v>
      </c>
      <c r="Q273" s="88">
        <v>0</v>
      </c>
      <c r="R273" s="52">
        <v>1632.1897300000001</v>
      </c>
      <c r="S273" s="52">
        <v>0</v>
      </c>
      <c r="T273" s="88">
        <v>0</v>
      </c>
      <c r="U273" s="52">
        <v>0</v>
      </c>
      <c r="V273" s="48">
        <v>7617.1841499999991</v>
      </c>
      <c r="W273" s="52">
        <v>7617.1841499999991</v>
      </c>
      <c r="X273" s="52">
        <v>0</v>
      </c>
      <c r="Y273" s="87">
        <v>12075.241770000001</v>
      </c>
      <c r="Z273" s="52">
        <v>8709.8768899999995</v>
      </c>
      <c r="AA273" s="52">
        <v>3365.3648800000001</v>
      </c>
    </row>
    <row r="274" spans="1:27" ht="12" customHeight="1" x14ac:dyDescent="0.25">
      <c r="A274" s="59">
        <v>2024</v>
      </c>
      <c r="B274" s="60" t="s">
        <v>10</v>
      </c>
      <c r="C274" s="45">
        <v>0</v>
      </c>
      <c r="D274" s="52">
        <v>0</v>
      </c>
      <c r="E274" s="52">
        <v>0</v>
      </c>
      <c r="F274" s="48">
        <v>1882.97945</v>
      </c>
      <c r="G274" s="52">
        <v>0</v>
      </c>
      <c r="H274" s="52">
        <v>1882.97945</v>
      </c>
      <c r="I274" s="48">
        <v>0</v>
      </c>
      <c r="J274" s="48">
        <v>185.63669000000002</v>
      </c>
      <c r="K274" s="52">
        <v>0</v>
      </c>
      <c r="L274" s="52">
        <v>185.63669000000002</v>
      </c>
      <c r="M274" s="48">
        <v>0</v>
      </c>
      <c r="N274" s="90">
        <v>0</v>
      </c>
      <c r="O274" s="52">
        <v>0</v>
      </c>
      <c r="P274" s="48">
        <v>1233.4716000000001</v>
      </c>
      <c r="Q274" s="88">
        <v>0</v>
      </c>
      <c r="R274" s="52">
        <v>1233.4716000000001</v>
      </c>
      <c r="S274" s="52">
        <v>0</v>
      </c>
      <c r="T274" s="88">
        <v>0</v>
      </c>
      <c r="U274" s="52">
        <v>0</v>
      </c>
      <c r="V274" s="48">
        <v>6366.7844299999997</v>
      </c>
      <c r="W274" s="52">
        <v>6366.7844299999997</v>
      </c>
      <c r="X274" s="52">
        <v>0</v>
      </c>
      <c r="Y274" s="87">
        <v>9668.8721699999987</v>
      </c>
      <c r="Z274" s="52">
        <v>6366.7844299999997</v>
      </c>
      <c r="AA274" s="52">
        <v>3302.0877399999999</v>
      </c>
    </row>
    <row r="275" spans="1:27" ht="12" customHeight="1" x14ac:dyDescent="0.25">
      <c r="A275" s="59">
        <v>2024</v>
      </c>
      <c r="B275" s="60" t="s">
        <v>11</v>
      </c>
      <c r="C275" s="45">
        <v>0</v>
      </c>
      <c r="D275" s="52">
        <v>0</v>
      </c>
      <c r="E275" s="52">
        <v>0</v>
      </c>
      <c r="F275" s="48">
        <v>2034.81854</v>
      </c>
      <c r="G275" s="52">
        <v>0</v>
      </c>
      <c r="H275" s="52">
        <v>2034.81854</v>
      </c>
      <c r="I275" s="48">
        <v>0</v>
      </c>
      <c r="J275" s="48">
        <v>177.77657000000002</v>
      </c>
      <c r="K275" s="52">
        <v>0</v>
      </c>
      <c r="L275" s="52">
        <v>177.77657000000002</v>
      </c>
      <c r="M275" s="48">
        <v>0</v>
      </c>
      <c r="N275" s="90">
        <v>0</v>
      </c>
      <c r="O275" s="52">
        <v>0</v>
      </c>
      <c r="P275" s="48">
        <v>1609.15365</v>
      </c>
      <c r="Q275" s="88">
        <v>0</v>
      </c>
      <c r="R275" s="52">
        <v>1609.15365</v>
      </c>
      <c r="S275" s="52">
        <v>0</v>
      </c>
      <c r="T275" s="88">
        <v>0</v>
      </c>
      <c r="U275" s="52">
        <v>0</v>
      </c>
      <c r="V275" s="48">
        <v>3368.0388599999997</v>
      </c>
      <c r="W275" s="52">
        <v>3368.0388599999997</v>
      </c>
      <c r="X275" s="52">
        <v>0</v>
      </c>
      <c r="Y275" s="87">
        <v>7189.7876200000001</v>
      </c>
      <c r="Z275" s="52">
        <v>3368.0388599999997</v>
      </c>
      <c r="AA275" s="52">
        <v>3821.7487600000004</v>
      </c>
    </row>
    <row r="276" spans="1:27" ht="12" customHeight="1" x14ac:dyDescent="0.25">
      <c r="A276" s="59">
        <v>2024</v>
      </c>
      <c r="B276" s="60" t="s">
        <v>12</v>
      </c>
      <c r="C276" s="45">
        <v>0</v>
      </c>
      <c r="D276" s="52">
        <v>0</v>
      </c>
      <c r="E276" s="52">
        <v>0</v>
      </c>
      <c r="F276" s="48">
        <v>520.85002000000031</v>
      </c>
      <c r="G276" s="52">
        <v>0</v>
      </c>
      <c r="H276" s="52">
        <v>520.85002000000031</v>
      </c>
      <c r="I276" s="48">
        <v>0</v>
      </c>
      <c r="J276" s="48">
        <v>83.921700000000001</v>
      </c>
      <c r="K276" s="52">
        <v>0</v>
      </c>
      <c r="L276" s="52">
        <v>83.921700000000001</v>
      </c>
      <c r="M276" s="48">
        <v>0</v>
      </c>
      <c r="N276" s="90">
        <v>0</v>
      </c>
      <c r="O276" s="52">
        <v>0</v>
      </c>
      <c r="P276" s="48">
        <v>660.03667000000007</v>
      </c>
      <c r="Q276" s="88">
        <v>0</v>
      </c>
      <c r="R276" s="52">
        <v>660.03667000000007</v>
      </c>
      <c r="S276" s="52">
        <v>0</v>
      </c>
      <c r="T276" s="88">
        <v>0</v>
      </c>
      <c r="U276" s="52">
        <v>0</v>
      </c>
      <c r="V276" s="48">
        <v>4168.9944100000002</v>
      </c>
      <c r="W276" s="52">
        <v>4168.9944100000002</v>
      </c>
      <c r="X276" s="52">
        <v>0</v>
      </c>
      <c r="Y276" s="87">
        <v>5433.8028000000004</v>
      </c>
      <c r="Z276" s="52">
        <v>4168.9944100000002</v>
      </c>
      <c r="AA276" s="52">
        <v>1264.8083900000004</v>
      </c>
    </row>
    <row r="277" spans="1:27" ht="12" customHeight="1" x14ac:dyDescent="0.25">
      <c r="A277" s="59">
        <v>2024</v>
      </c>
      <c r="B277" s="60" t="s">
        <v>13</v>
      </c>
      <c r="C277" s="45">
        <v>0</v>
      </c>
      <c r="D277" s="52">
        <v>0</v>
      </c>
      <c r="E277" s="52">
        <v>0</v>
      </c>
      <c r="F277" s="48">
        <v>662.96428999999989</v>
      </c>
      <c r="G277" s="52">
        <v>0</v>
      </c>
      <c r="H277" s="52">
        <v>662.96428999999989</v>
      </c>
      <c r="I277" s="48">
        <v>0</v>
      </c>
      <c r="J277" s="48">
        <v>81.105539999999991</v>
      </c>
      <c r="K277" s="52">
        <v>0</v>
      </c>
      <c r="L277" s="52">
        <v>81.105539999999991</v>
      </c>
      <c r="M277" s="48">
        <v>0</v>
      </c>
      <c r="N277" s="90">
        <v>0</v>
      </c>
      <c r="O277" s="52">
        <v>0</v>
      </c>
      <c r="P277" s="48">
        <v>875.45695999999998</v>
      </c>
      <c r="Q277" s="88">
        <v>0</v>
      </c>
      <c r="R277" s="52">
        <v>875.45695999999998</v>
      </c>
      <c r="S277" s="52">
        <v>0</v>
      </c>
      <c r="T277" s="52">
        <v>0</v>
      </c>
      <c r="U277" s="48">
        <v>0</v>
      </c>
      <c r="V277" s="48">
        <v>6404.14005</v>
      </c>
      <c r="W277" s="52">
        <v>6404.14005</v>
      </c>
      <c r="X277" s="52">
        <v>0</v>
      </c>
      <c r="Y277" s="87">
        <v>8023.6668399999999</v>
      </c>
      <c r="Z277" s="52">
        <v>6404.14005</v>
      </c>
      <c r="AA277" s="52">
        <v>1619.5267899999999</v>
      </c>
    </row>
    <row r="278" spans="1:27" ht="12" customHeight="1" x14ac:dyDescent="0.25">
      <c r="A278" s="59">
        <v>2024</v>
      </c>
      <c r="B278" s="60" t="s">
        <v>14</v>
      </c>
      <c r="C278" s="45">
        <v>0</v>
      </c>
      <c r="D278" s="52">
        <v>0</v>
      </c>
      <c r="E278" s="52">
        <v>0</v>
      </c>
      <c r="F278" s="48">
        <v>1694.9374999999966</v>
      </c>
      <c r="G278" s="52">
        <v>0</v>
      </c>
      <c r="H278" s="52">
        <v>1694.9374999999966</v>
      </c>
      <c r="I278" s="48">
        <v>0</v>
      </c>
      <c r="J278" s="48">
        <v>83.809060000000002</v>
      </c>
      <c r="K278" s="52">
        <v>0</v>
      </c>
      <c r="L278" s="52">
        <v>83.809060000000002</v>
      </c>
      <c r="M278" s="48">
        <v>0</v>
      </c>
      <c r="N278" s="90">
        <v>0</v>
      </c>
      <c r="O278" s="52">
        <v>0</v>
      </c>
      <c r="P278" s="48">
        <v>637.17290000000003</v>
      </c>
      <c r="Q278" s="88">
        <v>0</v>
      </c>
      <c r="R278" s="52">
        <v>637.17290000000003</v>
      </c>
      <c r="S278" s="52">
        <v>0</v>
      </c>
      <c r="T278" s="52">
        <v>0</v>
      </c>
      <c r="U278" s="48">
        <v>0</v>
      </c>
      <c r="V278" s="48">
        <v>5485.0536199999997</v>
      </c>
      <c r="W278" s="52">
        <v>5485.0536199999997</v>
      </c>
      <c r="X278" s="52">
        <v>0</v>
      </c>
      <c r="Y278" s="87">
        <v>7900.9730799999961</v>
      </c>
      <c r="Z278" s="52">
        <v>5485.0536199999997</v>
      </c>
      <c r="AA278" s="52">
        <v>2415.9194599999964</v>
      </c>
    </row>
    <row r="279" spans="1:27" ht="12" customHeight="1" x14ac:dyDescent="0.25">
      <c r="A279" s="59">
        <v>2024</v>
      </c>
      <c r="B279" s="60" t="s">
        <v>15</v>
      </c>
      <c r="C279" s="45">
        <v>3221.1757200000002</v>
      </c>
      <c r="D279" s="52">
        <v>3221.1757200000002</v>
      </c>
      <c r="E279" s="52">
        <v>0</v>
      </c>
      <c r="F279" s="48">
        <v>14171.224359999995</v>
      </c>
      <c r="G279" s="52">
        <v>0</v>
      </c>
      <c r="H279" s="52">
        <v>14171.224359999995</v>
      </c>
      <c r="I279" s="48">
        <v>0</v>
      </c>
      <c r="J279" s="48">
        <v>4670.8133899999993</v>
      </c>
      <c r="K279" s="52">
        <v>2777.4241099999999</v>
      </c>
      <c r="L279" s="52">
        <v>1893.3892800000001</v>
      </c>
      <c r="M279" s="48">
        <v>0</v>
      </c>
      <c r="N279" s="90">
        <v>0</v>
      </c>
      <c r="O279" s="52">
        <v>0</v>
      </c>
      <c r="P279" s="48">
        <v>12303.2191</v>
      </c>
      <c r="Q279" s="88">
        <v>0</v>
      </c>
      <c r="R279" s="52">
        <v>12303.2191</v>
      </c>
      <c r="S279" s="52">
        <v>0</v>
      </c>
      <c r="T279" s="52">
        <v>0</v>
      </c>
      <c r="U279" s="48">
        <v>0</v>
      </c>
      <c r="V279" s="48">
        <v>72360.328970000002</v>
      </c>
      <c r="W279" s="52">
        <v>72360.328970000002</v>
      </c>
      <c r="X279" s="52">
        <v>0</v>
      </c>
      <c r="Y279" s="87">
        <v>106726.76154000001</v>
      </c>
      <c r="Z279" s="52">
        <v>78358.928800000009</v>
      </c>
      <c r="AA279" s="52">
        <v>28367.832739999998</v>
      </c>
    </row>
    <row r="280" spans="1:27" ht="12" customHeight="1" x14ac:dyDescent="0.25">
      <c r="A280" s="55">
        <v>2025</v>
      </c>
      <c r="B280" s="56" t="s">
        <v>3</v>
      </c>
      <c r="C280" s="45">
        <v>0</v>
      </c>
      <c r="D280" s="52">
        <v>0</v>
      </c>
      <c r="E280" s="52">
        <v>0</v>
      </c>
      <c r="F280" s="48">
        <v>627.01986999999917</v>
      </c>
      <c r="G280" s="52">
        <v>0</v>
      </c>
      <c r="H280" s="52">
        <v>627.01986999999917</v>
      </c>
      <c r="I280" s="48">
        <v>0</v>
      </c>
      <c r="J280" s="48">
        <v>83.809060000000002</v>
      </c>
      <c r="K280" s="52">
        <v>0</v>
      </c>
      <c r="L280" s="52">
        <v>83.809060000000002</v>
      </c>
      <c r="M280" s="48">
        <v>0</v>
      </c>
      <c r="N280" s="89">
        <v>0</v>
      </c>
      <c r="O280" s="52">
        <v>0</v>
      </c>
      <c r="P280" s="48">
        <v>690.99894000000006</v>
      </c>
      <c r="Q280" s="88">
        <v>0</v>
      </c>
      <c r="R280" s="52">
        <v>690.99894000000006</v>
      </c>
      <c r="S280" s="52">
        <v>0</v>
      </c>
      <c r="T280" s="52">
        <v>0</v>
      </c>
      <c r="U280" s="48">
        <v>0</v>
      </c>
      <c r="V280" s="48">
        <v>6463.684220000001</v>
      </c>
      <c r="W280" s="52">
        <v>6463.684220000001</v>
      </c>
      <c r="X280" s="52">
        <v>0</v>
      </c>
      <c r="Y280" s="87">
        <v>7865.5120900000002</v>
      </c>
      <c r="Z280" s="52">
        <v>6463.684220000001</v>
      </c>
      <c r="AA280" s="52">
        <v>1401.8278699999992</v>
      </c>
    </row>
    <row r="281" spans="1:27" ht="12" customHeight="1" x14ac:dyDescent="0.25">
      <c r="A281" s="55">
        <v>2025</v>
      </c>
      <c r="B281" s="56" t="s">
        <v>4</v>
      </c>
      <c r="C281" s="45">
        <v>0</v>
      </c>
      <c r="D281" s="52">
        <v>0</v>
      </c>
      <c r="E281" s="52">
        <v>0</v>
      </c>
      <c r="F281" s="48">
        <v>158.07939999999999</v>
      </c>
      <c r="G281" s="52">
        <v>0</v>
      </c>
      <c r="H281" s="52">
        <v>158.07939999999999</v>
      </c>
      <c r="I281" s="48">
        <v>0</v>
      </c>
      <c r="J281" s="48">
        <v>75.698499999999996</v>
      </c>
      <c r="K281" s="52">
        <v>0</v>
      </c>
      <c r="L281" s="52">
        <v>75.698499999999996</v>
      </c>
      <c r="M281" s="48">
        <v>0</v>
      </c>
      <c r="N281" s="89">
        <v>0</v>
      </c>
      <c r="O281" s="52">
        <v>0</v>
      </c>
      <c r="P281" s="48">
        <v>509.35975000000002</v>
      </c>
      <c r="Q281" s="88">
        <v>0</v>
      </c>
      <c r="R281" s="52">
        <v>509.35975000000002</v>
      </c>
      <c r="S281" s="52">
        <v>0</v>
      </c>
      <c r="T281" s="52">
        <v>0</v>
      </c>
      <c r="U281" s="48">
        <v>0</v>
      </c>
      <c r="V281" s="48">
        <v>2190.2616499999999</v>
      </c>
      <c r="W281" s="52">
        <v>2190.2616499999999</v>
      </c>
      <c r="X281" s="52">
        <v>0</v>
      </c>
      <c r="Y281" s="87">
        <v>2933.3993</v>
      </c>
      <c r="Z281" s="52">
        <v>2190.2616499999999</v>
      </c>
      <c r="AA281" s="52">
        <v>743.13765000000001</v>
      </c>
    </row>
    <row r="282" spans="1:27" ht="12" customHeight="1" x14ac:dyDescent="0.25">
      <c r="A282" s="55">
        <v>2025</v>
      </c>
      <c r="B282" s="56" t="s">
        <v>5</v>
      </c>
      <c r="C282" s="45">
        <v>0</v>
      </c>
      <c r="D282" s="52">
        <v>0</v>
      </c>
      <c r="E282" s="52">
        <v>0</v>
      </c>
      <c r="F282" s="48">
        <v>287.53195000000022</v>
      </c>
      <c r="G282" s="52">
        <v>0</v>
      </c>
      <c r="H282" s="52">
        <v>287.53195000000022</v>
      </c>
      <c r="I282" s="48">
        <v>0</v>
      </c>
      <c r="J282" s="48">
        <v>742.22156000000007</v>
      </c>
      <c r="K282" s="52">
        <v>658.52515000000005</v>
      </c>
      <c r="L282" s="52">
        <v>83.69641</v>
      </c>
      <c r="M282" s="48">
        <v>0</v>
      </c>
      <c r="N282" s="89">
        <v>0</v>
      </c>
      <c r="O282" s="52">
        <v>0</v>
      </c>
      <c r="P282" s="48">
        <v>329.04199</v>
      </c>
      <c r="Q282" s="88">
        <v>0</v>
      </c>
      <c r="R282" s="52">
        <v>329.04199</v>
      </c>
      <c r="S282" s="52">
        <v>0</v>
      </c>
      <c r="T282" s="52">
        <v>0</v>
      </c>
      <c r="U282" s="48">
        <v>0</v>
      </c>
      <c r="V282" s="48">
        <v>4393.3217599999998</v>
      </c>
      <c r="W282" s="52">
        <v>4393.3217599999998</v>
      </c>
      <c r="X282" s="52">
        <v>0</v>
      </c>
      <c r="Y282" s="87">
        <v>5752.1172600000009</v>
      </c>
      <c r="Z282" s="52">
        <v>5051.8469100000002</v>
      </c>
      <c r="AA282" s="52">
        <v>700.27035000000024</v>
      </c>
    </row>
    <row r="283" spans="1:27" ht="12" customHeight="1" x14ac:dyDescent="0.25">
      <c r="A283" s="55">
        <v>2025</v>
      </c>
      <c r="B283" s="56" t="s">
        <v>6</v>
      </c>
      <c r="C283" s="45">
        <v>0</v>
      </c>
      <c r="D283" s="52">
        <v>0</v>
      </c>
      <c r="E283" s="52">
        <v>0</v>
      </c>
      <c r="F283" s="48">
        <v>22.002480000000002</v>
      </c>
      <c r="G283" s="52">
        <v>0</v>
      </c>
      <c r="H283" s="52">
        <v>22.002480000000002</v>
      </c>
      <c r="I283" s="48">
        <v>0</v>
      </c>
      <c r="J283" s="48">
        <v>693.89944000000003</v>
      </c>
      <c r="K283" s="52">
        <v>612.79390000000001</v>
      </c>
      <c r="L283" s="52">
        <v>81.105539999999991</v>
      </c>
      <c r="M283" s="48">
        <v>0</v>
      </c>
      <c r="N283" s="89">
        <v>0</v>
      </c>
      <c r="O283" s="52">
        <v>0</v>
      </c>
      <c r="P283" s="48">
        <v>1411.3266299999998</v>
      </c>
      <c r="Q283" s="88">
        <v>0</v>
      </c>
      <c r="R283" s="52">
        <v>1411.3266299999998</v>
      </c>
      <c r="S283" s="52">
        <v>0</v>
      </c>
      <c r="T283" s="52">
        <v>0</v>
      </c>
      <c r="U283" s="48">
        <v>0</v>
      </c>
      <c r="V283" s="48">
        <v>4387.6225100000001</v>
      </c>
      <c r="W283" s="52">
        <v>4387.6225100000001</v>
      </c>
      <c r="X283" s="52">
        <v>0</v>
      </c>
      <c r="Y283" s="87">
        <v>6514.8510599999991</v>
      </c>
      <c r="Z283" s="52">
        <v>5000.4164099999998</v>
      </c>
      <c r="AA283" s="52">
        <v>1514.4346499999997</v>
      </c>
    </row>
    <row r="284" spans="1:27" ht="12" customHeight="1" x14ac:dyDescent="0.25">
      <c r="A284" s="55">
        <v>2025</v>
      </c>
      <c r="B284" s="56" t="s">
        <v>7</v>
      </c>
      <c r="C284" s="45">
        <v>0</v>
      </c>
      <c r="D284" s="52">
        <v>0</v>
      </c>
      <c r="E284" s="52">
        <v>0</v>
      </c>
      <c r="F284" s="48">
        <v>188.77864</v>
      </c>
      <c r="G284" s="52">
        <v>0</v>
      </c>
      <c r="H284" s="52">
        <v>188.77864</v>
      </c>
      <c r="I284" s="48">
        <v>0</v>
      </c>
      <c r="J284" s="48">
        <v>83.809060000000002</v>
      </c>
      <c r="K284" s="52">
        <v>0</v>
      </c>
      <c r="L284" s="52">
        <v>83.809060000000002</v>
      </c>
      <c r="M284" s="48">
        <v>0</v>
      </c>
      <c r="N284" s="89">
        <v>0</v>
      </c>
      <c r="O284" s="52">
        <v>0</v>
      </c>
      <c r="P284" s="48">
        <v>756.35961999999995</v>
      </c>
      <c r="Q284" s="88">
        <v>0</v>
      </c>
      <c r="R284" s="52">
        <v>756.35961999999995</v>
      </c>
      <c r="S284" s="52">
        <v>0</v>
      </c>
      <c r="T284" s="52">
        <v>0</v>
      </c>
      <c r="U284" s="48">
        <v>0</v>
      </c>
      <c r="V284" s="48">
        <v>5505.0633100000005</v>
      </c>
      <c r="W284" s="52">
        <v>5505.0633100000005</v>
      </c>
      <c r="X284" s="52">
        <v>0</v>
      </c>
      <c r="Y284" s="87">
        <v>6534.0106300000007</v>
      </c>
      <c r="Z284" s="52">
        <v>5505.0633100000005</v>
      </c>
      <c r="AA284" s="52">
        <v>1028.94732</v>
      </c>
    </row>
    <row r="285" spans="1:27" ht="12" customHeight="1" x14ac:dyDescent="0.25">
      <c r="A285" s="55">
        <v>2025</v>
      </c>
      <c r="B285" s="56" t="s">
        <v>8</v>
      </c>
      <c r="C285" s="45">
        <v>0</v>
      </c>
      <c r="D285" s="52">
        <v>0</v>
      </c>
      <c r="E285" s="52">
        <v>0</v>
      </c>
      <c r="F285" s="48">
        <v>519.27330000000029</v>
      </c>
      <c r="G285" s="52">
        <v>0</v>
      </c>
      <c r="H285" s="52">
        <v>519.27330000000029</v>
      </c>
      <c r="I285" s="48">
        <v>0</v>
      </c>
      <c r="J285" s="48">
        <v>81.105539999999991</v>
      </c>
      <c r="K285" s="52">
        <v>0</v>
      </c>
      <c r="L285" s="52">
        <v>81.105539999999991</v>
      </c>
      <c r="M285" s="48">
        <v>0</v>
      </c>
      <c r="N285" s="89">
        <v>0</v>
      </c>
      <c r="O285" s="52">
        <v>0</v>
      </c>
      <c r="P285" s="48">
        <v>143.38491999999999</v>
      </c>
      <c r="Q285" s="88">
        <v>0</v>
      </c>
      <c r="R285" s="52">
        <v>143.38491999999999</v>
      </c>
      <c r="S285" s="52">
        <v>0</v>
      </c>
      <c r="T285" s="52">
        <v>0</v>
      </c>
      <c r="U285" s="48">
        <v>0</v>
      </c>
      <c r="V285" s="48">
        <v>3267.5845899999999</v>
      </c>
      <c r="W285" s="52">
        <v>3267.5845899999999</v>
      </c>
      <c r="X285" s="52">
        <v>0</v>
      </c>
      <c r="Y285" s="87">
        <v>4011.3483500000002</v>
      </c>
      <c r="Z285" s="52">
        <v>3267.5845899999999</v>
      </c>
      <c r="AA285" s="52">
        <v>743.76376000000027</v>
      </c>
    </row>
    <row r="286" spans="1:27" ht="12" customHeight="1" x14ac:dyDescent="0.25">
      <c r="A286" s="55">
        <v>2025</v>
      </c>
      <c r="B286" s="56" t="s">
        <v>9</v>
      </c>
      <c r="C286" s="45">
        <v>0</v>
      </c>
      <c r="D286" s="52">
        <v>0</v>
      </c>
      <c r="E286" s="52">
        <v>0</v>
      </c>
      <c r="F286" s="48">
        <v>1511.0023100000003</v>
      </c>
      <c r="G286" s="52">
        <v>0</v>
      </c>
      <c r="H286" s="52">
        <v>1511.0023100000003</v>
      </c>
      <c r="I286" s="48">
        <v>0</v>
      </c>
      <c r="J286" s="48">
        <v>956.72011000000009</v>
      </c>
      <c r="K286" s="52">
        <v>872.91105000000005</v>
      </c>
      <c r="L286" s="52">
        <v>83.809060000000002</v>
      </c>
      <c r="M286" s="48">
        <v>0</v>
      </c>
      <c r="N286" s="89">
        <v>0</v>
      </c>
      <c r="O286" s="52">
        <v>0</v>
      </c>
      <c r="P286" s="48">
        <v>520.75828000000001</v>
      </c>
      <c r="Q286" s="88">
        <v>0</v>
      </c>
      <c r="R286" s="52">
        <v>520.75828000000001</v>
      </c>
      <c r="S286" s="52">
        <v>0</v>
      </c>
      <c r="T286" s="52">
        <v>0</v>
      </c>
      <c r="U286" s="48">
        <v>0</v>
      </c>
      <c r="V286" s="48">
        <v>2149.5288399999999</v>
      </c>
      <c r="W286" s="52">
        <v>2149.5288399999999</v>
      </c>
      <c r="X286" s="52">
        <v>0</v>
      </c>
      <c r="Y286" s="87">
        <v>5138.0095400000009</v>
      </c>
      <c r="Z286" s="52">
        <v>3022.4398900000001</v>
      </c>
      <c r="AA286" s="52">
        <v>2115.5696500000004</v>
      </c>
    </row>
    <row r="287" spans="1:27" ht="12" customHeight="1" x14ac:dyDescent="0.25">
      <c r="A287" s="55">
        <v>2025</v>
      </c>
      <c r="B287" s="56" t="s">
        <v>10</v>
      </c>
      <c r="C287" s="45">
        <v>0</v>
      </c>
      <c r="D287" s="52">
        <v>0</v>
      </c>
      <c r="E287" s="52">
        <v>0</v>
      </c>
      <c r="F287" s="48">
        <v>1453.6913100000004</v>
      </c>
      <c r="G287" s="52">
        <v>0</v>
      </c>
      <c r="H287" s="52">
        <v>1453.6913100000004</v>
      </c>
      <c r="I287" s="48">
        <v>0</v>
      </c>
      <c r="J287" s="48">
        <v>83.809060000000002</v>
      </c>
      <c r="K287" s="52">
        <v>0</v>
      </c>
      <c r="L287" s="52">
        <v>83.809060000000002</v>
      </c>
      <c r="M287" s="48">
        <v>0</v>
      </c>
      <c r="N287" s="89">
        <v>0</v>
      </c>
      <c r="O287" s="52">
        <v>0</v>
      </c>
      <c r="P287" s="48">
        <v>701.91727000000003</v>
      </c>
      <c r="Q287" s="88">
        <v>0</v>
      </c>
      <c r="R287" s="52">
        <v>701.91727000000003</v>
      </c>
      <c r="S287" s="52">
        <v>0</v>
      </c>
      <c r="T287" s="52">
        <v>0</v>
      </c>
      <c r="U287" s="48">
        <v>0</v>
      </c>
      <c r="V287" s="48">
        <v>2151.7972400000003</v>
      </c>
      <c r="W287" s="52">
        <v>2151.7972400000003</v>
      </c>
      <c r="X287" s="52">
        <v>0</v>
      </c>
      <c r="Y287" s="87">
        <v>4391.2148800000014</v>
      </c>
      <c r="Z287" s="52">
        <v>2151.7972400000003</v>
      </c>
      <c r="AA287" s="52">
        <v>2239.4176400000006</v>
      </c>
    </row>
    <row r="288" spans="1:27" ht="12" customHeight="1" x14ac:dyDescent="0.25">
      <c r="A288" s="55">
        <v>2025</v>
      </c>
      <c r="B288" s="56" t="s">
        <v>11</v>
      </c>
      <c r="C288" s="45">
        <v>0</v>
      </c>
      <c r="D288" s="52">
        <v>0</v>
      </c>
      <c r="E288" s="52">
        <v>0</v>
      </c>
      <c r="F288" s="48">
        <v>1093.4146100000003</v>
      </c>
      <c r="G288" s="52">
        <v>0</v>
      </c>
      <c r="H288" s="52">
        <v>1093.4146100000003</v>
      </c>
      <c r="I288" s="48">
        <v>0</v>
      </c>
      <c r="J288" s="48">
        <v>12.16582</v>
      </c>
      <c r="K288" s="52">
        <v>0</v>
      </c>
      <c r="L288" s="52">
        <v>12.16582</v>
      </c>
      <c r="M288" s="48">
        <v>0</v>
      </c>
      <c r="N288" s="89">
        <v>0</v>
      </c>
      <c r="O288" s="52">
        <v>0</v>
      </c>
      <c r="P288" s="48">
        <v>546.56534999999997</v>
      </c>
      <c r="Q288" s="88">
        <v>0</v>
      </c>
      <c r="R288" s="52">
        <v>546.56534999999997</v>
      </c>
      <c r="S288" s="52">
        <v>0</v>
      </c>
      <c r="T288" s="52">
        <v>0</v>
      </c>
      <c r="U288" s="48">
        <v>0</v>
      </c>
      <c r="V288" s="48">
        <v>1127.8874499999999</v>
      </c>
      <c r="W288" s="52">
        <v>1127.8874499999999</v>
      </c>
      <c r="X288" s="52">
        <v>0</v>
      </c>
      <c r="Y288" s="87">
        <v>2780.03323</v>
      </c>
      <c r="Z288" s="52">
        <v>1127.8874499999999</v>
      </c>
      <c r="AA288" s="52">
        <v>1652.1457800000003</v>
      </c>
    </row>
    <row r="289" spans="1:27" ht="12" customHeight="1" x14ac:dyDescent="0.25">
      <c r="A289" s="55">
        <v>2025</v>
      </c>
      <c r="B289" s="56" t="s">
        <v>12</v>
      </c>
      <c r="C289" s="45">
        <v>0</v>
      </c>
      <c r="D289" s="52">
        <v>0</v>
      </c>
      <c r="E289" s="52">
        <v>0</v>
      </c>
      <c r="F289" s="48">
        <v>222.83724000000026</v>
      </c>
      <c r="G289" s="52">
        <v>0</v>
      </c>
      <c r="H289" s="52">
        <v>222.83724000000026</v>
      </c>
      <c r="I289" s="48">
        <v>0</v>
      </c>
      <c r="J289" s="48">
        <v>83.921700000000001</v>
      </c>
      <c r="K289" s="52">
        <v>0</v>
      </c>
      <c r="L289" s="52">
        <v>83.921700000000001</v>
      </c>
      <c r="M289" s="48">
        <v>0</v>
      </c>
      <c r="N289" s="89">
        <v>0</v>
      </c>
      <c r="O289" s="52">
        <v>0</v>
      </c>
      <c r="P289" s="48">
        <v>1.7162500000000001</v>
      </c>
      <c r="Q289" s="88">
        <v>0</v>
      </c>
      <c r="R289" s="52">
        <v>1.7162500000000001</v>
      </c>
      <c r="S289" s="52">
        <v>0</v>
      </c>
      <c r="T289" s="52">
        <v>0</v>
      </c>
      <c r="U289" s="48">
        <v>0</v>
      </c>
      <c r="V289" s="48">
        <v>1078.0788400000001</v>
      </c>
      <c r="W289" s="52">
        <v>1078.0788400000001</v>
      </c>
      <c r="X289" s="52">
        <v>0</v>
      </c>
      <c r="Y289" s="87">
        <v>1386.5540300000005</v>
      </c>
      <c r="Z289" s="52">
        <v>1078.0788400000001</v>
      </c>
      <c r="AA289" s="52">
        <v>308.47519000000028</v>
      </c>
    </row>
    <row r="290" spans="1:27" ht="12" customHeight="1" x14ac:dyDescent="0.25">
      <c r="A290" s="55">
        <v>2025</v>
      </c>
      <c r="B290" s="56" t="s">
        <v>13</v>
      </c>
      <c r="C290" s="45">
        <v>0</v>
      </c>
      <c r="D290" s="52">
        <v>0</v>
      </c>
      <c r="E290" s="52">
        <v>0</v>
      </c>
      <c r="F290" s="48">
        <v>1011.3156800000008</v>
      </c>
      <c r="G290" s="52">
        <v>0</v>
      </c>
      <c r="H290" s="52">
        <v>1011.3156800000008</v>
      </c>
      <c r="I290" s="48">
        <v>0</v>
      </c>
      <c r="J290" s="48">
        <v>29.738700000000001</v>
      </c>
      <c r="K290" s="52">
        <v>0</v>
      </c>
      <c r="L290" s="52">
        <v>29.738700000000001</v>
      </c>
      <c r="M290" s="48">
        <v>0</v>
      </c>
      <c r="N290" s="89">
        <v>0</v>
      </c>
      <c r="O290" s="52">
        <v>0</v>
      </c>
      <c r="P290" s="48">
        <v>265.83138000000002</v>
      </c>
      <c r="Q290" s="88">
        <v>0</v>
      </c>
      <c r="R290" s="52">
        <v>265.83138000000002</v>
      </c>
      <c r="S290" s="52">
        <v>0</v>
      </c>
      <c r="T290" s="52">
        <v>0</v>
      </c>
      <c r="U290" s="48">
        <v>0</v>
      </c>
      <c r="V290" s="48">
        <v>3304.9502199999997</v>
      </c>
      <c r="W290" s="52">
        <v>3304.9502199999997</v>
      </c>
      <c r="X290" s="52">
        <v>0</v>
      </c>
      <c r="Y290" s="87">
        <v>4611.8359800000007</v>
      </c>
      <c r="Z290" s="52">
        <v>3304.9502199999997</v>
      </c>
      <c r="AA290" s="52">
        <v>1306.885760000001</v>
      </c>
    </row>
    <row r="291" spans="1:27" ht="12" customHeight="1" x14ac:dyDescent="0.25">
      <c r="A291" s="99">
        <v>2025</v>
      </c>
      <c r="B291" s="6" t="s">
        <v>14</v>
      </c>
      <c r="C291">
        <v>0</v>
      </c>
      <c r="D291">
        <v>0</v>
      </c>
      <c r="E291" s="52">
        <v>0</v>
      </c>
      <c r="F291" s="48">
        <v>2093.8499600000005</v>
      </c>
      <c r="G291" s="52">
        <v>0</v>
      </c>
      <c r="H291" s="52">
        <v>2093.8499600000005</v>
      </c>
      <c r="I291" s="48">
        <v>0</v>
      </c>
      <c r="J291" s="48">
        <v>83.809060000000002</v>
      </c>
      <c r="K291" s="52">
        <v>0</v>
      </c>
      <c r="L291" s="52">
        <v>83.809060000000002</v>
      </c>
      <c r="M291" s="48">
        <v>0</v>
      </c>
      <c r="N291" s="89">
        <v>0</v>
      </c>
      <c r="O291" s="52">
        <v>0</v>
      </c>
      <c r="P291" s="48">
        <v>491.94903000000005</v>
      </c>
      <c r="Q291" s="88">
        <v>0</v>
      </c>
      <c r="R291" s="52">
        <v>491.94903000000005</v>
      </c>
      <c r="S291" s="52">
        <v>0</v>
      </c>
      <c r="T291" s="52">
        <v>0</v>
      </c>
      <c r="U291" s="48">
        <v>0</v>
      </c>
      <c r="V291" s="48">
        <v>6608.7934000000005</v>
      </c>
      <c r="W291" s="52">
        <v>6608.7934000000005</v>
      </c>
      <c r="X291" s="52">
        <v>0</v>
      </c>
      <c r="Y291" s="87">
        <v>9278.4014500000012</v>
      </c>
      <c r="Z291" s="52">
        <v>6608.7934000000005</v>
      </c>
      <c r="AA291" s="52">
        <v>2669.6080500000007</v>
      </c>
    </row>
    <row r="292" spans="1:27" ht="12" customHeight="1" x14ac:dyDescent="0.25">
      <c r="A292" s="99">
        <v>2025</v>
      </c>
      <c r="B292" s="6" t="s">
        <v>15</v>
      </c>
      <c r="C292">
        <v>0</v>
      </c>
      <c r="D292">
        <v>0</v>
      </c>
      <c r="E292" s="52">
        <v>0</v>
      </c>
      <c r="F292" s="48">
        <v>9188.7967500000013</v>
      </c>
      <c r="G292" s="52">
        <v>0</v>
      </c>
      <c r="H292" s="52">
        <v>9188.7967500000013</v>
      </c>
      <c r="I292" s="48">
        <v>0</v>
      </c>
      <c r="J292" s="48">
        <v>3010.7076100000004</v>
      </c>
      <c r="K292" s="52">
        <v>2144.2301000000002</v>
      </c>
      <c r="L292" s="52">
        <v>866.47751000000017</v>
      </c>
      <c r="M292" s="48">
        <v>0</v>
      </c>
      <c r="N292" s="89">
        <v>0</v>
      </c>
      <c r="O292" s="52">
        <v>0</v>
      </c>
      <c r="P292" s="48">
        <v>6369.2094099999995</v>
      </c>
      <c r="Q292" s="88">
        <v>0</v>
      </c>
      <c r="R292" s="52">
        <v>6369.2094099999995</v>
      </c>
      <c r="S292" s="52">
        <v>0</v>
      </c>
      <c r="T292" s="52">
        <v>0</v>
      </c>
      <c r="U292" s="48">
        <v>0</v>
      </c>
      <c r="V292" s="48">
        <v>42628.574030000003</v>
      </c>
      <c r="W292" s="52">
        <v>42628.574030000003</v>
      </c>
      <c r="X292" s="52">
        <v>0</v>
      </c>
      <c r="Y292" s="87">
        <v>61197.287800000006</v>
      </c>
      <c r="Z292" s="52">
        <v>44772.804130000004</v>
      </c>
      <c r="AA292" s="52">
        <v>16424.483670000005</v>
      </c>
    </row>
    <row r="293" spans="1:27" ht="12" customHeight="1" x14ac:dyDescent="0.25">
      <c r="A293" s="59">
        <v>2026</v>
      </c>
      <c r="B293" s="60" t="s">
        <v>3</v>
      </c>
      <c r="C293" s="45">
        <v>0</v>
      </c>
      <c r="D293" s="52">
        <v>0</v>
      </c>
      <c r="E293" s="52">
        <v>0</v>
      </c>
      <c r="F293" s="48">
        <v>2364.2035299999993</v>
      </c>
      <c r="G293" s="52">
        <v>0</v>
      </c>
      <c r="H293" s="52">
        <v>2364.2035299999993</v>
      </c>
      <c r="I293" s="48">
        <v>0</v>
      </c>
      <c r="J293" s="48">
        <v>83.809060000000002</v>
      </c>
      <c r="K293" s="52">
        <v>0</v>
      </c>
      <c r="L293" s="52">
        <v>83.809060000000002</v>
      </c>
      <c r="M293" s="48">
        <v>0</v>
      </c>
      <c r="N293" s="90">
        <v>0</v>
      </c>
      <c r="O293" s="52">
        <v>0</v>
      </c>
      <c r="P293" s="48">
        <v>308.79505000000006</v>
      </c>
      <c r="Q293" s="88">
        <v>0</v>
      </c>
      <c r="R293" s="52">
        <v>308.79505000000006</v>
      </c>
      <c r="S293" s="52">
        <v>0</v>
      </c>
      <c r="T293" s="88">
        <v>0</v>
      </c>
      <c r="U293" s="52">
        <v>0</v>
      </c>
      <c r="V293" s="48">
        <v>4374.9719599999999</v>
      </c>
      <c r="W293" s="52">
        <v>4374.9719599999999</v>
      </c>
      <c r="X293" s="52">
        <v>0</v>
      </c>
      <c r="Y293" s="87">
        <v>7131.7795999999998</v>
      </c>
      <c r="Z293" s="52">
        <v>4374.9719599999999</v>
      </c>
      <c r="AA293" s="52">
        <v>2756.8076399999995</v>
      </c>
    </row>
    <row r="294" spans="1:27" ht="12" customHeight="1" x14ac:dyDescent="0.25">
      <c r="A294" s="59">
        <v>2026</v>
      </c>
      <c r="B294" s="60" t="s">
        <v>4</v>
      </c>
      <c r="C294" s="45">
        <v>0</v>
      </c>
      <c r="D294" s="52">
        <v>0</v>
      </c>
      <c r="E294" s="52">
        <v>0</v>
      </c>
      <c r="F294" s="48">
        <v>127.10111999999982</v>
      </c>
      <c r="G294" s="52">
        <v>0</v>
      </c>
      <c r="H294" s="52">
        <v>127.10111999999982</v>
      </c>
      <c r="I294" s="48">
        <v>0</v>
      </c>
      <c r="J294" s="48">
        <v>75.698499999999996</v>
      </c>
      <c r="K294" s="52">
        <v>0</v>
      </c>
      <c r="L294" s="52">
        <v>75.698499999999996</v>
      </c>
      <c r="M294" s="48">
        <v>0</v>
      </c>
      <c r="N294" s="90">
        <v>0</v>
      </c>
      <c r="O294" s="52">
        <v>0</v>
      </c>
      <c r="P294" s="48">
        <v>377.92268000000001</v>
      </c>
      <c r="Q294" s="88">
        <v>0</v>
      </c>
      <c r="R294" s="52">
        <v>377.92268000000001</v>
      </c>
      <c r="S294" s="52">
        <v>0</v>
      </c>
      <c r="T294" s="88">
        <v>0</v>
      </c>
      <c r="U294" s="52">
        <v>0</v>
      </c>
      <c r="V294" s="48">
        <v>4397.9374600000001</v>
      </c>
      <c r="W294" s="52">
        <v>4397.9374600000001</v>
      </c>
      <c r="X294" s="52">
        <v>0</v>
      </c>
      <c r="Y294" s="87">
        <v>4978.6597600000005</v>
      </c>
      <c r="Z294" s="52">
        <v>4397.9374600000001</v>
      </c>
      <c r="AA294" s="52">
        <v>580.7222999999999</v>
      </c>
    </row>
    <row r="295" spans="1:27" ht="12" customHeight="1" x14ac:dyDescent="0.25">
      <c r="A295" s="59">
        <v>2026</v>
      </c>
      <c r="B295" s="60" t="s">
        <v>5</v>
      </c>
      <c r="C295" s="45">
        <v>0</v>
      </c>
      <c r="D295" s="52">
        <v>0</v>
      </c>
      <c r="E295" s="52">
        <v>0</v>
      </c>
      <c r="F295" s="48">
        <v>105.75059</v>
      </c>
      <c r="G295" s="52">
        <v>0</v>
      </c>
      <c r="H295" s="52">
        <v>105.75059</v>
      </c>
      <c r="I295" s="48">
        <v>0</v>
      </c>
      <c r="J295" s="48">
        <v>83.69641</v>
      </c>
      <c r="K295" s="52">
        <v>0</v>
      </c>
      <c r="L295" s="52">
        <v>83.69641</v>
      </c>
      <c r="M295" s="48">
        <v>0</v>
      </c>
      <c r="N295" s="90">
        <v>0</v>
      </c>
      <c r="O295" s="52">
        <v>0</v>
      </c>
      <c r="P295" s="48">
        <v>32.303780000000003</v>
      </c>
      <c r="Q295" s="88">
        <v>0</v>
      </c>
      <c r="R295" s="52">
        <v>32.303780000000003</v>
      </c>
      <c r="S295" s="52">
        <v>0</v>
      </c>
      <c r="T295" s="88">
        <v>0</v>
      </c>
      <c r="U295" s="52">
        <v>0</v>
      </c>
      <c r="V295" s="48">
        <v>9806.6691699999974</v>
      </c>
      <c r="W295" s="52">
        <v>9806.6691699999974</v>
      </c>
      <c r="X295" s="52">
        <v>0</v>
      </c>
      <c r="Y295" s="87">
        <v>10028.419949999998</v>
      </c>
      <c r="Z295" s="52">
        <v>9806.6691699999974</v>
      </c>
      <c r="AA295" s="52">
        <v>221.75078000000002</v>
      </c>
    </row>
    <row r="296" spans="1:27" ht="12" customHeight="1" x14ac:dyDescent="0.25">
      <c r="A296" s="59">
        <v>2026</v>
      </c>
      <c r="B296" s="60" t="s">
        <v>6</v>
      </c>
      <c r="C296" s="45">
        <v>0</v>
      </c>
      <c r="D296" s="52">
        <v>0</v>
      </c>
      <c r="E296" s="52">
        <v>0</v>
      </c>
      <c r="F296" s="48">
        <v>47.410159999999976</v>
      </c>
      <c r="G296" s="52">
        <v>0</v>
      </c>
      <c r="H296" s="52">
        <v>47.410159999999976</v>
      </c>
      <c r="I296" s="48">
        <v>0</v>
      </c>
      <c r="J296" s="48">
        <v>81.024760000000001</v>
      </c>
      <c r="K296" s="52">
        <v>0</v>
      </c>
      <c r="L296" s="52">
        <v>81.024760000000001</v>
      </c>
      <c r="M296" s="48">
        <v>0</v>
      </c>
      <c r="N296" s="90">
        <v>0</v>
      </c>
      <c r="O296" s="52">
        <v>0</v>
      </c>
      <c r="P296" s="48">
        <v>1033.9299799999999</v>
      </c>
      <c r="Q296" s="88">
        <v>0</v>
      </c>
      <c r="R296" s="52">
        <v>1033.9299799999999</v>
      </c>
      <c r="S296" s="52">
        <v>0</v>
      </c>
      <c r="T296" s="88">
        <v>0</v>
      </c>
      <c r="U296" s="52">
        <v>0</v>
      </c>
      <c r="V296" s="48">
        <v>4393.8412799999996</v>
      </c>
      <c r="W296" s="52">
        <v>4393.8412799999996</v>
      </c>
      <c r="X296" s="52">
        <v>0</v>
      </c>
      <c r="Y296" s="87">
        <v>5556.2061799999992</v>
      </c>
      <c r="Z296" s="52">
        <v>4393.8412799999996</v>
      </c>
      <c r="AA296" s="52">
        <v>1162.3648999999998</v>
      </c>
    </row>
    <row r="297" spans="1:27" ht="12" customHeight="1" x14ac:dyDescent="0.25">
      <c r="A297" s="59">
        <v>2026</v>
      </c>
      <c r="B297" s="60" t="s">
        <v>7</v>
      </c>
      <c r="C297" s="45">
        <v>0</v>
      </c>
      <c r="D297" s="52">
        <v>0</v>
      </c>
      <c r="E297" s="52">
        <v>0</v>
      </c>
      <c r="F297" s="48">
        <v>89.761779999999959</v>
      </c>
      <c r="G297" s="52">
        <v>0</v>
      </c>
      <c r="H297" s="52">
        <v>89.761779999999959</v>
      </c>
      <c r="I297" s="48">
        <v>0</v>
      </c>
      <c r="J297" s="48">
        <v>82.457309999999993</v>
      </c>
      <c r="K297" s="52">
        <v>0</v>
      </c>
      <c r="L297" s="52">
        <v>82.457309999999993</v>
      </c>
      <c r="M297" s="48">
        <v>0</v>
      </c>
      <c r="N297" s="90">
        <v>0</v>
      </c>
      <c r="O297" s="52">
        <v>0</v>
      </c>
      <c r="P297" s="48">
        <v>1142.7238400000001</v>
      </c>
      <c r="Q297" s="88">
        <v>0</v>
      </c>
      <c r="R297" s="52">
        <v>1142.7238400000001</v>
      </c>
      <c r="S297" s="52">
        <v>0</v>
      </c>
      <c r="T297" s="88">
        <v>0</v>
      </c>
      <c r="U297" s="52">
        <v>0</v>
      </c>
      <c r="V297" s="48">
        <v>8725.7655999999988</v>
      </c>
      <c r="W297" s="52">
        <v>8725.7655999999988</v>
      </c>
      <c r="X297" s="52">
        <v>0</v>
      </c>
      <c r="Y297" s="87">
        <v>10040.70853</v>
      </c>
      <c r="Z297" s="52">
        <v>8725.7655999999988</v>
      </c>
      <c r="AA297" s="52">
        <v>1314.9429300000002</v>
      </c>
    </row>
    <row r="298" spans="1:27" ht="12" customHeight="1" x14ac:dyDescent="0.25">
      <c r="A298" s="59">
        <v>2026</v>
      </c>
      <c r="B298" s="60" t="s">
        <v>8</v>
      </c>
      <c r="C298" s="45">
        <v>0</v>
      </c>
      <c r="D298" s="52">
        <v>0</v>
      </c>
      <c r="E298" s="52">
        <v>0</v>
      </c>
      <c r="F298" s="48">
        <v>450.22729000000004</v>
      </c>
      <c r="G298" s="52">
        <v>0</v>
      </c>
      <c r="H298" s="52">
        <v>450.22729000000004</v>
      </c>
      <c r="I298" s="48">
        <v>0</v>
      </c>
      <c r="J298" s="48">
        <v>67.587949999999992</v>
      </c>
      <c r="K298" s="52">
        <v>0</v>
      </c>
      <c r="L298" s="52">
        <v>67.587949999999992</v>
      </c>
      <c r="M298" s="48">
        <v>0</v>
      </c>
      <c r="N298" s="90">
        <v>0</v>
      </c>
      <c r="O298" s="52">
        <v>0</v>
      </c>
      <c r="P298" s="48">
        <v>2216.4018599999999</v>
      </c>
      <c r="Q298" s="88">
        <v>0</v>
      </c>
      <c r="R298" s="52">
        <v>2216.4018599999999</v>
      </c>
      <c r="S298" s="52">
        <v>0</v>
      </c>
      <c r="T298" s="88">
        <v>0</v>
      </c>
      <c r="U298" s="52">
        <v>0</v>
      </c>
      <c r="V298" s="48">
        <v>5473.0649799999992</v>
      </c>
      <c r="W298" s="52">
        <v>5473.0649799999992</v>
      </c>
      <c r="X298" s="52">
        <v>0</v>
      </c>
      <c r="Y298" s="87">
        <v>8207.282079999999</v>
      </c>
      <c r="Z298" s="52">
        <v>5473.0649799999992</v>
      </c>
      <c r="AA298" s="52">
        <v>2734.2170999999998</v>
      </c>
    </row>
    <row r="299" spans="1:27" ht="12" customHeight="1" x14ac:dyDescent="0.25">
      <c r="A299" s="59">
        <v>2026</v>
      </c>
      <c r="B299" s="60" t="s">
        <v>9</v>
      </c>
      <c r="C299" s="45">
        <v>0</v>
      </c>
      <c r="D299" s="52">
        <v>0</v>
      </c>
      <c r="E299" s="52">
        <v>0</v>
      </c>
      <c r="F299" s="48">
        <v>1300.8679900000006</v>
      </c>
      <c r="G299" s="52">
        <v>0</v>
      </c>
      <c r="H299" s="52">
        <v>1300.8679900000006</v>
      </c>
      <c r="I299" s="48">
        <v>0</v>
      </c>
      <c r="J299" s="48">
        <v>2075.8246800000002</v>
      </c>
      <c r="K299" s="52">
        <v>1992.0156200000001</v>
      </c>
      <c r="L299" s="52">
        <v>83.809060000000002</v>
      </c>
      <c r="M299" s="48">
        <v>0</v>
      </c>
      <c r="N299" s="90">
        <v>0</v>
      </c>
      <c r="O299" s="52">
        <v>0</v>
      </c>
      <c r="P299" s="48">
        <v>1764.7041100000001</v>
      </c>
      <c r="Q299" s="88">
        <v>0</v>
      </c>
      <c r="R299" s="52">
        <v>1764.7041100000001</v>
      </c>
      <c r="S299" s="52">
        <v>0</v>
      </c>
      <c r="T299" s="88">
        <v>0</v>
      </c>
      <c r="U299" s="52">
        <v>0</v>
      </c>
      <c r="V299" s="48">
        <v>2087.51145</v>
      </c>
      <c r="W299" s="52">
        <v>2087.51145</v>
      </c>
      <c r="X299" s="52">
        <v>0</v>
      </c>
      <c r="Y299" s="87">
        <v>7228.9082300000009</v>
      </c>
      <c r="Z299" s="52">
        <v>4079.5270700000001</v>
      </c>
      <c r="AA299" s="52">
        <v>3149.3811600000008</v>
      </c>
    </row>
    <row r="300" spans="1:27" ht="12" customHeight="1" x14ac:dyDescent="0.25">
      <c r="A300" s="59" t="s">
        <v>64</v>
      </c>
      <c r="B300" s="60" t="s">
        <v>64</v>
      </c>
      <c r="C300" s="45">
        <v>0</v>
      </c>
      <c r="D300" s="52">
        <v>0</v>
      </c>
      <c r="E300" s="52">
        <v>0</v>
      </c>
      <c r="F300" s="48">
        <v>0</v>
      </c>
      <c r="G300" s="52">
        <v>0</v>
      </c>
      <c r="H300" s="52">
        <v>0</v>
      </c>
      <c r="I300" s="48">
        <v>0</v>
      </c>
      <c r="J300" s="48">
        <v>0</v>
      </c>
      <c r="K300" s="52">
        <v>0</v>
      </c>
      <c r="L300" s="52">
        <v>0</v>
      </c>
      <c r="M300" s="48">
        <v>0</v>
      </c>
      <c r="N300" s="90">
        <v>0</v>
      </c>
      <c r="O300" s="52">
        <v>0</v>
      </c>
      <c r="P300" s="48">
        <v>0</v>
      </c>
      <c r="Q300" s="88">
        <v>0</v>
      </c>
      <c r="R300" s="52">
        <v>0</v>
      </c>
      <c r="S300" s="52">
        <v>0</v>
      </c>
      <c r="T300" s="88">
        <v>0</v>
      </c>
      <c r="U300" s="52">
        <v>0</v>
      </c>
      <c r="V300" s="48">
        <v>0</v>
      </c>
      <c r="W300" s="52">
        <v>0</v>
      </c>
      <c r="X300" s="52">
        <v>0</v>
      </c>
      <c r="Y300" s="87">
        <v>0</v>
      </c>
      <c r="Z300" s="52">
        <v>0</v>
      </c>
      <c r="AA300" s="52">
        <v>0</v>
      </c>
    </row>
    <row r="301" spans="1:27" ht="12" customHeight="1" x14ac:dyDescent="0.25">
      <c r="A301" s="59" t="s">
        <v>64</v>
      </c>
      <c r="B301" s="60" t="s">
        <v>64</v>
      </c>
      <c r="C301" s="45">
        <v>0</v>
      </c>
      <c r="D301" s="52">
        <v>0</v>
      </c>
      <c r="E301" s="52">
        <v>0</v>
      </c>
      <c r="F301" s="48">
        <v>0</v>
      </c>
      <c r="G301" s="52">
        <v>0</v>
      </c>
      <c r="H301" s="52">
        <v>0</v>
      </c>
      <c r="I301" s="48">
        <v>0</v>
      </c>
      <c r="J301" s="48">
        <v>0</v>
      </c>
      <c r="K301" s="52">
        <v>0</v>
      </c>
      <c r="L301" s="52">
        <v>0</v>
      </c>
      <c r="M301" s="48">
        <v>0</v>
      </c>
      <c r="N301" s="90">
        <v>0</v>
      </c>
      <c r="O301" s="52">
        <v>0</v>
      </c>
      <c r="P301" s="48">
        <v>0</v>
      </c>
      <c r="Q301" s="88">
        <v>0</v>
      </c>
      <c r="R301" s="52">
        <v>0</v>
      </c>
      <c r="S301" s="52">
        <v>0</v>
      </c>
      <c r="T301" s="88">
        <v>0</v>
      </c>
      <c r="U301" s="52">
        <v>0</v>
      </c>
      <c r="V301" s="48">
        <v>0</v>
      </c>
      <c r="W301" s="52">
        <v>0</v>
      </c>
      <c r="X301" s="52">
        <v>0</v>
      </c>
      <c r="Y301" s="87">
        <v>0</v>
      </c>
      <c r="Z301" s="52">
        <v>0</v>
      </c>
      <c r="AA301" s="52">
        <v>0</v>
      </c>
    </row>
    <row r="302" spans="1:27" ht="12" customHeight="1" x14ac:dyDescent="0.25">
      <c r="A302" s="59" t="s">
        <v>64</v>
      </c>
      <c r="B302" s="60" t="s">
        <v>64</v>
      </c>
      <c r="C302" s="45">
        <v>0</v>
      </c>
      <c r="D302" s="52">
        <v>0</v>
      </c>
      <c r="E302" s="52">
        <v>0</v>
      </c>
      <c r="F302" s="48">
        <v>0</v>
      </c>
      <c r="G302" s="52">
        <v>0</v>
      </c>
      <c r="H302" s="52">
        <v>0</v>
      </c>
      <c r="I302" s="48">
        <v>0</v>
      </c>
      <c r="J302" s="48">
        <v>0</v>
      </c>
      <c r="K302" s="52">
        <v>0</v>
      </c>
      <c r="L302" s="52">
        <v>0</v>
      </c>
      <c r="M302" s="48">
        <v>0</v>
      </c>
      <c r="N302" s="90">
        <v>0</v>
      </c>
      <c r="O302" s="52">
        <v>0</v>
      </c>
      <c r="P302" s="48">
        <v>0</v>
      </c>
      <c r="Q302" s="88">
        <v>0</v>
      </c>
      <c r="R302" s="52">
        <v>0</v>
      </c>
      <c r="S302" s="52">
        <v>0</v>
      </c>
      <c r="T302" s="88">
        <v>0</v>
      </c>
      <c r="U302" s="52">
        <v>0</v>
      </c>
      <c r="V302" s="48">
        <v>0</v>
      </c>
      <c r="W302" s="52">
        <v>0</v>
      </c>
      <c r="X302" s="52">
        <v>0</v>
      </c>
      <c r="Y302" s="87">
        <v>0</v>
      </c>
      <c r="Z302" s="52">
        <v>0</v>
      </c>
      <c r="AA302" s="52">
        <v>0</v>
      </c>
    </row>
    <row r="303" spans="1:27" ht="12" customHeight="1" x14ac:dyDescent="0.25">
      <c r="A303" s="59" t="s">
        <v>64</v>
      </c>
      <c r="B303" s="60" t="s">
        <v>64</v>
      </c>
      <c r="C303" s="45">
        <v>0</v>
      </c>
      <c r="D303" s="52">
        <v>0</v>
      </c>
      <c r="E303" s="52">
        <v>0</v>
      </c>
      <c r="F303" s="48">
        <v>0</v>
      </c>
      <c r="G303" s="52">
        <v>0</v>
      </c>
      <c r="H303" s="52">
        <v>0</v>
      </c>
      <c r="I303" s="48">
        <v>0</v>
      </c>
      <c r="J303" s="48">
        <v>0</v>
      </c>
      <c r="K303" s="52">
        <v>0</v>
      </c>
      <c r="L303" s="52">
        <v>0</v>
      </c>
      <c r="M303" s="48">
        <v>0</v>
      </c>
      <c r="N303" s="90">
        <v>0</v>
      </c>
      <c r="O303" s="52">
        <v>0</v>
      </c>
      <c r="P303" s="48">
        <v>0</v>
      </c>
      <c r="Q303" s="88">
        <v>0</v>
      </c>
      <c r="R303" s="52">
        <v>0</v>
      </c>
      <c r="S303" s="52">
        <v>0</v>
      </c>
      <c r="T303" s="52">
        <v>0</v>
      </c>
      <c r="U303" s="48">
        <v>0</v>
      </c>
      <c r="V303" s="48">
        <v>0</v>
      </c>
      <c r="W303" s="52">
        <v>0</v>
      </c>
      <c r="X303" s="52">
        <v>0</v>
      </c>
      <c r="Y303" s="87">
        <v>0</v>
      </c>
      <c r="Z303" s="52">
        <v>0</v>
      </c>
      <c r="AA303" s="52">
        <v>0</v>
      </c>
    </row>
    <row r="304" spans="1:27" ht="12" customHeight="1" x14ac:dyDescent="0.25">
      <c r="A304" s="59" t="s">
        <v>64</v>
      </c>
      <c r="B304" s="60" t="s">
        <v>64</v>
      </c>
      <c r="C304" s="45">
        <v>0</v>
      </c>
      <c r="D304" s="52">
        <v>0</v>
      </c>
      <c r="E304" s="52">
        <v>0</v>
      </c>
      <c r="F304" s="48">
        <v>0</v>
      </c>
      <c r="G304" s="52">
        <v>0</v>
      </c>
      <c r="H304" s="52">
        <v>0</v>
      </c>
      <c r="I304" s="48">
        <v>0</v>
      </c>
      <c r="J304" s="48">
        <v>0</v>
      </c>
      <c r="K304" s="52">
        <v>0</v>
      </c>
      <c r="L304" s="52">
        <v>0</v>
      </c>
      <c r="M304" s="48">
        <v>0</v>
      </c>
      <c r="N304" s="90">
        <v>0</v>
      </c>
      <c r="O304" s="52">
        <v>0</v>
      </c>
      <c r="P304" s="48">
        <v>0</v>
      </c>
      <c r="Q304" s="88">
        <v>0</v>
      </c>
      <c r="R304" s="52">
        <v>0</v>
      </c>
      <c r="S304" s="52">
        <v>0</v>
      </c>
      <c r="T304" s="52">
        <v>0</v>
      </c>
      <c r="U304" s="48">
        <v>0</v>
      </c>
      <c r="V304" s="48">
        <v>0</v>
      </c>
      <c r="W304" s="52">
        <v>0</v>
      </c>
      <c r="X304" s="52">
        <v>0</v>
      </c>
      <c r="Y304" s="87">
        <v>0</v>
      </c>
      <c r="Z304" s="52">
        <v>0</v>
      </c>
      <c r="AA304" s="52">
        <v>0</v>
      </c>
    </row>
    <row r="305" spans="5:27" ht="12" customHeight="1" x14ac:dyDescent="0.25">
      <c r="E305" s="52"/>
      <c r="F305" s="48"/>
      <c r="G305" s="52"/>
      <c r="H305" s="52"/>
      <c r="I305" s="48"/>
      <c r="J305" s="48"/>
      <c r="K305" s="52"/>
      <c r="L305" s="52"/>
      <c r="M305" s="48"/>
      <c r="N305" s="89"/>
      <c r="O305" s="52"/>
      <c r="P305" s="48"/>
      <c r="Q305" s="88"/>
      <c r="R305" s="52"/>
      <c r="S305" s="52"/>
      <c r="T305" s="52"/>
      <c r="U305" s="48"/>
      <c r="V305" s="48"/>
      <c r="W305" s="52"/>
      <c r="X305" s="52"/>
      <c r="Y305" s="87"/>
      <c r="Z305" s="52"/>
      <c r="AA305" s="52"/>
    </row>
    <row r="306" spans="5:27" ht="12" customHeight="1" x14ac:dyDescent="0.25">
      <c r="E306" s="52">
        <v>0</v>
      </c>
      <c r="F306" s="48">
        <v>0</v>
      </c>
      <c r="G306" s="52">
        <v>0</v>
      </c>
      <c r="H306" s="52">
        <v>0</v>
      </c>
      <c r="I306" s="48"/>
      <c r="J306" s="48">
        <v>0</v>
      </c>
      <c r="K306" s="52">
        <v>0</v>
      </c>
      <c r="L306" s="52">
        <v>0</v>
      </c>
      <c r="M306" s="48">
        <v>0</v>
      </c>
      <c r="N306" s="89">
        <v>0</v>
      </c>
      <c r="O306" s="52">
        <v>0</v>
      </c>
      <c r="P306" s="48">
        <v>0</v>
      </c>
      <c r="Q306" s="88">
        <v>0</v>
      </c>
      <c r="R306" s="52">
        <v>0</v>
      </c>
      <c r="S306" s="52"/>
      <c r="T306" s="52"/>
      <c r="U306" s="48">
        <v>0</v>
      </c>
      <c r="V306" s="48"/>
      <c r="W306" s="52"/>
      <c r="X306" s="52"/>
      <c r="Y306" s="87">
        <v>0</v>
      </c>
      <c r="Z306" s="52">
        <v>0</v>
      </c>
      <c r="AA306" s="52">
        <v>0</v>
      </c>
    </row>
    <row r="307" spans="5:27" ht="12" customHeight="1" x14ac:dyDescent="0.25">
      <c r="E307" s="52">
        <v>0</v>
      </c>
      <c r="F307" s="48">
        <v>0</v>
      </c>
      <c r="G307" s="52">
        <v>0</v>
      </c>
      <c r="H307" s="52">
        <v>0</v>
      </c>
      <c r="I307" s="48"/>
      <c r="J307" s="48">
        <v>0</v>
      </c>
      <c r="K307" s="52">
        <v>0</v>
      </c>
      <c r="L307" s="52">
        <v>0</v>
      </c>
      <c r="M307" s="48">
        <v>0</v>
      </c>
      <c r="N307" s="89">
        <v>0</v>
      </c>
      <c r="O307" s="52">
        <v>0</v>
      </c>
      <c r="P307" s="48">
        <v>0</v>
      </c>
      <c r="Q307" s="88">
        <v>0</v>
      </c>
      <c r="R307" s="52">
        <v>0</v>
      </c>
      <c r="S307" s="52"/>
      <c r="T307" s="52"/>
      <c r="U307" s="48">
        <v>0</v>
      </c>
      <c r="V307" s="48"/>
      <c r="W307" s="52"/>
      <c r="X307" s="52"/>
      <c r="Y307" s="87">
        <v>0</v>
      </c>
      <c r="Z307" s="52">
        <v>0</v>
      </c>
      <c r="AA307" s="52">
        <v>0</v>
      </c>
    </row>
    <row r="308" spans="5:27" ht="12" customHeight="1" x14ac:dyDescent="0.25">
      <c r="E308" s="52">
        <v>0</v>
      </c>
      <c r="F308" s="48">
        <v>0</v>
      </c>
      <c r="G308" s="52">
        <v>0</v>
      </c>
      <c r="H308" s="52">
        <v>0</v>
      </c>
      <c r="I308" s="48"/>
      <c r="J308" s="48">
        <v>0</v>
      </c>
      <c r="K308" s="52">
        <v>0</v>
      </c>
      <c r="L308" s="52">
        <v>0</v>
      </c>
      <c r="M308" s="48">
        <v>0</v>
      </c>
      <c r="N308" s="89">
        <v>0</v>
      </c>
      <c r="O308" s="52">
        <v>0</v>
      </c>
      <c r="P308" s="48">
        <v>0</v>
      </c>
      <c r="Q308" s="88">
        <v>0</v>
      </c>
      <c r="R308" s="52">
        <v>0</v>
      </c>
      <c r="S308" s="52"/>
      <c r="T308" s="52"/>
      <c r="U308" s="48">
        <v>0</v>
      </c>
      <c r="V308" s="48"/>
      <c r="W308" s="52"/>
      <c r="X308" s="52"/>
      <c r="Y308" s="87">
        <v>0</v>
      </c>
      <c r="Z308" s="52">
        <v>0</v>
      </c>
      <c r="AA308" s="52">
        <v>0</v>
      </c>
    </row>
    <row r="309" spans="5:27" ht="12" customHeight="1" x14ac:dyDescent="0.25">
      <c r="E309" s="52">
        <v>0</v>
      </c>
      <c r="F309" s="48">
        <v>0</v>
      </c>
      <c r="G309" s="52">
        <v>0</v>
      </c>
      <c r="H309" s="52">
        <v>0</v>
      </c>
      <c r="I309" s="48"/>
      <c r="J309" s="48">
        <v>0</v>
      </c>
      <c r="K309" s="52">
        <v>0</v>
      </c>
      <c r="L309" s="52">
        <v>0</v>
      </c>
      <c r="M309" s="48">
        <v>0</v>
      </c>
      <c r="N309" s="89">
        <v>0</v>
      </c>
      <c r="O309" s="52">
        <v>0</v>
      </c>
      <c r="P309" s="48">
        <v>0</v>
      </c>
      <c r="Q309" s="88">
        <v>0</v>
      </c>
      <c r="R309" s="52">
        <v>0</v>
      </c>
      <c r="S309" s="52"/>
      <c r="T309" s="52"/>
      <c r="U309" s="48">
        <v>0</v>
      </c>
      <c r="V309" s="48"/>
      <c r="W309" s="52"/>
      <c r="X309" s="52"/>
      <c r="Y309" s="87">
        <v>0</v>
      </c>
      <c r="Z309" s="52">
        <v>0</v>
      </c>
      <c r="AA309" s="52">
        <v>0</v>
      </c>
    </row>
    <row r="310" spans="5:27" ht="12" customHeight="1" x14ac:dyDescent="0.25">
      <c r="E310" s="52">
        <v>0</v>
      </c>
      <c r="F310" s="48">
        <v>0</v>
      </c>
      <c r="G310" s="52">
        <v>0</v>
      </c>
      <c r="H310" s="52">
        <v>0</v>
      </c>
      <c r="I310" s="48"/>
      <c r="J310" s="48">
        <v>0</v>
      </c>
      <c r="K310" s="52">
        <v>0</v>
      </c>
      <c r="L310" s="52">
        <v>0</v>
      </c>
      <c r="M310" s="48">
        <v>0</v>
      </c>
      <c r="N310" s="89">
        <v>0</v>
      </c>
      <c r="O310" s="52">
        <v>0</v>
      </c>
      <c r="P310" s="48">
        <v>0</v>
      </c>
      <c r="Q310" s="88">
        <v>0</v>
      </c>
      <c r="R310" s="52">
        <v>0</v>
      </c>
      <c r="S310" s="52"/>
      <c r="T310" s="52"/>
      <c r="U310" s="48">
        <v>0</v>
      </c>
      <c r="V310" s="48"/>
      <c r="W310" s="52"/>
      <c r="X310" s="52"/>
      <c r="Y310" s="87">
        <v>0</v>
      </c>
      <c r="Z310" s="52">
        <v>0</v>
      </c>
      <c r="AA310" s="52">
        <v>0</v>
      </c>
    </row>
    <row r="311" spans="5:27" ht="12" customHeight="1" x14ac:dyDescent="0.25">
      <c r="E311" s="52">
        <v>0</v>
      </c>
      <c r="F311" s="48">
        <v>0</v>
      </c>
      <c r="G311" s="52">
        <v>0</v>
      </c>
      <c r="H311" s="52">
        <v>0</v>
      </c>
      <c r="I311" s="48"/>
      <c r="J311" s="48">
        <v>0</v>
      </c>
      <c r="K311" s="52">
        <v>0</v>
      </c>
      <c r="L311" s="52">
        <v>0</v>
      </c>
      <c r="M311" s="48">
        <v>0</v>
      </c>
      <c r="N311" s="89">
        <v>0</v>
      </c>
      <c r="O311" s="52">
        <v>0</v>
      </c>
      <c r="P311" s="48">
        <v>0</v>
      </c>
      <c r="Q311" s="88">
        <v>0</v>
      </c>
      <c r="R311" s="52">
        <v>0</v>
      </c>
      <c r="S311" s="52"/>
      <c r="T311" s="52"/>
      <c r="U311" s="48">
        <v>0</v>
      </c>
      <c r="V311" s="48"/>
      <c r="W311" s="52"/>
      <c r="X311" s="52"/>
      <c r="Y311" s="87">
        <v>0</v>
      </c>
      <c r="Z311" s="52">
        <v>0</v>
      </c>
      <c r="AA311" s="52">
        <v>0</v>
      </c>
    </row>
    <row r="312" spans="5:27" ht="12" customHeight="1" x14ac:dyDescent="0.25">
      <c r="E312" s="52">
        <v>0</v>
      </c>
      <c r="F312" s="48">
        <v>0</v>
      </c>
      <c r="G312" s="52">
        <v>0</v>
      </c>
      <c r="H312" s="52">
        <v>0</v>
      </c>
      <c r="I312" s="48"/>
      <c r="J312" s="48">
        <v>0</v>
      </c>
      <c r="K312" s="52">
        <v>0</v>
      </c>
      <c r="L312" s="52">
        <v>0</v>
      </c>
      <c r="M312" s="48">
        <v>0</v>
      </c>
      <c r="N312" s="89">
        <v>0</v>
      </c>
      <c r="O312" s="52">
        <v>0</v>
      </c>
      <c r="P312" s="48">
        <v>0</v>
      </c>
      <c r="Q312" s="88">
        <v>0</v>
      </c>
      <c r="R312" s="52">
        <v>0</v>
      </c>
      <c r="S312" s="52"/>
      <c r="T312" s="52"/>
      <c r="U312" s="48">
        <v>0</v>
      </c>
      <c r="V312" s="48"/>
      <c r="W312" s="52"/>
      <c r="X312" s="52"/>
      <c r="Y312" s="87">
        <v>0</v>
      </c>
      <c r="Z312" s="52">
        <v>0</v>
      </c>
      <c r="AA312" s="52">
        <v>0</v>
      </c>
    </row>
    <row r="313" spans="5:27" ht="12" customHeight="1" x14ac:dyDescent="0.25">
      <c r="E313" s="52">
        <v>0</v>
      </c>
      <c r="F313" s="48">
        <v>0</v>
      </c>
      <c r="G313" s="52">
        <v>0</v>
      </c>
      <c r="H313" s="52">
        <v>0</v>
      </c>
      <c r="I313" s="48"/>
      <c r="J313" s="48">
        <v>0</v>
      </c>
      <c r="K313" s="52">
        <v>0</v>
      </c>
      <c r="L313" s="52">
        <v>0</v>
      </c>
      <c r="M313" s="48">
        <v>0</v>
      </c>
      <c r="N313" s="89">
        <v>0</v>
      </c>
      <c r="O313" s="52">
        <v>0</v>
      </c>
      <c r="P313" s="48">
        <v>0</v>
      </c>
      <c r="Q313" s="88">
        <v>0</v>
      </c>
      <c r="R313" s="52">
        <v>0</v>
      </c>
      <c r="S313" s="52"/>
      <c r="T313" s="52"/>
      <c r="U313" s="48">
        <v>0</v>
      </c>
      <c r="V313" s="48"/>
      <c r="W313" s="52"/>
      <c r="X313" s="52"/>
      <c r="Y313" s="87">
        <v>0</v>
      </c>
      <c r="Z313" s="52">
        <v>0</v>
      </c>
      <c r="AA313" s="52">
        <v>0</v>
      </c>
    </row>
    <row r="314" spans="5:27" ht="12" customHeight="1" x14ac:dyDescent="0.25">
      <c r="E314" s="52">
        <v>0</v>
      </c>
      <c r="F314" s="48">
        <v>0</v>
      </c>
      <c r="G314" s="52">
        <v>0</v>
      </c>
      <c r="H314" s="52">
        <v>0</v>
      </c>
      <c r="I314" s="48"/>
      <c r="J314" s="48">
        <v>0</v>
      </c>
      <c r="K314" s="52">
        <v>0</v>
      </c>
      <c r="L314" s="52">
        <v>0</v>
      </c>
      <c r="M314" s="48">
        <v>0</v>
      </c>
      <c r="N314" s="89">
        <v>0</v>
      </c>
      <c r="O314" s="52">
        <v>0</v>
      </c>
      <c r="P314" s="48">
        <v>0</v>
      </c>
      <c r="Q314" s="88">
        <v>0</v>
      </c>
      <c r="R314" s="52">
        <v>0</v>
      </c>
      <c r="S314" s="52"/>
      <c r="T314" s="52"/>
      <c r="U314" s="48">
        <v>0</v>
      </c>
      <c r="V314" s="48"/>
      <c r="W314" s="52"/>
      <c r="X314" s="52"/>
      <c r="Y314" s="87">
        <v>0</v>
      </c>
      <c r="Z314" s="52">
        <v>0</v>
      </c>
      <c r="AA314" s="52">
        <v>0</v>
      </c>
    </row>
    <row r="315" spans="5:27" ht="12" customHeight="1" x14ac:dyDescent="0.25">
      <c r="E315" s="52">
        <v>0</v>
      </c>
      <c r="F315" s="48">
        <v>0</v>
      </c>
      <c r="G315" s="52">
        <v>0</v>
      </c>
      <c r="H315" s="52">
        <v>0</v>
      </c>
      <c r="I315" s="48"/>
      <c r="J315" s="48">
        <v>0</v>
      </c>
      <c r="K315" s="52">
        <v>0</v>
      </c>
      <c r="L315" s="52">
        <v>0</v>
      </c>
      <c r="M315" s="48">
        <v>0</v>
      </c>
      <c r="N315" s="89">
        <v>0</v>
      </c>
      <c r="O315" s="52">
        <v>0</v>
      </c>
      <c r="P315" s="48">
        <v>0</v>
      </c>
      <c r="Q315" s="88">
        <v>0</v>
      </c>
      <c r="R315" s="52">
        <v>0</v>
      </c>
      <c r="S315" s="52"/>
      <c r="T315" s="52"/>
      <c r="U315" s="48">
        <v>0</v>
      </c>
      <c r="V315" s="48"/>
      <c r="W315" s="52"/>
      <c r="X315" s="52"/>
      <c r="Y315" s="87">
        <v>0</v>
      </c>
      <c r="Z315" s="52">
        <v>0</v>
      </c>
      <c r="AA315" s="52">
        <v>0</v>
      </c>
    </row>
    <row r="316" spans="5:27" ht="12" customHeight="1" x14ac:dyDescent="0.25">
      <c r="E316" s="52">
        <v>0</v>
      </c>
      <c r="F316" s="48">
        <v>0</v>
      </c>
      <c r="G316" s="52">
        <v>0</v>
      </c>
      <c r="H316" s="52">
        <v>0</v>
      </c>
      <c r="I316" s="48"/>
      <c r="J316" s="48">
        <v>0</v>
      </c>
      <c r="K316" s="52">
        <v>0</v>
      </c>
      <c r="L316" s="52">
        <v>0</v>
      </c>
      <c r="M316" s="48">
        <v>0</v>
      </c>
      <c r="N316" s="89">
        <v>0</v>
      </c>
      <c r="O316" s="52">
        <v>0</v>
      </c>
      <c r="P316" s="48">
        <v>0</v>
      </c>
      <c r="Q316" s="88">
        <v>0</v>
      </c>
      <c r="R316" s="52">
        <v>0</v>
      </c>
      <c r="S316" s="52"/>
      <c r="T316" s="52"/>
      <c r="U316" s="48">
        <v>0</v>
      </c>
      <c r="V316" s="48"/>
      <c r="W316" s="52"/>
      <c r="X316" s="52"/>
      <c r="Y316" s="87">
        <v>0</v>
      </c>
      <c r="Z316" s="52">
        <v>0</v>
      </c>
      <c r="AA316" s="52">
        <v>0</v>
      </c>
    </row>
    <row r="317" spans="5:27" ht="12" customHeight="1" x14ac:dyDescent="0.25">
      <c r="E317" s="52">
        <v>0</v>
      </c>
      <c r="F317" s="48">
        <v>0</v>
      </c>
      <c r="G317" s="52">
        <v>0</v>
      </c>
      <c r="H317" s="52">
        <v>0</v>
      </c>
      <c r="I317" s="48"/>
      <c r="J317" s="48">
        <v>0</v>
      </c>
      <c r="K317" s="52">
        <v>0</v>
      </c>
      <c r="L317" s="52">
        <v>0</v>
      </c>
      <c r="M317" s="48">
        <v>0</v>
      </c>
      <c r="N317" s="89">
        <v>0</v>
      </c>
      <c r="O317" s="52">
        <v>0</v>
      </c>
      <c r="P317" s="48">
        <v>0</v>
      </c>
      <c r="Q317" s="88">
        <v>0</v>
      </c>
      <c r="R317" s="52">
        <v>0</v>
      </c>
      <c r="S317" s="52"/>
      <c r="T317" s="52"/>
      <c r="U317" s="48">
        <v>0</v>
      </c>
      <c r="V317" s="48"/>
      <c r="W317" s="52"/>
      <c r="X317" s="52"/>
      <c r="Y317" s="87">
        <v>0</v>
      </c>
      <c r="Z317" s="52">
        <v>0</v>
      </c>
      <c r="AA317" s="52">
        <v>0</v>
      </c>
    </row>
    <row r="318" spans="5:27" ht="12" customHeight="1" x14ac:dyDescent="0.25">
      <c r="E318" s="52">
        <v>0</v>
      </c>
      <c r="F318" s="48">
        <v>0</v>
      </c>
      <c r="G318" s="52">
        <v>0</v>
      </c>
      <c r="H318" s="52">
        <v>0</v>
      </c>
      <c r="I318" s="48"/>
      <c r="J318" s="48">
        <v>0</v>
      </c>
      <c r="K318" s="52">
        <v>0</v>
      </c>
      <c r="L318" s="52">
        <v>0</v>
      </c>
      <c r="M318" s="48">
        <v>0</v>
      </c>
      <c r="N318" s="89">
        <v>0</v>
      </c>
      <c r="O318" s="52">
        <v>0</v>
      </c>
      <c r="P318" s="48">
        <v>0</v>
      </c>
      <c r="Q318" s="88">
        <v>0</v>
      </c>
      <c r="R318" s="52">
        <v>0</v>
      </c>
      <c r="S318" s="52"/>
      <c r="T318" s="52"/>
      <c r="U318" s="48">
        <v>0</v>
      </c>
      <c r="V318" s="48"/>
      <c r="W318" s="52"/>
      <c r="X318" s="52"/>
      <c r="Y318" s="87">
        <v>0</v>
      </c>
      <c r="Z318" s="52">
        <v>0</v>
      </c>
      <c r="AA318" s="52">
        <v>0</v>
      </c>
    </row>
    <row r="319" spans="5:27" ht="12" customHeight="1" x14ac:dyDescent="0.25">
      <c r="E319" s="52">
        <v>0</v>
      </c>
      <c r="F319" s="48">
        <v>0</v>
      </c>
      <c r="G319" s="52">
        <v>0</v>
      </c>
      <c r="H319" s="52">
        <v>0</v>
      </c>
      <c r="I319" s="48"/>
      <c r="J319" s="48">
        <v>0</v>
      </c>
      <c r="K319" s="52">
        <v>0</v>
      </c>
      <c r="L319" s="52">
        <v>0</v>
      </c>
      <c r="M319" s="48">
        <v>0</v>
      </c>
      <c r="N319" s="89">
        <v>0</v>
      </c>
      <c r="O319" s="52">
        <v>0</v>
      </c>
      <c r="P319" s="48">
        <v>0</v>
      </c>
      <c r="Q319" s="88">
        <v>0</v>
      </c>
      <c r="R319" s="52">
        <v>0</v>
      </c>
      <c r="S319" s="52"/>
      <c r="T319" s="52"/>
      <c r="U319" s="48">
        <v>0</v>
      </c>
      <c r="V319" s="48"/>
      <c r="W319" s="52"/>
      <c r="X319" s="52"/>
      <c r="Y319" s="87">
        <v>0</v>
      </c>
      <c r="Z319" s="52">
        <v>0</v>
      </c>
      <c r="AA319" s="52">
        <v>0</v>
      </c>
    </row>
    <row r="320" spans="5:27" ht="12" customHeight="1" x14ac:dyDescent="0.25">
      <c r="E320" s="52">
        <v>0</v>
      </c>
      <c r="F320" s="48">
        <v>0</v>
      </c>
      <c r="G320" s="52">
        <v>0</v>
      </c>
      <c r="H320" s="52">
        <v>0</v>
      </c>
      <c r="I320" s="48"/>
      <c r="J320" s="48">
        <v>0</v>
      </c>
      <c r="K320" s="52">
        <v>0</v>
      </c>
      <c r="L320" s="52">
        <v>0</v>
      </c>
      <c r="M320" s="48">
        <v>0</v>
      </c>
      <c r="N320" s="89">
        <v>0</v>
      </c>
      <c r="O320" s="52">
        <v>0</v>
      </c>
      <c r="P320" s="48">
        <v>0</v>
      </c>
      <c r="Q320" s="88">
        <v>0</v>
      </c>
      <c r="R320" s="52">
        <v>0</v>
      </c>
      <c r="S320" s="52"/>
      <c r="T320" s="52"/>
      <c r="U320" s="48">
        <v>0</v>
      </c>
      <c r="V320" s="48"/>
      <c r="W320" s="52"/>
      <c r="X320" s="52"/>
      <c r="Y320" s="87">
        <v>0</v>
      </c>
      <c r="Z320" s="52">
        <v>0</v>
      </c>
      <c r="AA320" s="52">
        <v>0</v>
      </c>
    </row>
    <row r="321" spans="5:27" ht="12" customHeight="1" x14ac:dyDescent="0.25">
      <c r="E321" s="52">
        <v>0</v>
      </c>
      <c r="F321" s="48">
        <v>0</v>
      </c>
      <c r="G321" s="52">
        <v>0</v>
      </c>
      <c r="H321" s="52">
        <v>0</v>
      </c>
      <c r="I321" s="48"/>
      <c r="J321" s="48">
        <v>0</v>
      </c>
      <c r="K321" s="52">
        <v>0</v>
      </c>
      <c r="L321" s="52">
        <v>0</v>
      </c>
      <c r="M321" s="48">
        <v>0</v>
      </c>
      <c r="N321" s="89">
        <v>0</v>
      </c>
      <c r="O321" s="52">
        <v>0</v>
      </c>
      <c r="P321" s="48">
        <v>0</v>
      </c>
      <c r="Q321" s="88">
        <v>0</v>
      </c>
      <c r="R321" s="52">
        <v>0</v>
      </c>
      <c r="S321" s="52"/>
      <c r="T321" s="52"/>
      <c r="U321" s="48">
        <v>0</v>
      </c>
      <c r="V321" s="48"/>
      <c r="W321" s="52"/>
      <c r="X321" s="52"/>
      <c r="Y321" s="87">
        <v>0</v>
      </c>
      <c r="Z321" s="52">
        <v>0</v>
      </c>
      <c r="AA321" s="52">
        <v>0</v>
      </c>
    </row>
    <row r="322" spans="5:27" ht="12" customHeight="1" x14ac:dyDescent="0.25">
      <c r="E322" s="52">
        <v>0</v>
      </c>
      <c r="F322" s="48">
        <v>0</v>
      </c>
      <c r="G322" s="52">
        <v>0</v>
      </c>
      <c r="H322" s="52">
        <v>0</v>
      </c>
      <c r="I322" s="48"/>
      <c r="J322" s="48">
        <v>0</v>
      </c>
      <c r="K322" s="52">
        <v>0</v>
      </c>
      <c r="L322" s="52">
        <v>0</v>
      </c>
      <c r="M322" s="48">
        <v>0</v>
      </c>
      <c r="N322" s="89">
        <v>0</v>
      </c>
      <c r="O322" s="52">
        <v>0</v>
      </c>
      <c r="P322" s="48">
        <v>0</v>
      </c>
      <c r="Q322" s="88">
        <v>0</v>
      </c>
      <c r="R322" s="52">
        <v>0</v>
      </c>
      <c r="S322" s="52"/>
      <c r="T322" s="52"/>
      <c r="U322" s="48">
        <v>0</v>
      </c>
      <c r="V322" s="48"/>
      <c r="W322" s="52"/>
      <c r="X322" s="52"/>
      <c r="Y322" s="87">
        <v>0</v>
      </c>
      <c r="Z322" s="52">
        <v>0</v>
      </c>
      <c r="AA322" s="52">
        <v>0</v>
      </c>
    </row>
    <row r="323" spans="5:27" ht="12" customHeight="1" x14ac:dyDescent="0.25">
      <c r="E323" s="52">
        <v>0</v>
      </c>
      <c r="F323" s="48">
        <v>0</v>
      </c>
      <c r="G323" s="52">
        <v>0</v>
      </c>
      <c r="H323" s="52">
        <v>0</v>
      </c>
      <c r="I323" s="48"/>
      <c r="J323" s="48">
        <v>0</v>
      </c>
      <c r="K323" s="52">
        <v>0</v>
      </c>
      <c r="L323" s="52">
        <v>0</v>
      </c>
      <c r="M323" s="48">
        <v>0</v>
      </c>
      <c r="N323" s="89">
        <v>0</v>
      </c>
      <c r="O323" s="52">
        <v>0</v>
      </c>
      <c r="P323" s="48">
        <v>0</v>
      </c>
      <c r="Q323" s="88">
        <v>0</v>
      </c>
      <c r="R323" s="52">
        <v>0</v>
      </c>
      <c r="S323" s="52"/>
      <c r="T323" s="52"/>
      <c r="U323" s="48">
        <v>0</v>
      </c>
      <c r="V323" s="48"/>
      <c r="W323" s="52"/>
      <c r="X323" s="52"/>
      <c r="Y323" s="87">
        <v>0</v>
      </c>
      <c r="Z323" s="52">
        <v>0</v>
      </c>
      <c r="AA323" s="52">
        <v>0</v>
      </c>
    </row>
    <row r="324" spans="5:27" ht="12" customHeight="1" x14ac:dyDescent="0.25">
      <c r="E324" s="52">
        <v>0</v>
      </c>
      <c r="F324" s="48">
        <v>0</v>
      </c>
      <c r="G324" s="52">
        <v>0</v>
      </c>
      <c r="H324" s="52">
        <v>0</v>
      </c>
      <c r="I324" s="48"/>
      <c r="J324" s="48">
        <v>0</v>
      </c>
      <c r="K324" s="52">
        <v>0</v>
      </c>
      <c r="L324" s="52">
        <v>0</v>
      </c>
      <c r="M324" s="48">
        <v>0</v>
      </c>
      <c r="N324" s="89">
        <v>0</v>
      </c>
      <c r="O324" s="52">
        <v>0</v>
      </c>
      <c r="P324" s="48">
        <v>0</v>
      </c>
      <c r="Q324" s="88">
        <v>0</v>
      </c>
      <c r="R324" s="52">
        <v>0</v>
      </c>
      <c r="S324" s="52"/>
      <c r="T324" s="52"/>
      <c r="U324" s="48">
        <v>0</v>
      </c>
      <c r="V324" s="48"/>
      <c r="W324" s="52"/>
      <c r="X324" s="52"/>
      <c r="Y324" s="87">
        <v>0</v>
      </c>
      <c r="Z324" s="52">
        <v>0</v>
      </c>
      <c r="AA324" s="52">
        <v>0</v>
      </c>
    </row>
    <row r="325" spans="5:27" ht="12" customHeight="1" x14ac:dyDescent="0.25">
      <c r="E325" s="52">
        <v>0</v>
      </c>
      <c r="F325" s="48">
        <v>0</v>
      </c>
      <c r="G325" s="52">
        <v>0</v>
      </c>
      <c r="H325" s="52">
        <v>0</v>
      </c>
      <c r="I325" s="48"/>
      <c r="J325" s="48">
        <v>0</v>
      </c>
      <c r="K325" s="52">
        <v>0</v>
      </c>
      <c r="L325" s="52">
        <v>0</v>
      </c>
      <c r="M325" s="48">
        <v>0</v>
      </c>
      <c r="N325" s="89">
        <v>0</v>
      </c>
      <c r="O325" s="52">
        <v>0</v>
      </c>
      <c r="P325" s="48">
        <v>0</v>
      </c>
      <c r="Q325" s="88">
        <v>0</v>
      </c>
      <c r="R325" s="52">
        <v>0</v>
      </c>
      <c r="S325" s="52"/>
      <c r="T325" s="52"/>
      <c r="U325" s="48">
        <v>0</v>
      </c>
      <c r="V325" s="48"/>
      <c r="W325" s="52"/>
      <c r="X325" s="52"/>
      <c r="Y325" s="87">
        <v>0</v>
      </c>
      <c r="Z325" s="52">
        <v>0</v>
      </c>
      <c r="AA325" s="52">
        <v>0</v>
      </c>
    </row>
    <row r="326" spans="5:27" ht="12" customHeight="1" x14ac:dyDescent="0.25">
      <c r="E326" s="52">
        <v>0</v>
      </c>
      <c r="F326" s="48">
        <v>0</v>
      </c>
      <c r="G326" s="52">
        <v>0</v>
      </c>
      <c r="H326" s="52">
        <v>0</v>
      </c>
      <c r="I326" s="48"/>
      <c r="J326" s="48">
        <v>0</v>
      </c>
      <c r="K326" s="52">
        <v>0</v>
      </c>
      <c r="L326" s="52">
        <v>0</v>
      </c>
      <c r="M326" s="48">
        <v>0</v>
      </c>
      <c r="N326" s="89">
        <v>0</v>
      </c>
      <c r="O326" s="52">
        <v>0</v>
      </c>
      <c r="P326" s="48">
        <v>0</v>
      </c>
      <c r="Q326" s="88">
        <v>0</v>
      </c>
      <c r="R326" s="52">
        <v>0</v>
      </c>
      <c r="S326" s="52"/>
      <c r="T326" s="52"/>
      <c r="U326" s="48">
        <v>0</v>
      </c>
      <c r="V326" s="48"/>
      <c r="W326" s="52"/>
      <c r="X326" s="52"/>
      <c r="Y326" s="87">
        <v>0</v>
      </c>
      <c r="Z326" s="52">
        <v>0</v>
      </c>
      <c r="AA326" s="52">
        <v>0</v>
      </c>
    </row>
    <row r="327" spans="5:27" ht="12" customHeight="1" x14ac:dyDescent="0.25">
      <c r="E327" s="52">
        <v>0</v>
      </c>
      <c r="F327" s="48">
        <v>0</v>
      </c>
      <c r="G327" s="52">
        <v>0</v>
      </c>
      <c r="H327" s="52">
        <v>0</v>
      </c>
      <c r="I327" s="48"/>
      <c r="J327" s="48">
        <v>0</v>
      </c>
      <c r="K327" s="52">
        <v>0</v>
      </c>
      <c r="L327" s="52">
        <v>0</v>
      </c>
      <c r="M327" s="48">
        <v>0</v>
      </c>
      <c r="N327" s="89">
        <v>0</v>
      </c>
      <c r="O327" s="52">
        <v>0</v>
      </c>
      <c r="P327" s="48">
        <v>0</v>
      </c>
      <c r="Q327" s="88">
        <v>0</v>
      </c>
      <c r="R327" s="52">
        <v>0</v>
      </c>
      <c r="S327" s="52"/>
      <c r="T327" s="52"/>
      <c r="U327" s="48">
        <v>0</v>
      </c>
      <c r="V327" s="48"/>
      <c r="W327" s="52"/>
      <c r="X327" s="52"/>
      <c r="Y327" s="87">
        <v>0</v>
      </c>
      <c r="Z327" s="52">
        <v>0</v>
      </c>
      <c r="AA327" s="52">
        <v>0</v>
      </c>
    </row>
    <row r="328" spans="5:27" ht="12" customHeight="1" x14ac:dyDescent="0.25">
      <c r="E328" s="52">
        <v>0</v>
      </c>
      <c r="F328" s="48">
        <v>0</v>
      </c>
      <c r="G328" s="52">
        <v>0</v>
      </c>
      <c r="H328" s="52">
        <v>0</v>
      </c>
      <c r="I328" s="48"/>
      <c r="J328" s="48">
        <v>0</v>
      </c>
      <c r="K328" s="52">
        <v>0</v>
      </c>
      <c r="L328" s="52">
        <v>0</v>
      </c>
      <c r="M328" s="48">
        <v>0</v>
      </c>
      <c r="N328" s="89">
        <v>0</v>
      </c>
      <c r="O328" s="52">
        <v>0</v>
      </c>
      <c r="P328" s="48">
        <v>0</v>
      </c>
      <c r="Q328" s="88">
        <v>0</v>
      </c>
      <c r="R328" s="52">
        <v>0</v>
      </c>
      <c r="S328" s="52"/>
      <c r="T328" s="52"/>
      <c r="U328" s="48">
        <v>0</v>
      </c>
      <c r="V328" s="48"/>
      <c r="W328" s="52"/>
      <c r="X328" s="52"/>
      <c r="Y328" s="87">
        <v>0</v>
      </c>
      <c r="Z328" s="52">
        <v>0</v>
      </c>
      <c r="AA328" s="52">
        <v>0</v>
      </c>
    </row>
    <row r="329" spans="5:27" ht="12" customHeight="1" x14ac:dyDescent="0.25">
      <c r="E329" s="52">
        <v>0</v>
      </c>
      <c r="F329" s="48">
        <v>0</v>
      </c>
      <c r="G329" s="52">
        <v>0</v>
      </c>
      <c r="H329" s="52">
        <v>0</v>
      </c>
      <c r="I329" s="48"/>
      <c r="J329" s="48">
        <v>0</v>
      </c>
      <c r="K329" s="52">
        <v>0</v>
      </c>
      <c r="L329" s="52">
        <v>0</v>
      </c>
      <c r="M329" s="48">
        <v>0</v>
      </c>
      <c r="N329" s="89">
        <v>0</v>
      </c>
      <c r="O329" s="52">
        <v>0</v>
      </c>
      <c r="P329" s="48">
        <v>0</v>
      </c>
      <c r="Q329" s="88">
        <v>0</v>
      </c>
      <c r="R329" s="52">
        <v>0</v>
      </c>
      <c r="S329" s="52"/>
      <c r="T329" s="52"/>
      <c r="U329" s="48">
        <v>0</v>
      </c>
      <c r="V329" s="48"/>
      <c r="W329" s="52"/>
      <c r="X329" s="52"/>
      <c r="Y329" s="87">
        <v>0</v>
      </c>
      <c r="Z329" s="52">
        <v>0</v>
      </c>
      <c r="AA329" s="52">
        <v>0</v>
      </c>
    </row>
    <row r="330" spans="5:27" ht="12" customHeight="1" x14ac:dyDescent="0.25">
      <c r="E330" s="52">
        <v>0</v>
      </c>
      <c r="F330" s="48">
        <v>0</v>
      </c>
      <c r="G330" s="52">
        <v>0</v>
      </c>
      <c r="H330" s="52">
        <v>0</v>
      </c>
      <c r="I330" s="48"/>
      <c r="J330" s="48">
        <v>0</v>
      </c>
      <c r="K330" s="52">
        <v>0</v>
      </c>
      <c r="L330" s="52">
        <v>0</v>
      </c>
      <c r="M330" s="48">
        <v>0</v>
      </c>
      <c r="N330" s="89">
        <v>0</v>
      </c>
      <c r="O330" s="52">
        <v>0</v>
      </c>
      <c r="P330" s="48">
        <v>0</v>
      </c>
      <c r="Q330" s="88">
        <v>0</v>
      </c>
      <c r="R330" s="52">
        <v>0</v>
      </c>
      <c r="S330" s="52"/>
      <c r="T330" s="52"/>
      <c r="U330" s="48">
        <v>0</v>
      </c>
      <c r="V330" s="48"/>
      <c r="W330" s="52"/>
      <c r="X330" s="52"/>
      <c r="Y330" s="87">
        <v>0</v>
      </c>
      <c r="Z330" s="52">
        <v>0</v>
      </c>
      <c r="AA330" s="52">
        <v>0</v>
      </c>
    </row>
    <row r="331" spans="5:27" ht="12" customHeight="1" x14ac:dyDescent="0.25">
      <c r="E331" s="52">
        <v>0</v>
      </c>
      <c r="F331" s="48">
        <v>0</v>
      </c>
      <c r="G331" s="52">
        <v>0</v>
      </c>
      <c r="H331" s="52">
        <v>0</v>
      </c>
      <c r="I331" s="48"/>
      <c r="J331" s="48">
        <v>0</v>
      </c>
      <c r="K331" s="52">
        <v>0</v>
      </c>
      <c r="L331" s="52">
        <v>0</v>
      </c>
      <c r="M331" s="48">
        <v>0</v>
      </c>
      <c r="N331" s="89">
        <v>0</v>
      </c>
      <c r="O331" s="52">
        <v>0</v>
      </c>
      <c r="P331" s="48">
        <v>0</v>
      </c>
      <c r="Q331" s="88">
        <v>0</v>
      </c>
      <c r="R331" s="52">
        <v>0</v>
      </c>
      <c r="S331" s="52"/>
      <c r="T331" s="52"/>
      <c r="U331" s="48">
        <v>0</v>
      </c>
      <c r="V331" s="48"/>
      <c r="W331" s="52"/>
      <c r="X331" s="52"/>
      <c r="Y331" s="87">
        <v>0</v>
      </c>
      <c r="Z331" s="52">
        <v>0</v>
      </c>
      <c r="AA331" s="52">
        <v>0</v>
      </c>
    </row>
    <row r="332" spans="5:27" ht="12" customHeight="1" x14ac:dyDescent="0.25">
      <c r="E332" s="52">
        <v>0</v>
      </c>
      <c r="F332" s="48">
        <v>0</v>
      </c>
      <c r="G332" s="52">
        <v>0</v>
      </c>
      <c r="H332" s="52">
        <v>0</v>
      </c>
      <c r="I332" s="48"/>
      <c r="J332" s="48">
        <v>0</v>
      </c>
      <c r="K332" s="52">
        <v>0</v>
      </c>
      <c r="L332" s="52">
        <v>0</v>
      </c>
      <c r="M332" s="48">
        <v>0</v>
      </c>
      <c r="N332" s="89">
        <v>0</v>
      </c>
      <c r="O332" s="52">
        <v>0</v>
      </c>
      <c r="P332" s="48">
        <v>0</v>
      </c>
      <c r="Q332" s="88">
        <v>0</v>
      </c>
      <c r="R332" s="52">
        <v>0</v>
      </c>
      <c r="S332" s="52"/>
      <c r="T332" s="52"/>
      <c r="U332" s="48">
        <v>0</v>
      </c>
      <c r="V332" s="48"/>
      <c r="W332" s="52"/>
      <c r="X332" s="52"/>
      <c r="Y332" s="87">
        <v>0</v>
      </c>
      <c r="Z332" s="52">
        <v>0</v>
      </c>
      <c r="AA332" s="52">
        <v>0</v>
      </c>
    </row>
    <row r="333" spans="5:27" ht="12" customHeight="1" x14ac:dyDescent="0.25">
      <c r="E333" s="52">
        <v>0</v>
      </c>
      <c r="F333" s="48">
        <v>0</v>
      </c>
      <c r="G333" s="52">
        <v>0</v>
      </c>
      <c r="H333" s="52">
        <v>0</v>
      </c>
      <c r="I333" s="48"/>
      <c r="J333" s="48">
        <v>0</v>
      </c>
      <c r="K333" s="52">
        <v>0</v>
      </c>
      <c r="L333" s="52">
        <v>0</v>
      </c>
      <c r="M333" s="48">
        <v>0</v>
      </c>
      <c r="N333" s="89">
        <v>0</v>
      </c>
      <c r="O333" s="52">
        <v>0</v>
      </c>
      <c r="P333" s="48">
        <v>0</v>
      </c>
      <c r="Q333" s="88">
        <v>0</v>
      </c>
      <c r="R333" s="52">
        <v>0</v>
      </c>
      <c r="S333" s="52"/>
      <c r="T333" s="52"/>
      <c r="U333" s="48">
        <v>0</v>
      </c>
      <c r="V333" s="48"/>
      <c r="W333" s="52"/>
      <c r="X333" s="52"/>
      <c r="Y333" s="87">
        <v>0</v>
      </c>
      <c r="Z333" s="52">
        <v>0</v>
      </c>
      <c r="AA333" s="52">
        <v>0</v>
      </c>
    </row>
    <row r="334" spans="5:27" ht="12" customHeight="1" x14ac:dyDescent="0.25">
      <c r="E334" s="52">
        <v>0</v>
      </c>
      <c r="F334" s="48">
        <v>0</v>
      </c>
      <c r="G334" s="52">
        <v>0</v>
      </c>
      <c r="H334" s="52">
        <v>0</v>
      </c>
      <c r="I334" s="48"/>
      <c r="J334" s="48">
        <v>0</v>
      </c>
      <c r="K334" s="52">
        <v>0</v>
      </c>
      <c r="L334" s="52">
        <v>0</v>
      </c>
      <c r="M334" s="48">
        <v>0</v>
      </c>
      <c r="N334" s="89">
        <v>0</v>
      </c>
      <c r="O334" s="52">
        <v>0</v>
      </c>
      <c r="P334" s="48">
        <v>0</v>
      </c>
      <c r="Q334" s="88">
        <v>0</v>
      </c>
      <c r="R334" s="52">
        <v>0</v>
      </c>
      <c r="S334" s="52"/>
      <c r="T334" s="52"/>
      <c r="U334" s="48">
        <v>0</v>
      </c>
      <c r="V334" s="48"/>
      <c r="W334" s="52"/>
      <c r="X334" s="52"/>
      <c r="Y334" s="87">
        <v>0</v>
      </c>
      <c r="Z334" s="52">
        <v>0</v>
      </c>
      <c r="AA334" s="52">
        <v>0</v>
      </c>
    </row>
    <row r="335" spans="5:27" ht="12" customHeight="1" x14ac:dyDescent="0.25">
      <c r="E335" s="52">
        <v>0</v>
      </c>
      <c r="F335" s="48">
        <v>0</v>
      </c>
      <c r="G335" s="52">
        <v>0</v>
      </c>
      <c r="H335" s="52">
        <v>0</v>
      </c>
      <c r="I335" s="48"/>
      <c r="J335" s="48">
        <v>0</v>
      </c>
      <c r="K335" s="52">
        <v>0</v>
      </c>
      <c r="L335" s="52">
        <v>0</v>
      </c>
      <c r="M335" s="48">
        <v>0</v>
      </c>
      <c r="N335" s="89">
        <v>0</v>
      </c>
      <c r="O335" s="52">
        <v>0</v>
      </c>
      <c r="P335" s="48">
        <v>0</v>
      </c>
      <c r="Q335" s="88">
        <v>0</v>
      </c>
      <c r="R335" s="52">
        <v>0</v>
      </c>
      <c r="S335" s="52"/>
      <c r="T335" s="52"/>
      <c r="U335" s="48">
        <v>0</v>
      </c>
      <c r="V335" s="48"/>
      <c r="W335" s="52"/>
      <c r="X335" s="52"/>
      <c r="Y335" s="87">
        <v>0</v>
      </c>
      <c r="Z335" s="52">
        <v>0</v>
      </c>
      <c r="AA335" s="52">
        <v>0</v>
      </c>
    </row>
    <row r="336" spans="5:27" ht="12" customHeight="1" x14ac:dyDescent="0.25">
      <c r="E336" s="52">
        <v>0</v>
      </c>
      <c r="F336" s="48">
        <v>0</v>
      </c>
      <c r="G336" s="52">
        <v>0</v>
      </c>
      <c r="H336" s="52">
        <v>0</v>
      </c>
      <c r="I336" s="48"/>
      <c r="J336" s="48">
        <v>0</v>
      </c>
      <c r="K336" s="52">
        <v>0</v>
      </c>
      <c r="L336" s="52">
        <v>0</v>
      </c>
      <c r="M336" s="48">
        <v>0</v>
      </c>
      <c r="N336" s="89">
        <v>0</v>
      </c>
      <c r="O336" s="52">
        <v>0</v>
      </c>
      <c r="P336" s="48">
        <v>0</v>
      </c>
      <c r="Q336" s="88">
        <v>0</v>
      </c>
      <c r="R336" s="52">
        <v>0</v>
      </c>
      <c r="S336" s="52"/>
      <c r="T336" s="52"/>
      <c r="U336" s="48">
        <v>0</v>
      </c>
      <c r="V336" s="48"/>
      <c r="W336" s="52"/>
      <c r="X336" s="52"/>
      <c r="Y336" s="87">
        <v>0</v>
      </c>
      <c r="Z336" s="52">
        <v>0</v>
      </c>
      <c r="AA336" s="52">
        <v>0</v>
      </c>
    </row>
    <row r="337" spans="5:27" ht="12" customHeight="1" x14ac:dyDescent="0.25">
      <c r="E337" s="52">
        <v>0</v>
      </c>
      <c r="F337" s="48">
        <v>0</v>
      </c>
      <c r="G337" s="52">
        <v>0</v>
      </c>
      <c r="H337" s="52">
        <v>0</v>
      </c>
      <c r="I337" s="48"/>
      <c r="J337" s="48">
        <v>0</v>
      </c>
      <c r="K337" s="52">
        <v>0</v>
      </c>
      <c r="L337" s="52">
        <v>0</v>
      </c>
      <c r="M337" s="48">
        <v>0</v>
      </c>
      <c r="N337" s="89">
        <v>0</v>
      </c>
      <c r="O337" s="52">
        <v>0</v>
      </c>
      <c r="P337" s="48">
        <v>0</v>
      </c>
      <c r="Q337" s="88">
        <v>0</v>
      </c>
      <c r="R337" s="52">
        <v>0</v>
      </c>
      <c r="S337" s="52"/>
      <c r="T337" s="52"/>
      <c r="U337" s="48">
        <v>0</v>
      </c>
      <c r="V337" s="48"/>
      <c r="W337" s="52"/>
      <c r="X337" s="52"/>
      <c r="Y337" s="87">
        <v>0</v>
      </c>
      <c r="Z337" s="52">
        <v>0</v>
      </c>
      <c r="AA337" s="52">
        <v>0</v>
      </c>
    </row>
    <row r="338" spans="5:27" ht="12" customHeight="1" x14ac:dyDescent="0.25">
      <c r="E338" s="52">
        <v>0</v>
      </c>
      <c r="F338" s="48">
        <v>0</v>
      </c>
      <c r="G338" s="52">
        <v>0</v>
      </c>
      <c r="H338" s="52">
        <v>0</v>
      </c>
      <c r="I338" s="48"/>
      <c r="J338" s="48">
        <v>0</v>
      </c>
      <c r="K338" s="52">
        <v>0</v>
      </c>
      <c r="L338" s="52">
        <v>0</v>
      </c>
      <c r="M338" s="48">
        <v>0</v>
      </c>
      <c r="N338" s="89">
        <v>0</v>
      </c>
      <c r="O338" s="52">
        <v>0</v>
      </c>
      <c r="P338" s="48">
        <v>0</v>
      </c>
      <c r="Q338" s="88">
        <v>0</v>
      </c>
      <c r="R338" s="52">
        <v>0</v>
      </c>
      <c r="S338" s="52"/>
      <c r="T338" s="52"/>
      <c r="U338" s="48">
        <v>0</v>
      </c>
      <c r="V338" s="48"/>
      <c r="W338" s="52"/>
      <c r="X338" s="52"/>
      <c r="Y338" s="87">
        <v>0</v>
      </c>
      <c r="Z338" s="52">
        <v>0</v>
      </c>
      <c r="AA338" s="52">
        <v>0</v>
      </c>
    </row>
    <row r="339" spans="5:27" ht="12" customHeight="1" x14ac:dyDescent="0.25">
      <c r="E339" s="52">
        <v>0</v>
      </c>
      <c r="F339" s="48">
        <v>0</v>
      </c>
      <c r="G339" s="52">
        <v>0</v>
      </c>
      <c r="H339" s="52">
        <v>0</v>
      </c>
      <c r="I339" s="48"/>
      <c r="J339" s="48">
        <v>0</v>
      </c>
      <c r="K339" s="52">
        <v>0</v>
      </c>
      <c r="L339" s="52">
        <v>0</v>
      </c>
      <c r="M339" s="48">
        <v>0</v>
      </c>
      <c r="N339" s="89">
        <v>0</v>
      </c>
      <c r="O339" s="52">
        <v>0</v>
      </c>
      <c r="P339" s="48">
        <v>0</v>
      </c>
      <c r="Q339" s="88">
        <v>0</v>
      </c>
      <c r="R339" s="52">
        <v>0</v>
      </c>
      <c r="S339" s="52"/>
      <c r="T339" s="52"/>
      <c r="U339" s="48">
        <v>0</v>
      </c>
      <c r="V339" s="48"/>
      <c r="W339" s="52"/>
      <c r="X339" s="52"/>
      <c r="Y339" s="87">
        <v>0</v>
      </c>
      <c r="Z339" s="52">
        <v>0</v>
      </c>
      <c r="AA339" s="52">
        <v>0</v>
      </c>
    </row>
    <row r="340" spans="5:27" ht="12" customHeight="1" x14ac:dyDescent="0.25">
      <c r="E340" s="52">
        <v>0</v>
      </c>
      <c r="F340" s="48">
        <v>0</v>
      </c>
      <c r="G340" s="52">
        <v>0</v>
      </c>
      <c r="H340" s="52">
        <v>0</v>
      </c>
      <c r="I340" s="48"/>
      <c r="J340" s="48">
        <v>0</v>
      </c>
      <c r="K340" s="52">
        <v>0</v>
      </c>
      <c r="L340" s="52">
        <v>0</v>
      </c>
      <c r="M340" s="48">
        <v>0</v>
      </c>
      <c r="N340" s="89">
        <v>0</v>
      </c>
      <c r="O340" s="52">
        <v>0</v>
      </c>
      <c r="P340" s="48">
        <v>0</v>
      </c>
      <c r="Q340" s="88">
        <v>0</v>
      </c>
      <c r="R340" s="52">
        <v>0</v>
      </c>
      <c r="S340" s="52"/>
      <c r="T340" s="52"/>
      <c r="U340" s="48">
        <v>0</v>
      </c>
      <c r="V340" s="48"/>
      <c r="W340" s="52"/>
      <c r="X340" s="52"/>
      <c r="Y340" s="87">
        <v>0</v>
      </c>
      <c r="Z340" s="52">
        <v>0</v>
      </c>
      <c r="AA340" s="52">
        <v>0</v>
      </c>
    </row>
    <row r="341" spans="5:27" ht="12" customHeight="1" x14ac:dyDescent="0.25">
      <c r="E341" s="52">
        <v>0</v>
      </c>
      <c r="F341" s="48">
        <v>0</v>
      </c>
      <c r="G341" s="52">
        <v>0</v>
      </c>
      <c r="H341" s="52">
        <v>0</v>
      </c>
      <c r="I341" s="48"/>
      <c r="J341" s="48">
        <v>0</v>
      </c>
      <c r="K341" s="52">
        <v>0</v>
      </c>
      <c r="L341" s="52">
        <v>0</v>
      </c>
      <c r="M341" s="48">
        <v>0</v>
      </c>
      <c r="N341" s="89">
        <v>0</v>
      </c>
      <c r="O341" s="52">
        <v>0</v>
      </c>
      <c r="P341" s="48">
        <v>0</v>
      </c>
      <c r="Q341" s="88">
        <v>0</v>
      </c>
      <c r="R341" s="52">
        <v>0</v>
      </c>
      <c r="S341" s="52"/>
      <c r="T341" s="52"/>
      <c r="U341" s="48">
        <v>0</v>
      </c>
      <c r="V341" s="48"/>
      <c r="W341" s="52"/>
      <c r="X341" s="52"/>
      <c r="Y341" s="87">
        <v>0</v>
      </c>
      <c r="Z341" s="52">
        <v>0</v>
      </c>
      <c r="AA341" s="52">
        <v>0</v>
      </c>
    </row>
    <row r="342" spans="5:27" ht="12" customHeight="1" x14ac:dyDescent="0.25">
      <c r="E342" s="52">
        <v>0</v>
      </c>
      <c r="F342" s="48">
        <v>0</v>
      </c>
      <c r="G342" s="52">
        <v>0</v>
      </c>
      <c r="H342" s="52">
        <v>0</v>
      </c>
      <c r="I342" s="48"/>
      <c r="J342" s="48">
        <v>0</v>
      </c>
      <c r="K342" s="52">
        <v>0</v>
      </c>
      <c r="L342" s="52">
        <v>0</v>
      </c>
      <c r="M342" s="48">
        <v>0</v>
      </c>
      <c r="N342" s="89">
        <v>0</v>
      </c>
      <c r="O342" s="52">
        <v>0</v>
      </c>
      <c r="P342" s="48">
        <v>0</v>
      </c>
      <c r="Q342" s="88">
        <v>0</v>
      </c>
      <c r="R342" s="52">
        <v>0</v>
      </c>
      <c r="S342" s="52"/>
      <c r="T342" s="52"/>
      <c r="U342" s="48">
        <v>0</v>
      </c>
      <c r="V342" s="48"/>
      <c r="W342" s="52"/>
      <c r="X342" s="52"/>
      <c r="Y342" s="87">
        <v>0</v>
      </c>
      <c r="Z342" s="52">
        <v>0</v>
      </c>
      <c r="AA342" s="52">
        <v>0</v>
      </c>
    </row>
    <row r="343" spans="5:27" ht="12" customHeight="1" x14ac:dyDescent="0.25">
      <c r="E343" s="52">
        <v>0</v>
      </c>
      <c r="F343" s="48">
        <v>0</v>
      </c>
      <c r="G343" s="52">
        <v>0</v>
      </c>
      <c r="H343" s="52">
        <v>0</v>
      </c>
      <c r="I343" s="48"/>
      <c r="J343" s="48">
        <v>0</v>
      </c>
      <c r="K343" s="52">
        <v>0</v>
      </c>
      <c r="L343" s="52">
        <v>0</v>
      </c>
      <c r="M343" s="48">
        <v>0</v>
      </c>
      <c r="N343" s="89">
        <v>0</v>
      </c>
      <c r="O343" s="52">
        <v>0</v>
      </c>
      <c r="P343" s="48">
        <v>0</v>
      </c>
      <c r="Q343" s="88">
        <v>0</v>
      </c>
      <c r="R343" s="52">
        <v>0</v>
      </c>
      <c r="S343" s="52"/>
      <c r="T343" s="52"/>
      <c r="U343" s="48">
        <v>0</v>
      </c>
      <c r="V343" s="48"/>
      <c r="W343" s="52"/>
      <c r="X343" s="52"/>
      <c r="Y343" s="87">
        <v>0</v>
      </c>
      <c r="Z343" s="52">
        <v>0</v>
      </c>
      <c r="AA343" s="52">
        <v>0</v>
      </c>
    </row>
    <row r="344" spans="5:27" ht="12" customHeight="1" x14ac:dyDescent="0.25">
      <c r="E344" s="52">
        <v>0</v>
      </c>
      <c r="F344" s="48">
        <v>0</v>
      </c>
      <c r="G344" s="52">
        <v>0</v>
      </c>
      <c r="H344" s="52">
        <v>0</v>
      </c>
      <c r="I344" s="48"/>
      <c r="J344" s="48">
        <v>0</v>
      </c>
      <c r="K344" s="52">
        <v>0</v>
      </c>
      <c r="L344" s="52">
        <v>0</v>
      </c>
      <c r="M344" s="48">
        <v>0</v>
      </c>
      <c r="N344" s="89">
        <v>0</v>
      </c>
      <c r="O344" s="52">
        <v>0</v>
      </c>
      <c r="P344" s="48">
        <v>0</v>
      </c>
      <c r="Q344" s="88">
        <v>0</v>
      </c>
      <c r="R344" s="52">
        <v>0</v>
      </c>
      <c r="S344" s="52"/>
      <c r="T344" s="52"/>
      <c r="U344" s="48">
        <v>0</v>
      </c>
      <c r="V344" s="48"/>
      <c r="W344" s="52"/>
      <c r="X344" s="52"/>
      <c r="Y344" s="87">
        <v>0</v>
      </c>
      <c r="Z344" s="52">
        <v>0</v>
      </c>
      <c r="AA344" s="52">
        <v>0</v>
      </c>
    </row>
    <row r="345" spans="5:27" ht="12" customHeight="1" x14ac:dyDescent="0.25">
      <c r="E345" s="52">
        <v>0</v>
      </c>
      <c r="F345" s="48">
        <v>0</v>
      </c>
      <c r="G345" s="52">
        <v>0</v>
      </c>
      <c r="H345" s="52">
        <v>0</v>
      </c>
      <c r="I345" s="48"/>
      <c r="J345" s="48">
        <v>0</v>
      </c>
      <c r="K345" s="52">
        <v>0</v>
      </c>
      <c r="L345" s="52">
        <v>0</v>
      </c>
      <c r="M345" s="48">
        <v>0</v>
      </c>
      <c r="N345" s="89">
        <v>0</v>
      </c>
      <c r="O345" s="52">
        <v>0</v>
      </c>
      <c r="P345" s="48">
        <v>0</v>
      </c>
      <c r="Q345" s="88">
        <v>0</v>
      </c>
      <c r="R345" s="52">
        <v>0</v>
      </c>
      <c r="S345" s="52"/>
      <c r="T345" s="52"/>
      <c r="U345" s="48">
        <v>0</v>
      </c>
      <c r="V345" s="48"/>
      <c r="W345" s="52"/>
      <c r="X345" s="52"/>
      <c r="Y345" s="87">
        <v>0</v>
      </c>
      <c r="Z345" s="52">
        <v>0</v>
      </c>
      <c r="AA345" s="52">
        <v>0</v>
      </c>
    </row>
    <row r="346" spans="5:27" ht="12" customHeight="1" x14ac:dyDescent="0.25">
      <c r="E346" s="52">
        <v>0</v>
      </c>
      <c r="F346" s="48">
        <v>0</v>
      </c>
      <c r="G346" s="52">
        <v>0</v>
      </c>
      <c r="H346" s="52">
        <v>0</v>
      </c>
      <c r="I346" s="48"/>
      <c r="J346" s="48">
        <v>0</v>
      </c>
      <c r="K346" s="52">
        <v>0</v>
      </c>
      <c r="L346" s="52">
        <v>0</v>
      </c>
      <c r="M346" s="48">
        <v>0</v>
      </c>
      <c r="N346" s="89">
        <v>0</v>
      </c>
      <c r="O346" s="52">
        <v>0</v>
      </c>
      <c r="P346" s="48">
        <v>0</v>
      </c>
      <c r="Q346" s="88">
        <v>0</v>
      </c>
      <c r="R346" s="52">
        <v>0</v>
      </c>
      <c r="S346" s="52"/>
      <c r="T346" s="52"/>
      <c r="U346" s="48">
        <v>0</v>
      </c>
      <c r="V346" s="48"/>
      <c r="W346" s="52"/>
      <c r="X346" s="52"/>
      <c r="Y346" s="66">
        <v>0</v>
      </c>
      <c r="Z346" s="52">
        <v>0</v>
      </c>
      <c r="AA346" s="52">
        <v>0</v>
      </c>
    </row>
    <row r="347" spans="5:27" ht="12" customHeight="1" x14ac:dyDescent="0.25">
      <c r="E347" s="52">
        <v>0</v>
      </c>
      <c r="F347" s="48">
        <v>0</v>
      </c>
      <c r="G347" s="52">
        <v>0</v>
      </c>
      <c r="H347" s="52">
        <v>0</v>
      </c>
      <c r="I347" s="48"/>
      <c r="J347" s="48">
        <v>0</v>
      </c>
      <c r="K347" s="52">
        <v>0</v>
      </c>
      <c r="L347" s="52">
        <v>0</v>
      </c>
      <c r="M347" s="48">
        <v>0</v>
      </c>
      <c r="N347" s="89">
        <v>0</v>
      </c>
      <c r="O347" s="52">
        <v>0</v>
      </c>
      <c r="P347" s="48">
        <v>0</v>
      </c>
      <c r="Q347" s="88">
        <v>0</v>
      </c>
      <c r="R347" s="52">
        <v>0</v>
      </c>
      <c r="S347" s="52"/>
      <c r="T347" s="52"/>
      <c r="U347" s="48">
        <v>0</v>
      </c>
      <c r="V347" s="48"/>
      <c r="W347" s="52"/>
      <c r="X347" s="52"/>
      <c r="Y347" s="66">
        <v>0</v>
      </c>
      <c r="Z347" s="52">
        <v>0</v>
      </c>
      <c r="AA347" s="52">
        <v>0</v>
      </c>
    </row>
    <row r="348" spans="5:27" ht="12" customHeight="1" x14ac:dyDescent="0.25">
      <c r="E348" s="52">
        <v>0</v>
      </c>
      <c r="F348" s="48">
        <v>0</v>
      </c>
      <c r="G348" s="52">
        <v>0</v>
      </c>
      <c r="H348" s="52">
        <v>0</v>
      </c>
      <c r="I348" s="48"/>
      <c r="J348" s="48">
        <v>0</v>
      </c>
      <c r="K348" s="52">
        <v>0</v>
      </c>
      <c r="L348" s="52">
        <v>0</v>
      </c>
      <c r="M348" s="48">
        <v>0</v>
      </c>
      <c r="N348" s="89">
        <v>0</v>
      </c>
      <c r="O348" s="52">
        <v>0</v>
      </c>
      <c r="P348" s="48">
        <v>0</v>
      </c>
      <c r="Q348" s="88">
        <v>0</v>
      </c>
      <c r="R348" s="52">
        <v>0</v>
      </c>
      <c r="S348" s="52"/>
      <c r="T348" s="52"/>
      <c r="U348" s="48">
        <v>0</v>
      </c>
      <c r="V348" s="48"/>
      <c r="W348" s="52"/>
      <c r="X348" s="52"/>
      <c r="Y348" s="66">
        <v>0</v>
      </c>
      <c r="Z348" s="52">
        <v>0</v>
      </c>
      <c r="AA348" s="52">
        <v>0</v>
      </c>
    </row>
    <row r="349" spans="5:27" ht="12" customHeight="1" x14ac:dyDescent="0.25">
      <c r="E349" s="52">
        <v>0</v>
      </c>
      <c r="F349" s="48">
        <v>0</v>
      </c>
      <c r="G349" s="52">
        <v>0</v>
      </c>
      <c r="H349" s="52">
        <v>0</v>
      </c>
      <c r="I349" s="48"/>
      <c r="J349" s="48">
        <v>0</v>
      </c>
      <c r="K349" s="52">
        <v>0</v>
      </c>
      <c r="L349" s="52">
        <v>0</v>
      </c>
      <c r="M349" s="48">
        <v>0</v>
      </c>
      <c r="N349" s="89">
        <v>0</v>
      </c>
      <c r="O349" s="52">
        <v>0</v>
      </c>
      <c r="P349" s="48">
        <v>0</v>
      </c>
      <c r="Q349" s="88">
        <v>0</v>
      </c>
      <c r="R349" s="52">
        <v>0</v>
      </c>
      <c r="S349" s="52"/>
      <c r="T349" s="52"/>
      <c r="U349" s="48">
        <v>0</v>
      </c>
      <c r="V349" s="48"/>
      <c r="W349" s="52"/>
      <c r="X349" s="52"/>
      <c r="Y349" s="66">
        <v>0</v>
      </c>
      <c r="Z349" s="52">
        <v>0</v>
      </c>
      <c r="AA349" s="52">
        <v>0</v>
      </c>
    </row>
    <row r="350" spans="5:27" ht="12" customHeight="1" x14ac:dyDescent="0.25">
      <c r="E350" s="52">
        <v>0</v>
      </c>
      <c r="F350" s="48">
        <v>0</v>
      </c>
      <c r="G350" s="52">
        <v>0</v>
      </c>
      <c r="H350" s="52">
        <v>0</v>
      </c>
      <c r="I350" s="48"/>
      <c r="J350" s="48">
        <v>0</v>
      </c>
      <c r="K350" s="52">
        <v>0</v>
      </c>
      <c r="L350" s="52">
        <v>0</v>
      </c>
      <c r="M350" s="48">
        <v>0</v>
      </c>
      <c r="N350" s="89">
        <v>0</v>
      </c>
      <c r="O350" s="52">
        <v>0</v>
      </c>
      <c r="P350" s="48">
        <v>0</v>
      </c>
      <c r="Q350" s="88">
        <v>0</v>
      </c>
      <c r="R350" s="52">
        <v>0</v>
      </c>
      <c r="S350" s="52"/>
      <c r="T350" s="52"/>
      <c r="U350" s="48">
        <v>0</v>
      </c>
      <c r="V350" s="48"/>
      <c r="W350" s="52"/>
      <c r="X350" s="52">
        <v>0</v>
      </c>
      <c r="Y350" s="66">
        <v>0</v>
      </c>
      <c r="Z350" s="52">
        <v>0</v>
      </c>
      <c r="AA350" s="52">
        <v>0</v>
      </c>
    </row>
    <row r="351" spans="5:27" ht="12" customHeight="1" x14ac:dyDescent="0.25">
      <c r="E351" s="52">
        <v>0</v>
      </c>
      <c r="F351" s="48">
        <v>0</v>
      </c>
      <c r="G351" s="52">
        <v>0</v>
      </c>
      <c r="H351" s="52">
        <v>0</v>
      </c>
      <c r="I351" s="48"/>
      <c r="J351" s="48">
        <v>0</v>
      </c>
      <c r="K351" s="52">
        <v>0</v>
      </c>
      <c r="L351" s="52">
        <v>0</v>
      </c>
      <c r="M351" s="48">
        <v>0</v>
      </c>
      <c r="N351" s="89">
        <v>0</v>
      </c>
      <c r="O351" s="52">
        <v>0</v>
      </c>
      <c r="P351" s="48">
        <v>0</v>
      </c>
      <c r="Q351" s="88">
        <v>0</v>
      </c>
      <c r="R351" s="52">
        <v>0</v>
      </c>
      <c r="S351" s="52"/>
      <c r="T351" s="52"/>
      <c r="U351" s="48">
        <v>0</v>
      </c>
      <c r="V351" s="48"/>
      <c r="W351" s="52"/>
      <c r="X351" s="52">
        <v>0</v>
      </c>
      <c r="Y351" s="66">
        <v>0</v>
      </c>
      <c r="Z351" s="52">
        <v>0</v>
      </c>
      <c r="AA351" s="52">
        <v>0</v>
      </c>
    </row>
    <row r="352" spans="5:27" ht="12" customHeight="1" x14ac:dyDescent="0.25">
      <c r="E352" s="52">
        <v>0</v>
      </c>
      <c r="F352" s="48">
        <v>0</v>
      </c>
      <c r="G352" s="52">
        <v>0</v>
      </c>
      <c r="H352" s="52">
        <v>0</v>
      </c>
      <c r="I352" s="48"/>
      <c r="J352" s="48">
        <v>0</v>
      </c>
      <c r="K352" s="52">
        <v>0</v>
      </c>
      <c r="L352" s="52">
        <v>0</v>
      </c>
      <c r="M352" s="48">
        <v>0</v>
      </c>
      <c r="N352" s="89">
        <v>0</v>
      </c>
      <c r="O352" s="52">
        <v>0</v>
      </c>
      <c r="P352" s="48">
        <v>0</v>
      </c>
      <c r="Q352" s="88">
        <v>0</v>
      </c>
      <c r="R352" s="52">
        <v>0</v>
      </c>
      <c r="S352" s="52"/>
      <c r="T352" s="52"/>
      <c r="U352" s="48">
        <v>0</v>
      </c>
      <c r="V352" s="48"/>
      <c r="W352" s="52"/>
      <c r="X352" s="52">
        <v>0</v>
      </c>
      <c r="Y352" s="48">
        <v>0</v>
      </c>
      <c r="Z352" s="52">
        <v>0</v>
      </c>
      <c r="AA352" s="52">
        <v>0</v>
      </c>
    </row>
    <row r="353" spans="5:27" ht="12" customHeight="1" x14ac:dyDescent="0.25">
      <c r="E353" s="52">
        <v>0</v>
      </c>
      <c r="F353" s="48">
        <v>0</v>
      </c>
      <c r="G353" s="52">
        <v>0</v>
      </c>
      <c r="H353" s="52">
        <v>0</v>
      </c>
      <c r="I353" s="48"/>
      <c r="J353" s="48">
        <v>0</v>
      </c>
      <c r="K353" s="52">
        <v>0</v>
      </c>
      <c r="L353" s="52">
        <v>0</v>
      </c>
      <c r="M353" s="48">
        <v>0</v>
      </c>
      <c r="N353" s="89">
        <v>0</v>
      </c>
      <c r="O353" s="52">
        <v>0</v>
      </c>
      <c r="P353" s="48">
        <v>0</v>
      </c>
      <c r="Q353" s="88">
        <v>0</v>
      </c>
      <c r="R353" s="52">
        <v>0</v>
      </c>
      <c r="S353" s="52"/>
      <c r="T353" s="52"/>
      <c r="U353" s="48">
        <v>0</v>
      </c>
      <c r="V353" s="48"/>
      <c r="W353" s="52"/>
      <c r="X353" s="52">
        <v>0</v>
      </c>
      <c r="Y353" s="48">
        <v>0</v>
      </c>
      <c r="Z353" s="52">
        <v>0</v>
      </c>
      <c r="AA353" s="52">
        <v>0</v>
      </c>
    </row>
    <row r="354" spans="5:27" ht="12" customHeight="1" x14ac:dyDescent="0.25">
      <c r="E354" s="52">
        <v>0</v>
      </c>
      <c r="F354" s="48">
        <v>0</v>
      </c>
      <c r="G354" s="52">
        <v>0</v>
      </c>
      <c r="H354" s="52">
        <v>0</v>
      </c>
      <c r="I354" s="48"/>
      <c r="J354" s="48">
        <v>0</v>
      </c>
      <c r="K354" s="52">
        <v>0</v>
      </c>
      <c r="L354" s="52">
        <v>0</v>
      </c>
      <c r="M354" s="48">
        <v>0</v>
      </c>
      <c r="N354" s="89">
        <v>0</v>
      </c>
      <c r="O354" s="52">
        <v>0</v>
      </c>
      <c r="P354" s="48">
        <v>0</v>
      </c>
      <c r="Q354" s="88">
        <v>0</v>
      </c>
      <c r="R354" s="52">
        <v>0</v>
      </c>
      <c r="S354" s="52"/>
      <c r="T354" s="52"/>
      <c r="U354" s="48">
        <v>0</v>
      </c>
      <c r="V354" s="48"/>
      <c r="W354" s="52"/>
      <c r="X354" s="52">
        <v>0</v>
      </c>
      <c r="Y354" s="48">
        <v>0</v>
      </c>
      <c r="Z354" s="52">
        <v>0</v>
      </c>
      <c r="AA354" s="52">
        <v>0</v>
      </c>
    </row>
    <row r="355" spans="5:27" ht="12" customHeight="1" x14ac:dyDescent="0.25">
      <c r="E355" s="52">
        <v>0</v>
      </c>
      <c r="F355" s="48">
        <v>0</v>
      </c>
      <c r="G355" s="52">
        <v>0</v>
      </c>
      <c r="H355" s="52">
        <v>0</v>
      </c>
      <c r="I355" s="48"/>
      <c r="J355" s="48">
        <v>0</v>
      </c>
      <c r="K355" s="52">
        <v>0</v>
      </c>
      <c r="L355" s="52">
        <v>0</v>
      </c>
      <c r="M355" s="48">
        <v>0</v>
      </c>
      <c r="N355" s="89">
        <v>0</v>
      </c>
      <c r="O355" s="52">
        <v>0</v>
      </c>
      <c r="P355" s="48">
        <v>0</v>
      </c>
      <c r="Q355" s="88">
        <v>0</v>
      </c>
      <c r="R355" s="52">
        <v>0</v>
      </c>
      <c r="S355" s="52"/>
      <c r="T355" s="52"/>
      <c r="U355" s="48">
        <v>0</v>
      </c>
      <c r="V355" s="48"/>
      <c r="W355" s="52"/>
      <c r="X355" s="52">
        <v>0</v>
      </c>
      <c r="Y355" s="48">
        <v>0</v>
      </c>
      <c r="Z355" s="52">
        <v>0</v>
      </c>
      <c r="AA355" s="52">
        <v>0</v>
      </c>
    </row>
    <row r="356" spans="5:27" ht="12" customHeight="1" x14ac:dyDescent="0.25">
      <c r="E356" s="52">
        <v>0</v>
      </c>
      <c r="F356" s="48">
        <v>0</v>
      </c>
      <c r="G356" s="52">
        <v>0</v>
      </c>
      <c r="H356" s="52">
        <v>0</v>
      </c>
      <c r="I356" s="48"/>
      <c r="J356" s="48">
        <v>0</v>
      </c>
      <c r="K356" s="52">
        <v>0</v>
      </c>
      <c r="L356" s="52">
        <v>0</v>
      </c>
      <c r="M356" s="48">
        <v>0</v>
      </c>
      <c r="N356" s="89">
        <v>0</v>
      </c>
      <c r="O356" s="52">
        <v>0</v>
      </c>
      <c r="P356" s="48">
        <v>0</v>
      </c>
      <c r="Q356" s="88">
        <v>0</v>
      </c>
      <c r="R356" s="52">
        <v>0</v>
      </c>
      <c r="S356" s="52"/>
      <c r="T356" s="52"/>
      <c r="U356" s="48">
        <v>0</v>
      </c>
      <c r="V356" s="48"/>
      <c r="W356" s="52"/>
      <c r="X356" s="52">
        <v>0</v>
      </c>
      <c r="Y356" s="48">
        <v>0</v>
      </c>
      <c r="Z356" s="52">
        <v>0</v>
      </c>
      <c r="AA356" s="52">
        <v>0</v>
      </c>
    </row>
    <row r="357" spans="5:27" ht="12" customHeight="1" x14ac:dyDescent="0.25">
      <c r="E357" s="52">
        <v>0</v>
      </c>
      <c r="F357" s="48">
        <v>0</v>
      </c>
      <c r="G357" s="52">
        <v>0</v>
      </c>
      <c r="H357" s="52">
        <v>0</v>
      </c>
      <c r="I357" s="48"/>
      <c r="J357" s="48">
        <v>0</v>
      </c>
      <c r="K357" s="52">
        <v>0</v>
      </c>
      <c r="L357" s="52">
        <v>0</v>
      </c>
      <c r="M357" s="48">
        <v>0</v>
      </c>
      <c r="N357" s="89">
        <v>0</v>
      </c>
      <c r="O357" s="52">
        <v>0</v>
      </c>
      <c r="P357" s="48">
        <v>0</v>
      </c>
      <c r="Q357" s="88">
        <v>0</v>
      </c>
      <c r="R357" s="52">
        <v>0</v>
      </c>
      <c r="S357" s="52"/>
      <c r="T357" s="52"/>
      <c r="U357" s="48">
        <v>0</v>
      </c>
      <c r="V357" s="48"/>
      <c r="W357" s="52"/>
      <c r="X357" s="52">
        <v>0</v>
      </c>
      <c r="Y357" s="48">
        <v>0</v>
      </c>
      <c r="Z357" s="52">
        <v>0</v>
      </c>
      <c r="AA357" s="52">
        <v>0</v>
      </c>
    </row>
    <row r="358" spans="5:27" ht="12" customHeight="1" x14ac:dyDescent="0.25">
      <c r="E358" s="52">
        <v>0</v>
      </c>
      <c r="F358" s="48">
        <v>0</v>
      </c>
      <c r="G358" s="52">
        <v>0</v>
      </c>
      <c r="H358" s="52">
        <v>0</v>
      </c>
      <c r="I358" s="48"/>
      <c r="J358" s="48">
        <v>0</v>
      </c>
      <c r="K358" s="52">
        <v>0</v>
      </c>
      <c r="L358" s="52">
        <v>0</v>
      </c>
      <c r="M358" s="48">
        <v>0</v>
      </c>
      <c r="N358" s="89">
        <v>0</v>
      </c>
      <c r="O358" s="52">
        <v>0</v>
      </c>
      <c r="P358" s="48">
        <v>0</v>
      </c>
      <c r="Q358" s="88">
        <v>0</v>
      </c>
      <c r="R358" s="52">
        <v>0</v>
      </c>
      <c r="S358" s="52"/>
      <c r="T358" s="52"/>
      <c r="U358" s="48">
        <v>0</v>
      </c>
      <c r="V358" s="48"/>
      <c r="W358" s="52"/>
      <c r="X358" s="52">
        <v>0</v>
      </c>
      <c r="Y358" s="48">
        <v>0</v>
      </c>
      <c r="Z358" s="52">
        <v>0</v>
      </c>
      <c r="AA358" s="52">
        <v>0</v>
      </c>
    </row>
    <row r="359" spans="5:27" ht="12" customHeight="1" x14ac:dyDescent="0.25">
      <c r="E359" s="52">
        <v>0</v>
      </c>
      <c r="F359" s="48">
        <v>0</v>
      </c>
      <c r="G359" s="52">
        <v>0</v>
      </c>
      <c r="H359" s="52">
        <v>0</v>
      </c>
      <c r="I359" s="48"/>
      <c r="J359" s="48">
        <v>0</v>
      </c>
      <c r="K359" s="52">
        <v>0</v>
      </c>
      <c r="L359" s="52">
        <v>0</v>
      </c>
      <c r="M359" s="48">
        <v>0</v>
      </c>
      <c r="N359" s="89">
        <v>0</v>
      </c>
      <c r="O359" s="52">
        <v>0</v>
      </c>
      <c r="P359" s="48">
        <v>0</v>
      </c>
      <c r="Q359" s="88">
        <v>0</v>
      </c>
      <c r="R359" s="52">
        <v>0</v>
      </c>
      <c r="S359" s="52"/>
      <c r="T359" s="52"/>
      <c r="U359" s="48">
        <v>0</v>
      </c>
      <c r="V359" s="48"/>
      <c r="W359" s="52"/>
      <c r="X359" s="52">
        <v>0</v>
      </c>
      <c r="Y359" s="48">
        <v>0</v>
      </c>
      <c r="Z359" s="52">
        <v>0</v>
      </c>
      <c r="AA359" s="52">
        <v>0</v>
      </c>
    </row>
    <row r="360" spans="5:27" ht="12" customHeight="1" x14ac:dyDescent="0.25">
      <c r="E360" s="52">
        <v>0</v>
      </c>
      <c r="F360" s="48">
        <v>0</v>
      </c>
      <c r="G360" s="52">
        <v>0</v>
      </c>
      <c r="H360" s="52">
        <v>0</v>
      </c>
      <c r="I360" s="48"/>
      <c r="J360" s="48">
        <v>0</v>
      </c>
      <c r="K360" s="52">
        <v>0</v>
      </c>
      <c r="L360" s="52">
        <v>0</v>
      </c>
      <c r="M360" s="48">
        <v>0</v>
      </c>
      <c r="N360" s="89">
        <v>0</v>
      </c>
      <c r="O360" s="52">
        <v>0</v>
      </c>
      <c r="P360" s="48">
        <v>0</v>
      </c>
      <c r="Q360" s="88">
        <v>0</v>
      </c>
      <c r="R360" s="52">
        <v>0</v>
      </c>
      <c r="S360" s="52"/>
      <c r="T360" s="52"/>
      <c r="U360" s="48">
        <v>0</v>
      </c>
      <c r="V360" s="48"/>
      <c r="W360" s="52"/>
      <c r="X360" s="52">
        <v>0</v>
      </c>
      <c r="Y360" s="48">
        <v>0</v>
      </c>
      <c r="Z360" s="52">
        <v>0</v>
      </c>
      <c r="AA360" s="52">
        <v>0</v>
      </c>
    </row>
    <row r="361" spans="5:27" ht="12" customHeight="1" x14ac:dyDescent="0.25">
      <c r="E361" s="52">
        <v>0</v>
      </c>
      <c r="F361" s="48">
        <v>0</v>
      </c>
      <c r="G361" s="52">
        <v>0</v>
      </c>
      <c r="H361" s="52">
        <v>0</v>
      </c>
      <c r="I361" s="48"/>
      <c r="J361" s="48">
        <v>0</v>
      </c>
      <c r="K361" s="52">
        <v>0</v>
      </c>
      <c r="L361" s="52">
        <v>0</v>
      </c>
      <c r="M361" s="48">
        <v>0</v>
      </c>
      <c r="N361" s="89">
        <v>0</v>
      </c>
      <c r="O361" s="52">
        <v>0</v>
      </c>
      <c r="P361" s="48">
        <v>0</v>
      </c>
      <c r="Q361" s="88">
        <v>0</v>
      </c>
      <c r="R361" s="52">
        <v>0</v>
      </c>
      <c r="S361" s="52"/>
      <c r="T361" s="52"/>
      <c r="U361" s="48">
        <v>0</v>
      </c>
      <c r="V361" s="48"/>
      <c r="W361" s="52"/>
      <c r="X361" s="52">
        <v>0</v>
      </c>
      <c r="Y361" s="48">
        <v>0</v>
      </c>
      <c r="Z361" s="52">
        <v>0</v>
      </c>
      <c r="AA361" s="52">
        <v>0</v>
      </c>
    </row>
    <row r="362" spans="5:27" ht="12" customHeight="1" x14ac:dyDescent="0.25">
      <c r="E362" s="52">
        <v>0</v>
      </c>
      <c r="F362" s="48">
        <v>0</v>
      </c>
      <c r="G362" s="52">
        <v>0</v>
      </c>
      <c r="H362" s="52">
        <v>0</v>
      </c>
      <c r="I362" s="48"/>
      <c r="J362" s="48">
        <v>0</v>
      </c>
      <c r="K362" s="52">
        <v>0</v>
      </c>
      <c r="L362" s="52">
        <v>0</v>
      </c>
      <c r="M362" s="48">
        <v>0</v>
      </c>
      <c r="N362" s="89">
        <v>0</v>
      </c>
      <c r="O362" s="52">
        <v>0</v>
      </c>
      <c r="P362" s="48">
        <v>0</v>
      </c>
      <c r="Q362" s="88">
        <v>0</v>
      </c>
      <c r="R362" s="52">
        <v>0</v>
      </c>
      <c r="S362" s="52"/>
      <c r="T362" s="52"/>
      <c r="U362" s="48">
        <v>0</v>
      </c>
      <c r="V362" s="48"/>
      <c r="W362" s="52"/>
      <c r="X362" s="52">
        <v>0</v>
      </c>
      <c r="Y362" s="48">
        <v>0</v>
      </c>
      <c r="Z362" s="52">
        <v>0</v>
      </c>
      <c r="AA362" s="52">
        <v>0</v>
      </c>
    </row>
    <row r="363" spans="5:27" ht="12" customHeight="1" x14ac:dyDescent="0.25">
      <c r="E363" s="52">
        <v>0</v>
      </c>
      <c r="F363" s="48">
        <v>0</v>
      </c>
      <c r="G363" s="52">
        <v>0</v>
      </c>
      <c r="H363" s="52">
        <v>0</v>
      </c>
      <c r="I363" s="48"/>
      <c r="J363" s="48">
        <v>0</v>
      </c>
      <c r="K363" s="52">
        <v>0</v>
      </c>
      <c r="L363" s="52">
        <v>0</v>
      </c>
      <c r="M363" s="48">
        <v>0</v>
      </c>
      <c r="N363" s="89">
        <v>0</v>
      </c>
      <c r="O363" s="52">
        <v>0</v>
      </c>
      <c r="P363" s="48">
        <v>0</v>
      </c>
      <c r="Q363" s="88">
        <v>0</v>
      </c>
      <c r="R363" s="52">
        <v>0</v>
      </c>
      <c r="S363" s="52"/>
      <c r="T363" s="52"/>
      <c r="U363" s="48">
        <v>0</v>
      </c>
      <c r="V363" s="48"/>
      <c r="W363" s="52"/>
      <c r="X363" s="52">
        <v>0</v>
      </c>
      <c r="Y363" s="48">
        <v>0</v>
      </c>
      <c r="Z363" s="52">
        <v>0</v>
      </c>
      <c r="AA363" s="52">
        <v>0</v>
      </c>
    </row>
    <row r="364" spans="5:27" ht="12" customHeight="1" x14ac:dyDescent="0.25">
      <c r="E364" s="52">
        <v>0</v>
      </c>
      <c r="F364" s="48">
        <v>0</v>
      </c>
      <c r="G364" s="52">
        <v>0</v>
      </c>
      <c r="H364" s="52">
        <v>0</v>
      </c>
      <c r="I364" s="48"/>
      <c r="J364" s="48">
        <v>0</v>
      </c>
      <c r="K364" s="52">
        <v>0</v>
      </c>
      <c r="L364" s="52">
        <v>0</v>
      </c>
      <c r="M364" s="48">
        <v>0</v>
      </c>
      <c r="N364" s="89">
        <v>0</v>
      </c>
      <c r="O364" s="52">
        <v>0</v>
      </c>
      <c r="P364" s="48">
        <v>0</v>
      </c>
      <c r="Q364" s="88">
        <v>0</v>
      </c>
      <c r="R364" s="52">
        <v>0</v>
      </c>
      <c r="S364" s="52"/>
      <c r="T364" s="52"/>
      <c r="U364" s="48">
        <v>0</v>
      </c>
      <c r="V364" s="48"/>
      <c r="W364" s="52"/>
      <c r="X364" s="52">
        <v>0</v>
      </c>
      <c r="Y364" s="48">
        <v>0</v>
      </c>
      <c r="Z364" s="52">
        <v>0</v>
      </c>
      <c r="AA364" s="52">
        <v>0</v>
      </c>
    </row>
    <row r="365" spans="5:27" ht="12" customHeight="1" x14ac:dyDescent="0.25">
      <c r="E365" s="52">
        <v>0</v>
      </c>
      <c r="F365" s="48">
        <v>0</v>
      </c>
      <c r="G365" s="52">
        <v>0</v>
      </c>
      <c r="H365" s="52">
        <v>0</v>
      </c>
      <c r="I365" s="48"/>
      <c r="J365" s="48">
        <v>0</v>
      </c>
      <c r="K365" s="52">
        <v>0</v>
      </c>
      <c r="L365" s="52">
        <v>0</v>
      </c>
      <c r="M365" s="48">
        <v>0</v>
      </c>
      <c r="N365" s="89">
        <v>0</v>
      </c>
      <c r="O365" s="52">
        <v>0</v>
      </c>
      <c r="P365" s="48">
        <v>0</v>
      </c>
      <c r="Q365" s="88">
        <v>0</v>
      </c>
      <c r="R365" s="52">
        <v>0</v>
      </c>
      <c r="S365" s="52"/>
      <c r="T365" s="52"/>
      <c r="U365" s="48">
        <v>0</v>
      </c>
      <c r="V365" s="48"/>
      <c r="W365" s="52"/>
      <c r="X365" s="52">
        <v>0</v>
      </c>
      <c r="Y365" s="48">
        <v>0</v>
      </c>
      <c r="Z365" s="52">
        <v>0</v>
      </c>
      <c r="AA365" s="52">
        <v>0</v>
      </c>
    </row>
    <row r="366" spans="5:27" ht="12" customHeight="1" x14ac:dyDescent="0.25">
      <c r="E366" s="52">
        <v>0</v>
      </c>
      <c r="F366" s="48">
        <v>0</v>
      </c>
      <c r="G366" s="52">
        <v>0</v>
      </c>
      <c r="H366" s="52">
        <v>0</v>
      </c>
      <c r="I366" s="48"/>
      <c r="J366" s="48">
        <v>0</v>
      </c>
      <c r="K366" s="52">
        <v>0</v>
      </c>
      <c r="L366" s="52">
        <v>0</v>
      </c>
      <c r="M366" s="48">
        <v>0</v>
      </c>
      <c r="N366" s="89">
        <v>0</v>
      </c>
      <c r="O366" s="52">
        <v>0</v>
      </c>
      <c r="P366" s="48">
        <v>0</v>
      </c>
      <c r="Q366" s="88">
        <v>0</v>
      </c>
      <c r="R366" s="52">
        <v>0</v>
      </c>
      <c r="S366" s="52"/>
      <c r="T366" s="52"/>
      <c r="U366" s="48">
        <v>0</v>
      </c>
      <c r="V366" s="48"/>
      <c r="W366" s="52"/>
      <c r="X366" s="52">
        <v>0</v>
      </c>
      <c r="Y366" s="48">
        <v>0</v>
      </c>
      <c r="Z366" s="52">
        <v>0</v>
      </c>
      <c r="AA366" s="52">
        <v>0</v>
      </c>
    </row>
    <row r="367" spans="5:27" ht="12" customHeight="1" x14ac:dyDescent="0.25">
      <c r="E367" s="52">
        <v>0</v>
      </c>
      <c r="F367" s="48">
        <v>0</v>
      </c>
      <c r="G367" s="52">
        <v>0</v>
      </c>
      <c r="H367" s="52">
        <v>0</v>
      </c>
      <c r="I367" s="48"/>
      <c r="J367" s="48">
        <v>0</v>
      </c>
      <c r="K367" s="52">
        <v>0</v>
      </c>
      <c r="L367" s="52">
        <v>0</v>
      </c>
      <c r="M367" s="48">
        <v>0</v>
      </c>
      <c r="N367" s="89">
        <v>0</v>
      </c>
      <c r="O367" s="52">
        <v>0</v>
      </c>
      <c r="P367" s="48">
        <v>0</v>
      </c>
      <c r="Q367" s="88">
        <v>0</v>
      </c>
      <c r="R367" s="52">
        <v>0</v>
      </c>
      <c r="S367" s="52"/>
      <c r="T367" s="52"/>
      <c r="U367" s="48">
        <v>0</v>
      </c>
      <c r="V367" s="48"/>
      <c r="W367" s="52"/>
      <c r="X367" s="52">
        <v>0</v>
      </c>
      <c r="Y367" s="48">
        <v>0</v>
      </c>
      <c r="Z367" s="52">
        <v>0</v>
      </c>
      <c r="AA367" s="52">
        <v>0</v>
      </c>
    </row>
    <row r="368" spans="5:27" ht="12" customHeight="1" x14ac:dyDescent="0.25">
      <c r="E368" s="52">
        <v>0</v>
      </c>
      <c r="F368" s="48">
        <v>0</v>
      </c>
      <c r="G368" s="52">
        <v>0</v>
      </c>
      <c r="H368" s="52">
        <v>0</v>
      </c>
      <c r="I368" s="48"/>
      <c r="J368" s="48">
        <v>0</v>
      </c>
      <c r="K368" s="52">
        <v>0</v>
      </c>
      <c r="L368" s="52">
        <v>0</v>
      </c>
      <c r="M368" s="48">
        <v>0</v>
      </c>
      <c r="N368" s="89">
        <v>0</v>
      </c>
      <c r="O368" s="52">
        <v>0</v>
      </c>
      <c r="P368" s="48">
        <v>0</v>
      </c>
      <c r="Q368" s="88">
        <v>0</v>
      </c>
      <c r="R368" s="52">
        <v>0</v>
      </c>
      <c r="S368" s="52"/>
      <c r="T368" s="52"/>
      <c r="U368" s="48">
        <v>0</v>
      </c>
      <c r="V368" s="48"/>
      <c r="W368" s="52"/>
      <c r="X368" s="52">
        <v>0</v>
      </c>
      <c r="Y368" s="48">
        <v>0</v>
      </c>
      <c r="Z368" s="52">
        <v>0</v>
      </c>
      <c r="AA368" s="52">
        <v>0</v>
      </c>
    </row>
    <row r="369" spans="5:27" ht="12" customHeight="1" x14ac:dyDescent="0.25">
      <c r="E369" s="52">
        <v>0</v>
      </c>
      <c r="F369" s="48">
        <v>0</v>
      </c>
      <c r="G369" s="52">
        <v>0</v>
      </c>
      <c r="H369" s="52">
        <v>0</v>
      </c>
      <c r="I369" s="48"/>
      <c r="J369" s="48">
        <v>0</v>
      </c>
      <c r="K369" s="52">
        <v>0</v>
      </c>
      <c r="L369" s="52">
        <v>0</v>
      </c>
      <c r="M369" s="48">
        <v>0</v>
      </c>
      <c r="N369" s="52">
        <v>0</v>
      </c>
      <c r="O369" s="52">
        <v>0</v>
      </c>
      <c r="P369" s="48">
        <v>0</v>
      </c>
      <c r="Q369" s="88">
        <v>0</v>
      </c>
      <c r="R369" s="52">
        <v>0</v>
      </c>
      <c r="S369" s="52"/>
      <c r="T369" s="52"/>
      <c r="U369" s="48">
        <v>0</v>
      </c>
      <c r="V369" s="48"/>
      <c r="W369" s="52"/>
      <c r="X369" s="52">
        <v>0</v>
      </c>
      <c r="Y369" s="48">
        <v>0</v>
      </c>
      <c r="Z369" s="52">
        <v>0</v>
      </c>
      <c r="AA369" s="52">
        <v>0</v>
      </c>
    </row>
    <row r="370" spans="5:27" ht="12" customHeight="1" x14ac:dyDescent="0.25">
      <c r="E370" s="52">
        <v>0</v>
      </c>
      <c r="F370" s="48">
        <v>0</v>
      </c>
      <c r="G370" s="52">
        <v>0</v>
      </c>
      <c r="H370" s="52">
        <v>0</v>
      </c>
      <c r="I370" s="48"/>
      <c r="J370" s="48">
        <v>0</v>
      </c>
      <c r="K370" s="52">
        <v>0</v>
      </c>
      <c r="L370" s="52">
        <v>0</v>
      </c>
      <c r="M370" s="48">
        <v>0</v>
      </c>
      <c r="N370" s="52">
        <v>0</v>
      </c>
      <c r="O370" s="52">
        <v>0</v>
      </c>
      <c r="P370" s="48">
        <v>0</v>
      </c>
      <c r="Q370" s="88">
        <v>0</v>
      </c>
      <c r="R370" s="52">
        <v>0</v>
      </c>
      <c r="S370" s="52"/>
      <c r="T370" s="52"/>
      <c r="U370" s="48">
        <v>0</v>
      </c>
      <c r="V370" s="48"/>
      <c r="W370" s="52"/>
      <c r="X370" s="52">
        <v>0</v>
      </c>
      <c r="Y370" s="48">
        <v>0</v>
      </c>
      <c r="Z370" s="52">
        <v>0</v>
      </c>
      <c r="AA370" s="52">
        <v>0</v>
      </c>
    </row>
    <row r="371" spans="5:27" ht="12" customHeight="1" x14ac:dyDescent="0.25">
      <c r="E371" s="52">
        <v>0</v>
      </c>
      <c r="F371" s="48">
        <v>0</v>
      </c>
      <c r="G371" s="52">
        <v>0</v>
      </c>
      <c r="H371" s="52">
        <v>0</v>
      </c>
      <c r="I371" s="48"/>
      <c r="J371" s="48">
        <v>0</v>
      </c>
      <c r="K371" s="52">
        <v>0</v>
      </c>
      <c r="L371" s="52">
        <v>0</v>
      </c>
      <c r="M371" s="48">
        <v>0</v>
      </c>
      <c r="N371" s="52">
        <v>0</v>
      </c>
      <c r="O371" s="52">
        <v>0</v>
      </c>
      <c r="P371" s="48">
        <v>0</v>
      </c>
      <c r="Q371" s="88">
        <v>0</v>
      </c>
      <c r="R371" s="52">
        <v>0</v>
      </c>
      <c r="S371" s="52"/>
      <c r="T371" s="52"/>
      <c r="U371" s="48">
        <v>0</v>
      </c>
      <c r="V371" s="48"/>
      <c r="W371" s="52"/>
      <c r="X371" s="52">
        <v>0</v>
      </c>
      <c r="Y371" s="48">
        <v>0</v>
      </c>
      <c r="Z371" s="52">
        <v>0</v>
      </c>
      <c r="AA371" s="52">
        <v>0</v>
      </c>
    </row>
    <row r="372" spans="5:27" ht="12" customHeight="1" x14ac:dyDescent="0.25">
      <c r="E372" s="52">
        <v>0</v>
      </c>
      <c r="F372" s="48">
        <v>0</v>
      </c>
      <c r="G372" s="52">
        <v>0</v>
      </c>
      <c r="H372" s="52">
        <v>0</v>
      </c>
      <c r="I372" s="48"/>
      <c r="J372" s="48">
        <v>0</v>
      </c>
      <c r="K372" s="52">
        <v>0</v>
      </c>
      <c r="L372" s="52">
        <v>0</v>
      </c>
      <c r="M372" s="48">
        <v>0</v>
      </c>
      <c r="N372" s="52">
        <v>0</v>
      </c>
      <c r="O372" s="52">
        <v>0</v>
      </c>
      <c r="P372" s="48">
        <v>0</v>
      </c>
      <c r="Q372" s="88">
        <v>0</v>
      </c>
      <c r="R372" s="52">
        <v>0</v>
      </c>
      <c r="S372" s="52"/>
      <c r="T372" s="52"/>
      <c r="U372" s="48">
        <v>0</v>
      </c>
      <c r="V372" s="48"/>
      <c r="W372" s="52"/>
      <c r="X372" s="52">
        <v>0</v>
      </c>
      <c r="Y372" s="48">
        <v>0</v>
      </c>
      <c r="Z372" s="52">
        <v>0</v>
      </c>
      <c r="AA372" s="52">
        <v>0</v>
      </c>
    </row>
    <row r="373" spans="5:27" ht="12" customHeight="1" x14ac:dyDescent="0.25">
      <c r="E373" s="52">
        <v>0</v>
      </c>
      <c r="F373" s="48">
        <v>0</v>
      </c>
      <c r="G373" s="52">
        <v>0</v>
      </c>
      <c r="H373" s="52">
        <v>0</v>
      </c>
      <c r="I373" s="48"/>
      <c r="J373" s="48">
        <v>0</v>
      </c>
      <c r="K373" s="52">
        <v>0</v>
      </c>
      <c r="L373" s="52">
        <v>0</v>
      </c>
      <c r="M373" s="48">
        <v>0</v>
      </c>
      <c r="N373" s="52">
        <v>0</v>
      </c>
      <c r="O373" s="52">
        <v>0</v>
      </c>
      <c r="P373" s="48">
        <v>0</v>
      </c>
      <c r="Q373" s="88">
        <v>0</v>
      </c>
      <c r="R373" s="52">
        <v>0</v>
      </c>
      <c r="S373" s="52"/>
      <c r="T373" s="52"/>
      <c r="U373" s="48">
        <v>0</v>
      </c>
      <c r="V373" s="48"/>
      <c r="W373" s="52"/>
      <c r="X373" s="52">
        <v>0</v>
      </c>
      <c r="Y373" s="48">
        <v>0</v>
      </c>
      <c r="Z373" s="52">
        <v>0</v>
      </c>
      <c r="AA373" s="52">
        <v>0</v>
      </c>
    </row>
    <row r="374" spans="5:27" ht="12" customHeight="1" x14ac:dyDescent="0.25">
      <c r="E374" s="52">
        <v>0</v>
      </c>
      <c r="F374" s="48">
        <v>0</v>
      </c>
      <c r="G374" s="52">
        <v>0</v>
      </c>
      <c r="H374" s="52">
        <v>0</v>
      </c>
      <c r="I374" s="48"/>
      <c r="J374" s="48">
        <v>0</v>
      </c>
      <c r="K374" s="52">
        <v>0</v>
      </c>
      <c r="L374" s="52">
        <v>0</v>
      </c>
      <c r="M374" s="48">
        <v>0</v>
      </c>
      <c r="N374" s="52">
        <v>0</v>
      </c>
      <c r="O374" s="52">
        <v>0</v>
      </c>
      <c r="P374" s="48">
        <v>0</v>
      </c>
      <c r="Q374" s="88">
        <v>0</v>
      </c>
      <c r="R374" s="52">
        <v>0</v>
      </c>
      <c r="S374" s="52"/>
      <c r="T374" s="52"/>
      <c r="U374" s="48">
        <v>0</v>
      </c>
      <c r="V374" s="48"/>
      <c r="W374" s="52"/>
      <c r="X374" s="52">
        <v>0</v>
      </c>
      <c r="Y374" s="48">
        <v>0</v>
      </c>
      <c r="Z374" s="52">
        <v>0</v>
      </c>
      <c r="AA374" s="52">
        <v>0</v>
      </c>
    </row>
    <row r="375" spans="5:27" ht="12" customHeight="1" x14ac:dyDescent="0.25">
      <c r="E375" s="52">
        <v>0</v>
      </c>
      <c r="F375" s="48">
        <v>0</v>
      </c>
      <c r="G375" s="52">
        <v>0</v>
      </c>
      <c r="H375" s="52">
        <v>0</v>
      </c>
      <c r="I375" s="48"/>
      <c r="J375" s="48">
        <v>0</v>
      </c>
      <c r="K375" s="52">
        <v>0</v>
      </c>
      <c r="L375" s="52">
        <v>0</v>
      </c>
      <c r="M375" s="48">
        <v>0</v>
      </c>
      <c r="N375" s="52">
        <v>0</v>
      </c>
      <c r="O375" s="52">
        <v>0</v>
      </c>
      <c r="P375" s="48">
        <v>0</v>
      </c>
      <c r="Q375" s="88">
        <v>0</v>
      </c>
      <c r="R375" s="52">
        <v>0</v>
      </c>
      <c r="S375" s="52"/>
      <c r="T375" s="52"/>
      <c r="U375" s="48">
        <v>0</v>
      </c>
      <c r="V375" s="48"/>
      <c r="W375" s="52"/>
      <c r="X375" s="52">
        <v>0</v>
      </c>
      <c r="Y375" s="48">
        <v>0</v>
      </c>
      <c r="Z375" s="52">
        <v>0</v>
      </c>
      <c r="AA375" s="52">
        <v>0</v>
      </c>
    </row>
    <row r="376" spans="5:27" ht="12" customHeight="1" x14ac:dyDescent="0.25">
      <c r="E376" s="52">
        <v>0</v>
      </c>
      <c r="F376" s="48">
        <v>0</v>
      </c>
      <c r="G376" s="52">
        <v>0</v>
      </c>
      <c r="H376" s="52">
        <v>0</v>
      </c>
      <c r="I376" s="48"/>
      <c r="J376" s="48">
        <v>0</v>
      </c>
      <c r="K376" s="52">
        <v>0</v>
      </c>
      <c r="L376" s="52">
        <v>0</v>
      </c>
      <c r="M376" s="48">
        <v>0</v>
      </c>
      <c r="N376" s="52">
        <v>0</v>
      </c>
      <c r="O376" s="52">
        <v>0</v>
      </c>
      <c r="P376" s="48">
        <v>0</v>
      </c>
      <c r="Q376" s="88">
        <v>0</v>
      </c>
      <c r="R376" s="52">
        <v>0</v>
      </c>
      <c r="S376" s="52"/>
      <c r="T376" s="52"/>
      <c r="U376" s="48">
        <v>0</v>
      </c>
      <c r="V376" s="48"/>
      <c r="W376" s="52"/>
      <c r="X376" s="52">
        <v>0</v>
      </c>
      <c r="Y376" s="48">
        <v>0</v>
      </c>
      <c r="Z376" s="52">
        <v>0</v>
      </c>
      <c r="AA376" s="52">
        <v>0</v>
      </c>
    </row>
    <row r="377" spans="5:27" ht="12" customHeight="1" x14ac:dyDescent="0.25">
      <c r="E377" s="52">
        <v>0</v>
      </c>
      <c r="F377" s="48">
        <v>0</v>
      </c>
      <c r="G377" s="52">
        <v>0</v>
      </c>
      <c r="H377" s="52">
        <v>0</v>
      </c>
      <c r="I377" s="48"/>
      <c r="J377" s="48">
        <v>0</v>
      </c>
      <c r="K377" s="52">
        <v>0</v>
      </c>
      <c r="L377" s="52">
        <v>0</v>
      </c>
      <c r="M377" s="48">
        <v>0</v>
      </c>
      <c r="N377" s="52">
        <v>0</v>
      </c>
      <c r="O377" s="52">
        <v>0</v>
      </c>
      <c r="P377" s="48">
        <v>0</v>
      </c>
      <c r="Q377" s="88">
        <v>0</v>
      </c>
      <c r="R377" s="52">
        <v>0</v>
      </c>
      <c r="S377" s="52"/>
      <c r="T377" s="52"/>
      <c r="U377" s="48">
        <v>0</v>
      </c>
      <c r="V377" s="48"/>
      <c r="W377" s="52"/>
      <c r="X377" s="52">
        <v>0</v>
      </c>
      <c r="Y377" s="48">
        <v>0</v>
      </c>
      <c r="Z377" s="52">
        <v>0</v>
      </c>
      <c r="AA377" s="52">
        <v>0</v>
      </c>
    </row>
    <row r="378" spans="5:27" ht="12" customHeight="1" x14ac:dyDescent="0.25">
      <c r="E378" s="52">
        <v>0</v>
      </c>
      <c r="F378" s="48">
        <v>0</v>
      </c>
      <c r="G378" s="52">
        <v>0</v>
      </c>
      <c r="H378" s="52">
        <v>0</v>
      </c>
      <c r="I378" s="48"/>
      <c r="J378" s="48">
        <v>0</v>
      </c>
      <c r="K378" s="52">
        <v>0</v>
      </c>
      <c r="L378" s="52">
        <v>0</v>
      </c>
      <c r="M378" s="48">
        <v>0</v>
      </c>
      <c r="N378" s="52">
        <v>0</v>
      </c>
      <c r="O378" s="52">
        <v>0</v>
      </c>
      <c r="P378" s="48">
        <v>0</v>
      </c>
      <c r="Q378" s="88">
        <v>0</v>
      </c>
      <c r="R378" s="52">
        <v>0</v>
      </c>
      <c r="S378" s="52"/>
      <c r="T378" s="52"/>
      <c r="U378" s="48">
        <v>0</v>
      </c>
      <c r="V378" s="48"/>
      <c r="W378" s="52"/>
      <c r="X378" s="52">
        <v>0</v>
      </c>
      <c r="Y378" s="48">
        <v>0</v>
      </c>
      <c r="Z378" s="52">
        <v>0</v>
      </c>
      <c r="AA378" s="52">
        <v>0</v>
      </c>
    </row>
    <row r="379" spans="5:27" ht="12" customHeight="1" x14ac:dyDescent="0.25">
      <c r="E379" s="52">
        <v>0</v>
      </c>
      <c r="F379" s="48">
        <v>0</v>
      </c>
      <c r="G379" s="52">
        <v>0</v>
      </c>
      <c r="H379" s="52">
        <v>0</v>
      </c>
      <c r="I379" s="48"/>
      <c r="J379" s="48">
        <v>0</v>
      </c>
      <c r="K379" s="52">
        <v>0</v>
      </c>
      <c r="L379" s="52">
        <v>0</v>
      </c>
      <c r="M379" s="48">
        <v>0</v>
      </c>
      <c r="N379" s="52">
        <v>0</v>
      </c>
      <c r="O379" s="52">
        <v>0</v>
      </c>
      <c r="P379" s="48">
        <v>0</v>
      </c>
      <c r="Q379" s="88">
        <v>0</v>
      </c>
      <c r="R379" s="52">
        <v>0</v>
      </c>
      <c r="S379" s="52"/>
      <c r="T379" s="52"/>
      <c r="U379" s="48">
        <v>0</v>
      </c>
      <c r="V379" s="48"/>
      <c r="W379" s="52"/>
      <c r="X379" s="52">
        <v>0</v>
      </c>
      <c r="Y379" s="48">
        <v>0</v>
      </c>
      <c r="Z379" s="52">
        <v>0</v>
      </c>
      <c r="AA379" s="52">
        <v>0</v>
      </c>
    </row>
    <row r="380" spans="5:27" ht="12" customHeight="1" x14ac:dyDescent="0.25">
      <c r="E380" s="52">
        <v>0</v>
      </c>
      <c r="F380" s="48">
        <v>0</v>
      </c>
      <c r="G380" s="52">
        <v>0</v>
      </c>
      <c r="H380" s="52">
        <v>0</v>
      </c>
      <c r="I380" s="48"/>
      <c r="J380" s="48">
        <v>0</v>
      </c>
      <c r="K380" s="52">
        <v>0</v>
      </c>
      <c r="L380" s="52">
        <v>0</v>
      </c>
      <c r="M380" s="48">
        <v>0</v>
      </c>
      <c r="N380" s="52">
        <v>0</v>
      </c>
      <c r="O380" s="52">
        <v>0</v>
      </c>
      <c r="P380" s="48">
        <v>0</v>
      </c>
      <c r="Q380" s="88">
        <v>0</v>
      </c>
      <c r="R380" s="52">
        <v>0</v>
      </c>
      <c r="S380" s="52"/>
      <c r="T380" s="52"/>
      <c r="U380" s="48">
        <v>0</v>
      </c>
      <c r="V380" s="48"/>
      <c r="W380" s="52"/>
      <c r="X380" s="52">
        <v>0</v>
      </c>
      <c r="Y380" s="48">
        <v>0</v>
      </c>
      <c r="Z380" s="52">
        <v>0</v>
      </c>
      <c r="AA380" s="52">
        <v>0</v>
      </c>
    </row>
    <row r="381" spans="5:27" ht="12" customHeight="1" x14ac:dyDescent="0.25">
      <c r="E381" s="52">
        <v>0</v>
      </c>
      <c r="F381" s="48">
        <v>0</v>
      </c>
      <c r="G381" s="52">
        <v>0</v>
      </c>
      <c r="H381" s="52">
        <v>0</v>
      </c>
      <c r="I381" s="48"/>
      <c r="J381" s="48">
        <v>0</v>
      </c>
      <c r="K381" s="52">
        <v>0</v>
      </c>
      <c r="L381" s="52">
        <v>0</v>
      </c>
      <c r="M381" s="48">
        <v>0</v>
      </c>
      <c r="N381" s="52">
        <v>0</v>
      </c>
      <c r="O381" s="52">
        <v>0</v>
      </c>
      <c r="P381" s="48">
        <v>0</v>
      </c>
      <c r="Q381" s="88">
        <v>0</v>
      </c>
      <c r="R381" s="52">
        <v>0</v>
      </c>
      <c r="S381" s="52"/>
      <c r="T381" s="52"/>
      <c r="U381" s="48">
        <v>0</v>
      </c>
      <c r="V381" s="48"/>
      <c r="W381" s="52"/>
      <c r="X381" s="52">
        <v>0</v>
      </c>
      <c r="Y381" s="48">
        <v>0</v>
      </c>
      <c r="Z381" s="52">
        <v>0</v>
      </c>
      <c r="AA381" s="52">
        <v>0</v>
      </c>
    </row>
    <row r="382" spans="5:27" ht="12" customHeight="1" x14ac:dyDescent="0.25">
      <c r="E382" s="52">
        <v>0</v>
      </c>
      <c r="F382" s="48">
        <v>0</v>
      </c>
      <c r="G382" s="52">
        <v>0</v>
      </c>
      <c r="H382" s="52">
        <v>0</v>
      </c>
      <c r="I382" s="48"/>
      <c r="J382" s="48">
        <v>0</v>
      </c>
      <c r="K382" s="52">
        <v>0</v>
      </c>
      <c r="L382" s="52">
        <v>0</v>
      </c>
      <c r="M382" s="48">
        <v>0</v>
      </c>
      <c r="N382" s="52">
        <v>0</v>
      </c>
      <c r="O382" s="52">
        <v>0</v>
      </c>
      <c r="P382" s="48">
        <v>0</v>
      </c>
      <c r="Q382" s="88">
        <v>0</v>
      </c>
      <c r="R382" s="52">
        <v>0</v>
      </c>
      <c r="S382" s="52"/>
      <c r="T382" s="52"/>
      <c r="U382" s="48">
        <v>0</v>
      </c>
      <c r="V382" s="48"/>
      <c r="W382" s="52"/>
      <c r="X382" s="52">
        <v>0</v>
      </c>
      <c r="Y382" s="48">
        <v>0</v>
      </c>
      <c r="Z382" s="52">
        <v>0</v>
      </c>
      <c r="AA382" s="52">
        <v>0</v>
      </c>
    </row>
    <row r="383" spans="5:27" ht="12" customHeight="1" x14ac:dyDescent="0.25">
      <c r="E383" s="52">
        <v>0</v>
      </c>
      <c r="F383" s="48">
        <v>0</v>
      </c>
      <c r="G383" s="52">
        <v>0</v>
      </c>
      <c r="H383" s="52">
        <v>0</v>
      </c>
      <c r="I383" s="48"/>
      <c r="J383" s="48">
        <v>0</v>
      </c>
      <c r="K383" s="52">
        <v>0</v>
      </c>
      <c r="L383" s="52">
        <v>0</v>
      </c>
      <c r="M383" s="48">
        <v>0</v>
      </c>
      <c r="N383" s="52">
        <v>0</v>
      </c>
      <c r="O383" s="52">
        <v>0</v>
      </c>
      <c r="P383" s="48">
        <v>0</v>
      </c>
      <c r="Q383" s="88">
        <v>0</v>
      </c>
      <c r="R383" s="52">
        <v>0</v>
      </c>
      <c r="S383" s="52"/>
      <c r="T383" s="52"/>
      <c r="U383" s="48">
        <v>0</v>
      </c>
      <c r="V383" s="48"/>
      <c r="W383" s="52"/>
      <c r="X383" s="52">
        <v>0</v>
      </c>
      <c r="Y383" s="48">
        <v>0</v>
      </c>
      <c r="Z383" s="52">
        <v>0</v>
      </c>
      <c r="AA383" s="52">
        <v>0</v>
      </c>
    </row>
    <row r="384" spans="5:27" ht="12" customHeight="1" x14ac:dyDescent="0.25">
      <c r="E384" s="52">
        <v>0</v>
      </c>
      <c r="F384" s="48">
        <v>0</v>
      </c>
      <c r="G384" s="52">
        <v>0</v>
      </c>
      <c r="H384" s="52">
        <v>0</v>
      </c>
      <c r="I384" s="48"/>
      <c r="J384" s="48">
        <v>0</v>
      </c>
      <c r="K384" s="52">
        <v>0</v>
      </c>
      <c r="L384" s="52">
        <v>0</v>
      </c>
      <c r="M384" s="48">
        <v>0</v>
      </c>
      <c r="N384" s="52">
        <v>0</v>
      </c>
      <c r="O384" s="52">
        <v>0</v>
      </c>
      <c r="P384" s="48">
        <v>0</v>
      </c>
      <c r="Q384" s="88">
        <v>0</v>
      </c>
      <c r="R384" s="52">
        <v>0</v>
      </c>
      <c r="S384" s="52"/>
      <c r="T384" s="52"/>
      <c r="U384" s="48">
        <v>0</v>
      </c>
      <c r="V384" s="48"/>
      <c r="W384" s="52"/>
      <c r="X384" s="52">
        <v>0</v>
      </c>
      <c r="Y384" s="48">
        <v>0</v>
      </c>
      <c r="Z384" s="52">
        <v>0</v>
      </c>
      <c r="AA384" s="52">
        <v>0</v>
      </c>
    </row>
    <row r="385" spans="5:27" ht="12" customHeight="1" x14ac:dyDescent="0.25">
      <c r="E385" s="52">
        <v>0</v>
      </c>
      <c r="F385" s="48">
        <v>0</v>
      </c>
      <c r="G385" s="52">
        <v>0</v>
      </c>
      <c r="H385" s="52">
        <v>0</v>
      </c>
      <c r="I385" s="48"/>
      <c r="J385" s="48">
        <v>0</v>
      </c>
      <c r="K385" s="52">
        <v>0</v>
      </c>
      <c r="L385" s="52">
        <v>0</v>
      </c>
      <c r="M385" s="48">
        <v>0</v>
      </c>
      <c r="N385" s="52">
        <v>0</v>
      </c>
      <c r="O385" s="52">
        <v>0</v>
      </c>
      <c r="P385" s="48">
        <v>0</v>
      </c>
      <c r="Q385" s="88">
        <v>0</v>
      </c>
      <c r="R385" s="52">
        <v>0</v>
      </c>
      <c r="S385" s="52"/>
      <c r="T385" s="52"/>
      <c r="U385" s="48">
        <v>0</v>
      </c>
      <c r="V385" s="48"/>
      <c r="W385" s="52"/>
      <c r="X385" s="52">
        <v>0</v>
      </c>
      <c r="Y385" s="48">
        <v>0</v>
      </c>
      <c r="Z385" s="52">
        <v>0</v>
      </c>
      <c r="AA385" s="52">
        <v>0</v>
      </c>
    </row>
    <row r="386" spans="5:27" ht="12" customHeight="1" x14ac:dyDescent="0.25">
      <c r="E386" s="52">
        <v>0</v>
      </c>
      <c r="F386" s="48">
        <v>0</v>
      </c>
      <c r="G386" s="52">
        <v>0</v>
      </c>
      <c r="H386" s="52">
        <v>0</v>
      </c>
      <c r="I386" s="48"/>
      <c r="J386" s="48">
        <v>0</v>
      </c>
      <c r="K386" s="52">
        <v>0</v>
      </c>
      <c r="L386" s="52">
        <v>0</v>
      </c>
      <c r="M386" s="48">
        <v>0</v>
      </c>
      <c r="N386" s="52">
        <v>0</v>
      </c>
      <c r="O386" s="52">
        <v>0</v>
      </c>
      <c r="P386" s="48">
        <v>0</v>
      </c>
      <c r="Q386" s="88">
        <v>0</v>
      </c>
      <c r="R386" s="52">
        <v>0</v>
      </c>
      <c r="S386" s="52"/>
      <c r="T386" s="52"/>
      <c r="U386" s="48">
        <v>0</v>
      </c>
      <c r="V386" s="48"/>
      <c r="W386" s="52"/>
      <c r="X386" s="52">
        <v>0</v>
      </c>
      <c r="Y386" s="48">
        <v>0</v>
      </c>
      <c r="Z386" s="52">
        <v>0</v>
      </c>
      <c r="AA386" s="52">
        <v>0</v>
      </c>
    </row>
    <row r="387" spans="5:27" ht="12" customHeight="1" x14ac:dyDescent="0.25">
      <c r="E387" s="52">
        <v>0</v>
      </c>
      <c r="F387" s="48">
        <v>0</v>
      </c>
      <c r="G387" s="52">
        <v>0</v>
      </c>
      <c r="H387" s="52">
        <v>0</v>
      </c>
      <c r="I387" s="48"/>
      <c r="J387" s="48">
        <v>0</v>
      </c>
      <c r="K387" s="52">
        <v>0</v>
      </c>
      <c r="L387" s="52">
        <v>0</v>
      </c>
      <c r="M387" s="48">
        <v>0</v>
      </c>
      <c r="N387" s="52">
        <v>0</v>
      </c>
      <c r="O387" s="52">
        <v>0</v>
      </c>
      <c r="P387" s="48">
        <v>0</v>
      </c>
      <c r="Q387" s="88">
        <v>0</v>
      </c>
      <c r="R387" s="52">
        <v>0</v>
      </c>
      <c r="S387" s="52"/>
      <c r="T387" s="52"/>
      <c r="U387" s="48">
        <v>0</v>
      </c>
      <c r="V387" s="48"/>
      <c r="W387" s="52"/>
      <c r="X387" s="52">
        <v>0</v>
      </c>
      <c r="Y387" s="48">
        <v>0</v>
      </c>
      <c r="Z387" s="52">
        <v>0</v>
      </c>
      <c r="AA387" s="52">
        <v>0</v>
      </c>
    </row>
    <row r="388" spans="5:27" ht="12" customHeight="1" x14ac:dyDescent="0.25">
      <c r="E388" s="52">
        <v>0</v>
      </c>
      <c r="F388" s="48">
        <v>0</v>
      </c>
      <c r="G388" s="52">
        <v>0</v>
      </c>
      <c r="H388" s="52">
        <v>0</v>
      </c>
      <c r="I388" s="48"/>
      <c r="J388" s="48">
        <v>0</v>
      </c>
      <c r="K388" s="52">
        <v>0</v>
      </c>
      <c r="L388" s="52">
        <v>0</v>
      </c>
      <c r="M388" s="48">
        <v>0</v>
      </c>
      <c r="N388" s="52">
        <v>0</v>
      </c>
      <c r="O388" s="52">
        <v>0</v>
      </c>
      <c r="P388" s="48">
        <v>0</v>
      </c>
      <c r="Q388" s="88">
        <v>0</v>
      </c>
      <c r="R388" s="52">
        <v>0</v>
      </c>
      <c r="S388" s="52"/>
      <c r="T388" s="52"/>
      <c r="U388" s="48">
        <v>0</v>
      </c>
      <c r="V388" s="48"/>
      <c r="W388" s="52"/>
      <c r="X388" s="52">
        <v>0</v>
      </c>
      <c r="Y388" s="48">
        <v>0</v>
      </c>
      <c r="Z388" s="52">
        <v>0</v>
      </c>
      <c r="AA388" s="52">
        <v>0</v>
      </c>
    </row>
    <row r="389" spans="5:27" ht="12" customHeight="1" x14ac:dyDescent="0.25">
      <c r="E389" s="52">
        <v>0</v>
      </c>
      <c r="F389" s="48">
        <v>0</v>
      </c>
      <c r="G389" s="52">
        <v>0</v>
      </c>
      <c r="H389" s="52">
        <v>0</v>
      </c>
      <c r="I389" s="48"/>
      <c r="J389" s="48">
        <v>0</v>
      </c>
      <c r="K389" s="52">
        <v>0</v>
      </c>
      <c r="L389" s="52">
        <v>0</v>
      </c>
      <c r="M389" s="48">
        <v>0</v>
      </c>
      <c r="N389" s="52">
        <v>0</v>
      </c>
      <c r="O389" s="52">
        <v>0</v>
      </c>
      <c r="P389" s="48">
        <v>0</v>
      </c>
      <c r="Q389" s="88">
        <v>0</v>
      </c>
      <c r="R389" s="52">
        <v>0</v>
      </c>
      <c r="S389" s="52"/>
      <c r="T389" s="52"/>
      <c r="U389" s="48">
        <v>0</v>
      </c>
      <c r="V389" s="48"/>
      <c r="W389" s="52"/>
      <c r="X389" s="52">
        <v>0</v>
      </c>
      <c r="Y389" s="48">
        <v>0</v>
      </c>
      <c r="Z389" s="52">
        <v>0</v>
      </c>
      <c r="AA389" s="52">
        <v>0</v>
      </c>
    </row>
    <row r="390" spans="5:27" ht="12" customHeight="1" x14ac:dyDescent="0.25">
      <c r="E390" s="52">
        <v>0</v>
      </c>
      <c r="F390" s="48">
        <v>0</v>
      </c>
      <c r="G390" s="52">
        <v>0</v>
      </c>
      <c r="H390" s="52">
        <v>0</v>
      </c>
      <c r="I390" s="48"/>
      <c r="J390" s="48">
        <v>0</v>
      </c>
      <c r="K390" s="52">
        <v>0</v>
      </c>
      <c r="L390" s="52">
        <v>0</v>
      </c>
      <c r="M390" s="48">
        <v>0</v>
      </c>
      <c r="N390" s="52">
        <v>0</v>
      </c>
      <c r="O390" s="52">
        <v>0</v>
      </c>
      <c r="P390" s="48">
        <v>0</v>
      </c>
      <c r="Q390" s="88">
        <v>0</v>
      </c>
      <c r="R390" s="52">
        <v>0</v>
      </c>
      <c r="S390" s="52"/>
      <c r="T390" s="52"/>
      <c r="U390" s="48">
        <v>0</v>
      </c>
      <c r="V390" s="48"/>
      <c r="W390" s="52"/>
      <c r="X390" s="52">
        <v>0</v>
      </c>
      <c r="Y390" s="48">
        <v>0</v>
      </c>
      <c r="Z390" s="52">
        <v>0</v>
      </c>
      <c r="AA390" s="52">
        <v>0</v>
      </c>
    </row>
    <row r="391" spans="5:27" ht="12" customHeight="1" x14ac:dyDescent="0.25">
      <c r="E391" s="52">
        <v>0</v>
      </c>
      <c r="F391" s="48">
        <v>0</v>
      </c>
      <c r="G391" s="52">
        <v>0</v>
      </c>
      <c r="H391" s="52">
        <v>0</v>
      </c>
      <c r="I391" s="48"/>
      <c r="J391" s="48">
        <v>0</v>
      </c>
      <c r="K391" s="52">
        <v>0</v>
      </c>
      <c r="L391" s="52">
        <v>0</v>
      </c>
      <c r="M391" s="48">
        <v>0</v>
      </c>
      <c r="N391" s="52">
        <v>0</v>
      </c>
      <c r="O391" s="52">
        <v>0</v>
      </c>
      <c r="P391" s="48">
        <v>0</v>
      </c>
      <c r="Q391" s="88">
        <v>0</v>
      </c>
      <c r="R391" s="52">
        <v>0</v>
      </c>
      <c r="S391" s="52"/>
      <c r="T391" s="52"/>
      <c r="U391" s="48">
        <v>0</v>
      </c>
      <c r="V391" s="48"/>
      <c r="W391" s="52"/>
      <c r="X391" s="52">
        <v>0</v>
      </c>
      <c r="Y391" s="48">
        <v>0</v>
      </c>
      <c r="Z391" s="52">
        <v>0</v>
      </c>
      <c r="AA391" s="52">
        <v>0</v>
      </c>
    </row>
    <row r="392" spans="5:27" ht="12" customHeight="1" x14ac:dyDescent="0.25">
      <c r="E392" s="52">
        <v>0</v>
      </c>
      <c r="F392" s="48">
        <v>0</v>
      </c>
      <c r="G392" s="52">
        <v>0</v>
      </c>
      <c r="H392" s="52">
        <v>0</v>
      </c>
      <c r="I392" s="48"/>
      <c r="J392" s="48">
        <v>0</v>
      </c>
      <c r="K392" s="52">
        <v>0</v>
      </c>
      <c r="L392" s="52">
        <v>0</v>
      </c>
      <c r="M392" s="48">
        <v>0</v>
      </c>
      <c r="N392" s="52">
        <v>0</v>
      </c>
      <c r="O392" s="52">
        <v>0</v>
      </c>
      <c r="P392" s="48">
        <v>0</v>
      </c>
      <c r="Q392" s="88">
        <v>0</v>
      </c>
      <c r="R392" s="52">
        <v>0</v>
      </c>
      <c r="S392" s="52"/>
      <c r="T392" s="52"/>
      <c r="U392" s="48">
        <v>0</v>
      </c>
      <c r="V392" s="48"/>
      <c r="W392" s="52"/>
      <c r="X392" s="52">
        <v>0</v>
      </c>
      <c r="Y392" s="48">
        <v>0</v>
      </c>
      <c r="Z392" s="52">
        <v>0</v>
      </c>
      <c r="AA392" s="52">
        <v>0</v>
      </c>
    </row>
    <row r="393" spans="5:27" ht="12" customHeight="1" x14ac:dyDescent="0.25">
      <c r="E393" s="52">
        <v>0</v>
      </c>
      <c r="F393" s="48">
        <v>0</v>
      </c>
      <c r="G393" s="52">
        <v>0</v>
      </c>
      <c r="H393" s="52">
        <v>0</v>
      </c>
      <c r="I393" s="48"/>
      <c r="J393" s="48">
        <v>0</v>
      </c>
      <c r="K393" s="52">
        <v>0</v>
      </c>
      <c r="L393" s="52">
        <v>0</v>
      </c>
      <c r="M393" s="48">
        <v>0</v>
      </c>
      <c r="N393" s="52">
        <v>0</v>
      </c>
      <c r="O393" s="52">
        <v>0</v>
      </c>
      <c r="P393" s="48">
        <v>0</v>
      </c>
      <c r="Q393" s="88">
        <v>0</v>
      </c>
      <c r="R393" s="52">
        <v>0</v>
      </c>
      <c r="S393" s="52"/>
      <c r="T393" s="52"/>
      <c r="U393" s="48">
        <v>0</v>
      </c>
      <c r="V393" s="48"/>
      <c r="W393" s="52"/>
      <c r="X393" s="52">
        <v>0</v>
      </c>
      <c r="Y393" s="48">
        <v>0</v>
      </c>
      <c r="Z393" s="52">
        <v>0</v>
      </c>
      <c r="AA393" s="52">
        <v>0</v>
      </c>
    </row>
    <row r="394" spans="5:27" ht="12" customHeight="1" x14ac:dyDescent="0.25">
      <c r="E394" s="52">
        <v>0</v>
      </c>
      <c r="F394" s="48">
        <v>0</v>
      </c>
      <c r="G394" s="52">
        <v>0</v>
      </c>
      <c r="H394" s="52">
        <v>0</v>
      </c>
      <c r="I394" s="48"/>
      <c r="J394" s="48">
        <v>0</v>
      </c>
      <c r="K394" s="52">
        <v>0</v>
      </c>
      <c r="L394" s="52">
        <v>0</v>
      </c>
      <c r="M394" s="48">
        <v>0</v>
      </c>
      <c r="N394" s="52">
        <v>0</v>
      </c>
      <c r="O394" s="52">
        <v>0</v>
      </c>
      <c r="P394" s="48">
        <v>0</v>
      </c>
      <c r="Q394" s="88">
        <v>0</v>
      </c>
      <c r="R394" s="52">
        <v>0</v>
      </c>
      <c r="S394" s="52"/>
      <c r="T394" s="52"/>
      <c r="U394" s="48">
        <v>0</v>
      </c>
      <c r="V394" s="48"/>
      <c r="W394" s="52"/>
      <c r="X394" s="52">
        <v>0</v>
      </c>
      <c r="Y394" s="48">
        <v>0</v>
      </c>
      <c r="Z394" s="52">
        <v>0</v>
      </c>
      <c r="AA394" s="52">
        <v>0</v>
      </c>
    </row>
    <row r="395" spans="5:27" ht="12" customHeight="1" x14ac:dyDescent="0.25">
      <c r="E395" s="52">
        <v>0</v>
      </c>
      <c r="F395" s="48">
        <v>0</v>
      </c>
      <c r="G395" s="52">
        <v>0</v>
      </c>
      <c r="H395" s="52">
        <v>0</v>
      </c>
      <c r="I395" s="48"/>
      <c r="J395" s="48">
        <v>0</v>
      </c>
      <c r="K395" s="52">
        <v>0</v>
      </c>
      <c r="L395" s="52">
        <v>0</v>
      </c>
      <c r="M395" s="48">
        <v>0</v>
      </c>
      <c r="N395" s="52">
        <v>0</v>
      </c>
      <c r="O395" s="52">
        <v>0</v>
      </c>
      <c r="P395" s="48">
        <v>0</v>
      </c>
      <c r="Q395" s="88">
        <v>0</v>
      </c>
      <c r="R395" s="52">
        <v>0</v>
      </c>
      <c r="S395" s="52"/>
      <c r="T395" s="52"/>
      <c r="U395" s="48">
        <v>0</v>
      </c>
      <c r="V395" s="48"/>
      <c r="W395" s="52"/>
      <c r="X395" s="52">
        <v>0</v>
      </c>
      <c r="Y395" s="48">
        <v>0</v>
      </c>
      <c r="Z395" s="52">
        <v>0</v>
      </c>
      <c r="AA395" s="52">
        <v>0</v>
      </c>
    </row>
    <row r="396" spans="5:27" ht="12" customHeight="1" x14ac:dyDescent="0.25">
      <c r="E396" s="52">
        <v>0</v>
      </c>
      <c r="F396" s="48">
        <v>0</v>
      </c>
      <c r="G396" s="52">
        <v>0</v>
      </c>
      <c r="H396" s="52">
        <v>0</v>
      </c>
      <c r="I396" s="48"/>
      <c r="J396" s="48">
        <v>0</v>
      </c>
      <c r="K396" s="52">
        <v>0</v>
      </c>
      <c r="L396" s="52">
        <v>0</v>
      </c>
      <c r="M396" s="48">
        <v>0</v>
      </c>
      <c r="N396" s="52">
        <v>0</v>
      </c>
      <c r="O396" s="52">
        <v>0</v>
      </c>
      <c r="P396" s="48">
        <v>0</v>
      </c>
      <c r="Q396" s="88">
        <v>0</v>
      </c>
      <c r="R396" s="52">
        <v>0</v>
      </c>
      <c r="S396" s="52"/>
      <c r="T396" s="52"/>
      <c r="U396" s="48">
        <v>0</v>
      </c>
      <c r="V396" s="48"/>
      <c r="W396" s="52"/>
      <c r="X396" s="52">
        <v>0</v>
      </c>
      <c r="Y396" s="48">
        <v>0</v>
      </c>
      <c r="Z396" s="52">
        <v>0</v>
      </c>
      <c r="AA396" s="52">
        <v>0</v>
      </c>
    </row>
    <row r="397" spans="5:27" ht="12" customHeight="1" x14ac:dyDescent="0.25">
      <c r="E397" s="52">
        <v>0</v>
      </c>
      <c r="F397" s="48">
        <v>0</v>
      </c>
      <c r="G397" s="52">
        <v>0</v>
      </c>
      <c r="H397" s="52">
        <v>0</v>
      </c>
      <c r="I397" s="48"/>
      <c r="J397" s="48">
        <v>0</v>
      </c>
      <c r="K397" s="52">
        <v>0</v>
      </c>
      <c r="L397" s="52">
        <v>0</v>
      </c>
      <c r="M397" s="48">
        <v>0</v>
      </c>
      <c r="N397" s="52">
        <v>0</v>
      </c>
      <c r="O397" s="52">
        <v>0</v>
      </c>
      <c r="P397" s="48">
        <v>0</v>
      </c>
      <c r="Q397" s="88">
        <v>0</v>
      </c>
      <c r="R397" s="52">
        <v>0</v>
      </c>
      <c r="S397" s="52"/>
      <c r="T397" s="52"/>
      <c r="U397" s="48">
        <v>0</v>
      </c>
      <c r="V397" s="48"/>
      <c r="W397" s="52"/>
      <c r="X397" s="52">
        <v>0</v>
      </c>
      <c r="Y397" s="48">
        <v>0</v>
      </c>
      <c r="Z397" s="52">
        <v>0</v>
      </c>
      <c r="AA397" s="52">
        <v>0</v>
      </c>
    </row>
    <row r="398" spans="5:27" ht="12" customHeight="1" x14ac:dyDescent="0.25">
      <c r="E398" s="52">
        <v>0</v>
      </c>
      <c r="F398" s="48">
        <v>0</v>
      </c>
      <c r="G398" s="52">
        <v>0</v>
      </c>
      <c r="H398" s="52">
        <v>0</v>
      </c>
      <c r="I398" s="48"/>
      <c r="J398" s="48">
        <v>0</v>
      </c>
      <c r="K398" s="52">
        <v>0</v>
      </c>
      <c r="L398" s="52">
        <v>0</v>
      </c>
      <c r="M398" s="48">
        <v>0</v>
      </c>
      <c r="N398" s="52">
        <v>0</v>
      </c>
      <c r="O398" s="52">
        <v>0</v>
      </c>
      <c r="P398" s="48">
        <v>0</v>
      </c>
      <c r="Q398" s="88">
        <v>0</v>
      </c>
      <c r="R398" s="52">
        <v>0</v>
      </c>
      <c r="S398" s="52"/>
      <c r="T398" s="52"/>
      <c r="U398" s="48">
        <v>0</v>
      </c>
      <c r="V398" s="48"/>
      <c r="W398" s="52"/>
      <c r="X398" s="52">
        <v>0</v>
      </c>
      <c r="Y398" s="48">
        <v>0</v>
      </c>
      <c r="Z398" s="52">
        <v>0</v>
      </c>
      <c r="AA398" s="52">
        <v>0</v>
      </c>
    </row>
    <row r="399" spans="5:27" ht="12" customHeight="1" x14ac:dyDescent="0.25">
      <c r="E399" s="52">
        <v>0</v>
      </c>
      <c r="F399" s="48">
        <v>0</v>
      </c>
      <c r="G399" s="52">
        <v>0</v>
      </c>
      <c r="H399" s="52">
        <v>0</v>
      </c>
      <c r="I399" s="48"/>
      <c r="J399" s="48">
        <v>0</v>
      </c>
      <c r="K399" s="52">
        <v>0</v>
      </c>
      <c r="L399" s="52">
        <v>0</v>
      </c>
      <c r="M399" s="48">
        <v>0</v>
      </c>
      <c r="N399" s="52">
        <v>0</v>
      </c>
      <c r="O399" s="52">
        <v>0</v>
      </c>
      <c r="P399" s="48">
        <v>0</v>
      </c>
      <c r="Q399" s="88">
        <v>0</v>
      </c>
      <c r="R399" s="52">
        <v>0</v>
      </c>
      <c r="S399" s="52"/>
      <c r="T399" s="52"/>
      <c r="U399" s="48">
        <v>0</v>
      </c>
      <c r="V399" s="48"/>
      <c r="W399" s="52"/>
      <c r="X399" s="52">
        <v>0</v>
      </c>
      <c r="Y399" s="48">
        <v>0</v>
      </c>
      <c r="Z399" s="52">
        <v>0</v>
      </c>
      <c r="AA399" s="52">
        <v>0</v>
      </c>
    </row>
    <row r="400" spans="5:27" ht="12" customHeight="1" x14ac:dyDescent="0.25">
      <c r="E400" s="52">
        <v>0</v>
      </c>
      <c r="F400" s="48">
        <v>0</v>
      </c>
      <c r="G400" s="52">
        <v>0</v>
      </c>
      <c r="H400" s="52">
        <v>0</v>
      </c>
      <c r="I400" s="48"/>
      <c r="J400" s="48">
        <v>0</v>
      </c>
      <c r="K400" s="52">
        <v>0</v>
      </c>
      <c r="L400" s="52">
        <v>0</v>
      </c>
      <c r="M400" s="48">
        <v>0</v>
      </c>
      <c r="N400" s="52">
        <v>0</v>
      </c>
      <c r="O400" s="52">
        <v>0</v>
      </c>
      <c r="P400" s="48">
        <v>0</v>
      </c>
      <c r="Q400" s="88">
        <v>0</v>
      </c>
      <c r="R400" s="52">
        <v>0</v>
      </c>
      <c r="S400" s="52"/>
      <c r="T400" s="52"/>
      <c r="U400" s="48">
        <v>0</v>
      </c>
      <c r="V400" s="48"/>
      <c r="W400" s="52"/>
      <c r="X400" s="52">
        <v>0</v>
      </c>
      <c r="Y400" s="48">
        <v>0</v>
      </c>
      <c r="Z400" s="52">
        <v>0</v>
      </c>
      <c r="AA400" s="52">
        <v>0</v>
      </c>
    </row>
    <row r="401" spans="5:27" ht="12" customHeight="1" x14ac:dyDescent="0.25">
      <c r="E401" s="52">
        <v>0</v>
      </c>
      <c r="F401" s="48">
        <v>0</v>
      </c>
      <c r="G401" s="52">
        <v>0</v>
      </c>
      <c r="H401" s="52">
        <v>0</v>
      </c>
      <c r="I401" s="48"/>
      <c r="J401" s="48">
        <v>0</v>
      </c>
      <c r="K401" s="52">
        <v>0</v>
      </c>
      <c r="L401" s="52">
        <v>0</v>
      </c>
      <c r="M401" s="48">
        <v>0</v>
      </c>
      <c r="N401" s="52">
        <v>0</v>
      </c>
      <c r="O401" s="52">
        <v>0</v>
      </c>
      <c r="P401" s="48">
        <v>0</v>
      </c>
      <c r="Q401" s="88">
        <v>0</v>
      </c>
      <c r="R401" s="52">
        <v>0</v>
      </c>
      <c r="S401" s="52"/>
      <c r="T401" s="52"/>
      <c r="U401" s="48">
        <v>0</v>
      </c>
      <c r="V401" s="48"/>
      <c r="W401" s="52"/>
      <c r="X401" s="52">
        <v>0</v>
      </c>
      <c r="Y401" s="48">
        <v>0</v>
      </c>
      <c r="Z401" s="52">
        <v>0</v>
      </c>
      <c r="AA401" s="52">
        <v>0</v>
      </c>
    </row>
    <row r="402" spans="5:27" x14ac:dyDescent="0.25">
      <c r="E402" s="52">
        <v>0</v>
      </c>
      <c r="F402" s="48">
        <v>0</v>
      </c>
      <c r="G402" s="52">
        <v>0</v>
      </c>
      <c r="H402" s="52">
        <v>0</v>
      </c>
      <c r="I402" s="48"/>
      <c r="J402" s="48">
        <v>0</v>
      </c>
      <c r="K402" s="52">
        <v>0</v>
      </c>
      <c r="L402" s="52">
        <v>0</v>
      </c>
      <c r="M402" s="48">
        <v>0</v>
      </c>
      <c r="N402" s="52">
        <v>0</v>
      </c>
      <c r="O402" s="52">
        <v>0</v>
      </c>
      <c r="P402" s="48">
        <v>0</v>
      </c>
      <c r="Q402" s="88">
        <v>0</v>
      </c>
      <c r="R402" s="52">
        <v>0</v>
      </c>
      <c r="S402" s="52"/>
      <c r="T402" s="52"/>
      <c r="U402" s="48">
        <v>0</v>
      </c>
      <c r="V402" s="48"/>
      <c r="W402" s="52"/>
      <c r="X402" s="52">
        <v>0</v>
      </c>
      <c r="Y402" s="48">
        <v>0</v>
      </c>
      <c r="Z402" s="52">
        <v>0</v>
      </c>
      <c r="AA402" s="52">
        <v>0</v>
      </c>
    </row>
    <row r="403" spans="5:27" x14ac:dyDescent="0.25">
      <c r="E403" s="52">
        <v>0</v>
      </c>
      <c r="F403" s="48">
        <v>0</v>
      </c>
      <c r="G403" s="52">
        <v>0</v>
      </c>
      <c r="H403" s="52">
        <v>0</v>
      </c>
      <c r="I403" s="48"/>
      <c r="J403" s="48">
        <v>0</v>
      </c>
      <c r="K403" s="52">
        <v>0</v>
      </c>
      <c r="L403" s="52">
        <v>0</v>
      </c>
      <c r="M403" s="48">
        <v>0</v>
      </c>
      <c r="N403" s="52">
        <v>0</v>
      </c>
      <c r="O403" s="52">
        <v>0</v>
      </c>
      <c r="P403" s="48">
        <v>0</v>
      </c>
      <c r="Q403" s="88">
        <v>0</v>
      </c>
      <c r="R403" s="52">
        <v>0</v>
      </c>
      <c r="S403" s="52"/>
      <c r="T403" s="52"/>
      <c r="U403" s="48">
        <v>0</v>
      </c>
      <c r="V403" s="48"/>
      <c r="W403" s="52"/>
      <c r="X403" s="52">
        <v>0</v>
      </c>
      <c r="Y403" s="48">
        <v>0</v>
      </c>
      <c r="Z403" s="52">
        <v>0</v>
      </c>
      <c r="AA403" s="52">
        <v>0</v>
      </c>
    </row>
    <row r="404" spans="5:27" x14ac:dyDescent="0.25">
      <c r="E404" s="52">
        <v>0</v>
      </c>
      <c r="F404" s="48">
        <v>0</v>
      </c>
      <c r="G404" s="52">
        <v>0</v>
      </c>
      <c r="H404" s="52">
        <v>0</v>
      </c>
      <c r="I404" s="48"/>
      <c r="J404" s="48">
        <v>0</v>
      </c>
      <c r="K404" s="52">
        <v>0</v>
      </c>
      <c r="L404" s="52">
        <v>0</v>
      </c>
      <c r="M404" s="48">
        <v>0</v>
      </c>
      <c r="N404" s="52">
        <v>0</v>
      </c>
      <c r="O404" s="52">
        <v>0</v>
      </c>
      <c r="P404" s="48">
        <v>0</v>
      </c>
      <c r="Q404" s="88">
        <v>0</v>
      </c>
      <c r="R404" s="52">
        <v>0</v>
      </c>
      <c r="S404" s="52"/>
      <c r="T404" s="52"/>
      <c r="U404" s="48">
        <v>0</v>
      </c>
      <c r="V404" s="48"/>
      <c r="W404" s="52"/>
      <c r="X404" s="52">
        <v>0</v>
      </c>
      <c r="Y404" s="48">
        <v>0</v>
      </c>
      <c r="Z404" s="52">
        <v>0</v>
      </c>
      <c r="AA404" s="52">
        <v>0</v>
      </c>
    </row>
    <row r="405" spans="5:27" x14ac:dyDescent="0.25">
      <c r="E405" s="52">
        <v>0</v>
      </c>
      <c r="F405" s="48">
        <v>0</v>
      </c>
      <c r="G405" s="52">
        <v>0</v>
      </c>
      <c r="H405" s="52">
        <v>0</v>
      </c>
      <c r="I405" s="48"/>
      <c r="J405" s="48">
        <v>0</v>
      </c>
      <c r="K405" s="52">
        <v>0</v>
      </c>
      <c r="L405" s="52">
        <v>0</v>
      </c>
      <c r="M405" s="48">
        <v>0</v>
      </c>
      <c r="N405" s="52">
        <v>0</v>
      </c>
      <c r="O405" s="52">
        <v>0</v>
      </c>
      <c r="P405" s="48">
        <v>0</v>
      </c>
      <c r="Q405" s="88">
        <v>0</v>
      </c>
      <c r="R405" s="52">
        <v>0</v>
      </c>
      <c r="S405" s="52"/>
      <c r="T405" s="52"/>
      <c r="U405" s="48">
        <v>0</v>
      </c>
      <c r="V405" s="48"/>
      <c r="W405" s="52"/>
      <c r="X405" s="52">
        <v>0</v>
      </c>
      <c r="Y405" s="48">
        <v>0</v>
      </c>
      <c r="Z405" s="52">
        <v>0</v>
      </c>
      <c r="AA405" s="52">
        <v>0</v>
      </c>
    </row>
    <row r="406" spans="5:27" x14ac:dyDescent="0.25">
      <c r="E406" s="52">
        <v>0</v>
      </c>
      <c r="F406" s="48">
        <v>0</v>
      </c>
      <c r="G406" s="52">
        <v>0</v>
      </c>
      <c r="H406" s="52">
        <v>0</v>
      </c>
      <c r="I406" s="48"/>
      <c r="J406" s="48">
        <v>0</v>
      </c>
      <c r="K406" s="52">
        <v>0</v>
      </c>
      <c r="L406" s="52">
        <v>0</v>
      </c>
      <c r="M406" s="48">
        <v>0</v>
      </c>
      <c r="N406" s="52">
        <v>0</v>
      </c>
      <c r="O406" s="52">
        <v>0</v>
      </c>
      <c r="P406" s="48">
        <v>0</v>
      </c>
      <c r="Q406" s="88">
        <v>0</v>
      </c>
      <c r="R406" s="52">
        <v>0</v>
      </c>
      <c r="S406" s="52"/>
      <c r="T406" s="52"/>
      <c r="U406" s="48">
        <v>0</v>
      </c>
      <c r="V406" s="48"/>
      <c r="W406" s="52"/>
      <c r="X406" s="52">
        <v>0</v>
      </c>
      <c r="Y406" s="48">
        <v>0</v>
      </c>
      <c r="Z406" s="52">
        <v>0</v>
      </c>
      <c r="AA406" s="52">
        <v>0</v>
      </c>
    </row>
    <row r="407" spans="5:27" x14ac:dyDescent="0.25">
      <c r="E407" s="52">
        <v>0</v>
      </c>
      <c r="F407" s="48">
        <v>0</v>
      </c>
      <c r="G407" s="52">
        <v>0</v>
      </c>
      <c r="H407" s="52">
        <v>0</v>
      </c>
      <c r="I407" s="48"/>
      <c r="J407" s="48">
        <v>0</v>
      </c>
      <c r="K407" s="52">
        <v>0</v>
      </c>
      <c r="L407" s="52">
        <v>0</v>
      </c>
      <c r="M407" s="48">
        <v>0</v>
      </c>
      <c r="N407" s="52">
        <v>0</v>
      </c>
      <c r="O407" s="52">
        <v>0</v>
      </c>
      <c r="P407" s="48">
        <v>0</v>
      </c>
      <c r="Q407" s="88">
        <v>0</v>
      </c>
      <c r="R407" s="52">
        <v>0</v>
      </c>
      <c r="S407" s="52"/>
      <c r="T407" s="52"/>
      <c r="U407" s="48">
        <v>0</v>
      </c>
      <c r="V407" s="48"/>
      <c r="W407" s="52"/>
      <c r="X407" s="52">
        <v>0</v>
      </c>
      <c r="Y407" s="48">
        <v>0</v>
      </c>
      <c r="Z407" s="52">
        <v>0</v>
      </c>
      <c r="AA407" s="52">
        <v>0</v>
      </c>
    </row>
    <row r="408" spans="5:27" x14ac:dyDescent="0.25">
      <c r="E408" s="52">
        <v>0</v>
      </c>
      <c r="F408" s="48">
        <v>0</v>
      </c>
      <c r="G408" s="52">
        <v>0</v>
      </c>
      <c r="H408" s="52">
        <v>0</v>
      </c>
      <c r="I408" s="48"/>
      <c r="J408" s="48">
        <v>0</v>
      </c>
      <c r="K408" s="52">
        <v>0</v>
      </c>
      <c r="L408" s="52">
        <v>0</v>
      </c>
      <c r="M408" s="48">
        <v>0</v>
      </c>
      <c r="N408" s="52">
        <v>0</v>
      </c>
      <c r="O408" s="52">
        <v>0</v>
      </c>
      <c r="P408" s="48">
        <v>0</v>
      </c>
      <c r="Q408" s="88">
        <v>0</v>
      </c>
      <c r="R408" s="52">
        <v>0</v>
      </c>
      <c r="S408" s="52"/>
      <c r="T408" s="52"/>
      <c r="U408" s="48">
        <v>0</v>
      </c>
      <c r="V408" s="48"/>
      <c r="W408" s="52"/>
      <c r="X408" s="52">
        <v>0</v>
      </c>
      <c r="Y408" s="48">
        <v>0</v>
      </c>
      <c r="Z408" s="52">
        <v>0</v>
      </c>
      <c r="AA408" s="52">
        <v>0</v>
      </c>
    </row>
    <row r="409" spans="5:27" x14ac:dyDescent="0.25">
      <c r="E409" s="52">
        <v>0</v>
      </c>
      <c r="F409" s="48">
        <v>0</v>
      </c>
      <c r="G409" s="52">
        <v>0</v>
      </c>
      <c r="H409" s="52">
        <v>0</v>
      </c>
      <c r="I409" s="48"/>
      <c r="J409" s="48">
        <v>0</v>
      </c>
      <c r="K409" s="52">
        <v>0</v>
      </c>
      <c r="L409" s="52">
        <v>0</v>
      </c>
      <c r="M409" s="48">
        <v>0</v>
      </c>
      <c r="N409" s="52">
        <v>0</v>
      </c>
      <c r="O409" s="52">
        <v>0</v>
      </c>
      <c r="P409" s="48">
        <v>0</v>
      </c>
      <c r="Q409" s="88">
        <v>0</v>
      </c>
      <c r="R409" s="52">
        <v>0</v>
      </c>
      <c r="S409" s="52"/>
      <c r="T409" s="52"/>
      <c r="U409" s="48">
        <v>0</v>
      </c>
      <c r="V409" s="48"/>
      <c r="W409" s="52"/>
      <c r="X409" s="52">
        <v>0</v>
      </c>
      <c r="Y409" s="48">
        <v>0</v>
      </c>
      <c r="Z409" s="52">
        <v>0</v>
      </c>
      <c r="AA409" s="52">
        <v>0</v>
      </c>
    </row>
    <row r="410" spans="5:27" x14ac:dyDescent="0.25">
      <c r="E410" s="52">
        <v>0</v>
      </c>
      <c r="F410" s="48">
        <v>0</v>
      </c>
      <c r="G410" s="52">
        <v>0</v>
      </c>
      <c r="H410" s="52">
        <v>0</v>
      </c>
      <c r="I410" s="48"/>
      <c r="J410" s="48">
        <v>0</v>
      </c>
      <c r="K410" s="52">
        <v>0</v>
      </c>
      <c r="L410" s="52">
        <v>0</v>
      </c>
      <c r="M410" s="48">
        <v>0</v>
      </c>
      <c r="N410" s="52">
        <v>0</v>
      </c>
      <c r="O410" s="52">
        <v>0</v>
      </c>
      <c r="P410" s="48">
        <v>0</v>
      </c>
      <c r="Q410" s="88">
        <v>0</v>
      </c>
      <c r="R410" s="52">
        <v>0</v>
      </c>
      <c r="S410" s="52"/>
      <c r="T410" s="52"/>
      <c r="U410" s="48">
        <v>0</v>
      </c>
      <c r="V410" s="48"/>
      <c r="W410" s="52"/>
      <c r="X410" s="52">
        <v>0</v>
      </c>
      <c r="Y410" s="48">
        <v>0</v>
      </c>
      <c r="Z410" s="52">
        <v>0</v>
      </c>
      <c r="AA410" s="52">
        <v>0</v>
      </c>
    </row>
    <row r="411" spans="5:27" x14ac:dyDescent="0.25">
      <c r="E411" s="52">
        <v>0</v>
      </c>
      <c r="F411" s="48">
        <v>0</v>
      </c>
      <c r="G411" s="52">
        <v>0</v>
      </c>
      <c r="H411" s="52">
        <v>0</v>
      </c>
      <c r="I411" s="48"/>
      <c r="J411" s="48">
        <v>0</v>
      </c>
      <c r="K411" s="52">
        <v>0</v>
      </c>
      <c r="L411" s="52">
        <v>0</v>
      </c>
      <c r="M411" s="48">
        <v>0</v>
      </c>
      <c r="N411" s="52">
        <v>0</v>
      </c>
      <c r="O411" s="52">
        <v>0</v>
      </c>
      <c r="P411" s="48">
        <v>0</v>
      </c>
      <c r="Q411" s="88">
        <v>0</v>
      </c>
      <c r="R411" s="52">
        <v>0</v>
      </c>
      <c r="S411" s="52"/>
      <c r="T411" s="52"/>
      <c r="U411" s="48">
        <v>0</v>
      </c>
      <c r="V411" s="48"/>
      <c r="W411" s="52"/>
      <c r="X411" s="52">
        <v>0</v>
      </c>
      <c r="Y411" s="48">
        <v>0</v>
      </c>
      <c r="Z411" s="52">
        <v>0</v>
      </c>
      <c r="AA411" s="52">
        <v>0</v>
      </c>
    </row>
    <row r="412" spans="5:27" x14ac:dyDescent="0.25">
      <c r="E412" s="52">
        <v>0</v>
      </c>
      <c r="F412" s="48">
        <v>0</v>
      </c>
      <c r="G412" s="52">
        <v>0</v>
      </c>
      <c r="H412" s="52">
        <v>0</v>
      </c>
      <c r="I412" s="48"/>
      <c r="J412" s="48">
        <v>0</v>
      </c>
      <c r="K412" s="52">
        <v>0</v>
      </c>
      <c r="L412" s="52">
        <v>0</v>
      </c>
      <c r="M412" s="48">
        <v>0</v>
      </c>
      <c r="N412" s="52">
        <v>0</v>
      </c>
      <c r="O412" s="52">
        <v>0</v>
      </c>
      <c r="P412" s="48">
        <v>0</v>
      </c>
      <c r="Q412" s="88">
        <v>0</v>
      </c>
      <c r="R412" s="52">
        <v>0</v>
      </c>
      <c r="S412" s="52"/>
      <c r="T412" s="52"/>
      <c r="U412" s="48">
        <v>0</v>
      </c>
      <c r="V412" s="48"/>
      <c r="W412" s="52"/>
      <c r="X412" s="52">
        <v>0</v>
      </c>
      <c r="Y412" s="48">
        <v>0</v>
      </c>
      <c r="Z412" s="52">
        <v>0</v>
      </c>
      <c r="AA412" s="52">
        <v>0</v>
      </c>
    </row>
    <row r="413" spans="5:27" x14ac:dyDescent="0.25">
      <c r="E413" s="52">
        <v>0</v>
      </c>
      <c r="F413" s="48">
        <v>0</v>
      </c>
      <c r="G413" s="52">
        <v>0</v>
      </c>
      <c r="H413" s="52">
        <v>0</v>
      </c>
      <c r="I413" s="48"/>
      <c r="J413" s="48">
        <v>0</v>
      </c>
      <c r="K413" s="52">
        <v>0</v>
      </c>
      <c r="L413" s="52">
        <v>0</v>
      </c>
      <c r="M413" s="48">
        <v>0</v>
      </c>
      <c r="N413" s="52">
        <v>0</v>
      </c>
      <c r="O413" s="52">
        <v>0</v>
      </c>
      <c r="P413" s="48">
        <v>0</v>
      </c>
      <c r="Q413" s="88">
        <v>0</v>
      </c>
      <c r="R413" s="52">
        <v>0</v>
      </c>
      <c r="S413" s="52"/>
      <c r="T413" s="52"/>
      <c r="U413" s="48">
        <v>0</v>
      </c>
      <c r="V413" s="48"/>
      <c r="W413" s="52"/>
      <c r="X413" s="52">
        <v>0</v>
      </c>
      <c r="Y413" s="48">
        <v>0</v>
      </c>
      <c r="Z413" s="52">
        <v>0</v>
      </c>
      <c r="AA413" s="52">
        <v>0</v>
      </c>
    </row>
    <row r="414" spans="5:27" x14ac:dyDescent="0.25">
      <c r="E414" s="52">
        <v>0</v>
      </c>
      <c r="F414" s="48">
        <v>0</v>
      </c>
      <c r="G414" s="52">
        <v>0</v>
      </c>
      <c r="H414" s="52">
        <v>0</v>
      </c>
      <c r="I414" s="48"/>
      <c r="J414" s="48">
        <v>0</v>
      </c>
      <c r="K414" s="52">
        <v>0</v>
      </c>
      <c r="L414" s="52">
        <v>0</v>
      </c>
      <c r="M414" s="48">
        <v>0</v>
      </c>
      <c r="N414" s="52">
        <v>0</v>
      </c>
      <c r="O414" s="52">
        <v>0</v>
      </c>
      <c r="P414" s="48">
        <v>0</v>
      </c>
      <c r="Q414" s="88">
        <v>0</v>
      </c>
      <c r="R414" s="52">
        <v>0</v>
      </c>
      <c r="S414" s="52"/>
      <c r="T414" s="52"/>
      <c r="U414" s="48">
        <v>0</v>
      </c>
      <c r="V414" s="48"/>
      <c r="W414" s="52"/>
      <c r="X414" s="52">
        <v>0</v>
      </c>
      <c r="Y414" s="48">
        <v>0</v>
      </c>
      <c r="Z414" s="52">
        <v>0</v>
      </c>
      <c r="AA414" s="52">
        <v>0</v>
      </c>
    </row>
    <row r="415" spans="5:27" x14ac:dyDescent="0.25">
      <c r="E415" s="52">
        <v>0</v>
      </c>
      <c r="F415" s="48">
        <v>0</v>
      </c>
      <c r="G415" s="52">
        <v>0</v>
      </c>
      <c r="H415" s="52">
        <v>0</v>
      </c>
      <c r="I415" s="48"/>
      <c r="J415" s="48">
        <v>0</v>
      </c>
      <c r="K415" s="52">
        <v>0</v>
      </c>
      <c r="L415" s="52">
        <v>0</v>
      </c>
      <c r="M415" s="48">
        <v>0</v>
      </c>
      <c r="N415" s="52">
        <v>0</v>
      </c>
      <c r="O415" s="52">
        <v>0</v>
      </c>
      <c r="P415" s="48">
        <v>0</v>
      </c>
      <c r="Q415" s="88">
        <v>0</v>
      </c>
      <c r="R415" s="52">
        <v>0</v>
      </c>
      <c r="S415" s="52"/>
      <c r="T415" s="52"/>
      <c r="U415" s="48">
        <v>0</v>
      </c>
      <c r="V415" s="48"/>
      <c r="W415" s="52"/>
      <c r="X415" s="52">
        <v>0</v>
      </c>
      <c r="Y415" s="48">
        <v>0</v>
      </c>
      <c r="Z415" s="52">
        <v>0</v>
      </c>
      <c r="AA415" s="52">
        <v>0</v>
      </c>
    </row>
    <row r="416" spans="5:27" x14ac:dyDescent="0.25">
      <c r="E416" s="52">
        <v>0</v>
      </c>
      <c r="F416" s="48">
        <v>0</v>
      </c>
      <c r="G416" s="52">
        <v>0</v>
      </c>
      <c r="H416" s="52">
        <v>0</v>
      </c>
      <c r="I416" s="48"/>
      <c r="J416" s="48">
        <v>0</v>
      </c>
      <c r="K416" s="52">
        <v>0</v>
      </c>
      <c r="L416" s="52">
        <v>0</v>
      </c>
      <c r="M416" s="48">
        <v>0</v>
      </c>
      <c r="N416" s="52">
        <v>0</v>
      </c>
      <c r="O416" s="52">
        <v>0</v>
      </c>
      <c r="P416" s="48">
        <v>0</v>
      </c>
      <c r="Q416" s="88">
        <v>0</v>
      </c>
      <c r="R416" s="52">
        <v>0</v>
      </c>
      <c r="S416" s="52"/>
      <c r="T416" s="52"/>
      <c r="U416" s="48">
        <v>0</v>
      </c>
      <c r="V416" s="48"/>
      <c r="W416" s="52"/>
      <c r="X416" s="52">
        <v>0</v>
      </c>
      <c r="Y416" s="48">
        <v>0</v>
      </c>
      <c r="Z416" s="52">
        <v>0</v>
      </c>
      <c r="AA416" s="52">
        <v>0</v>
      </c>
    </row>
    <row r="417" spans="5:27" x14ac:dyDescent="0.25">
      <c r="E417" s="52">
        <v>0</v>
      </c>
      <c r="F417" s="48">
        <v>0</v>
      </c>
      <c r="G417" s="52">
        <v>0</v>
      </c>
      <c r="H417" s="52">
        <v>0</v>
      </c>
      <c r="I417" s="48"/>
      <c r="J417" s="48">
        <v>0</v>
      </c>
      <c r="K417" s="52">
        <v>0</v>
      </c>
      <c r="L417" s="52">
        <v>0</v>
      </c>
      <c r="M417" s="48">
        <v>0</v>
      </c>
      <c r="N417" s="52">
        <v>0</v>
      </c>
      <c r="O417" s="52">
        <v>0</v>
      </c>
      <c r="P417" s="48">
        <v>0</v>
      </c>
      <c r="Q417" s="88">
        <v>0</v>
      </c>
      <c r="R417" s="52">
        <v>0</v>
      </c>
      <c r="S417" s="52"/>
      <c r="T417" s="52"/>
      <c r="U417" s="48">
        <v>0</v>
      </c>
      <c r="V417" s="48"/>
      <c r="W417" s="52"/>
      <c r="X417" s="52">
        <v>0</v>
      </c>
      <c r="Y417" s="48">
        <v>0</v>
      </c>
      <c r="Z417" s="52">
        <v>0</v>
      </c>
      <c r="AA417" s="52">
        <v>0</v>
      </c>
    </row>
    <row r="418" spans="5:27" x14ac:dyDescent="0.25">
      <c r="E418" s="52">
        <v>0</v>
      </c>
      <c r="F418" s="48">
        <v>0</v>
      </c>
      <c r="G418" s="52">
        <v>0</v>
      </c>
      <c r="H418" s="52">
        <v>0</v>
      </c>
      <c r="I418" s="48"/>
      <c r="J418" s="48">
        <v>0</v>
      </c>
      <c r="K418" s="52">
        <v>0</v>
      </c>
      <c r="L418" s="52">
        <v>0</v>
      </c>
      <c r="M418" s="48">
        <v>0</v>
      </c>
      <c r="N418" s="52">
        <v>0</v>
      </c>
      <c r="O418" s="52">
        <v>0</v>
      </c>
      <c r="P418" s="48">
        <v>0</v>
      </c>
      <c r="Q418" s="88">
        <v>0</v>
      </c>
      <c r="R418" s="52">
        <v>0</v>
      </c>
      <c r="S418" s="52"/>
      <c r="T418" s="52"/>
      <c r="U418" s="48">
        <v>0</v>
      </c>
      <c r="V418" s="48"/>
      <c r="W418" s="52"/>
      <c r="X418" s="52">
        <v>0</v>
      </c>
      <c r="Y418" s="48">
        <v>0</v>
      </c>
      <c r="Z418" s="52">
        <v>0</v>
      </c>
      <c r="AA418" s="52">
        <v>0</v>
      </c>
    </row>
    <row r="419" spans="5:27" x14ac:dyDescent="0.25">
      <c r="E419" s="52">
        <v>0</v>
      </c>
      <c r="F419" s="48">
        <v>0</v>
      </c>
      <c r="G419" s="52">
        <v>0</v>
      </c>
      <c r="H419" s="52">
        <v>0</v>
      </c>
      <c r="I419" s="48"/>
      <c r="J419" s="48">
        <v>0</v>
      </c>
      <c r="K419" s="52">
        <v>0</v>
      </c>
      <c r="L419" s="52">
        <v>0</v>
      </c>
      <c r="M419" s="48">
        <v>0</v>
      </c>
      <c r="N419" s="52">
        <v>0</v>
      </c>
      <c r="O419" s="52">
        <v>0</v>
      </c>
      <c r="P419" s="48">
        <v>0</v>
      </c>
      <c r="Q419" s="88">
        <v>0</v>
      </c>
      <c r="R419" s="52">
        <v>0</v>
      </c>
      <c r="S419" s="52"/>
      <c r="T419" s="52"/>
      <c r="U419" s="48">
        <v>0</v>
      </c>
      <c r="V419" s="48"/>
      <c r="W419" s="52"/>
      <c r="X419" s="52">
        <v>0</v>
      </c>
      <c r="Y419" s="48">
        <v>0</v>
      </c>
      <c r="Z419" s="52">
        <v>0</v>
      </c>
      <c r="AA419" s="52">
        <v>0</v>
      </c>
    </row>
    <row r="420" spans="5:27" x14ac:dyDescent="0.25">
      <c r="E420" s="52">
        <v>0</v>
      </c>
      <c r="F420" s="48">
        <v>0</v>
      </c>
      <c r="G420" s="52">
        <v>0</v>
      </c>
      <c r="H420" s="52">
        <v>0</v>
      </c>
      <c r="I420" s="48"/>
      <c r="J420" s="48">
        <v>0</v>
      </c>
      <c r="K420" s="52">
        <v>0</v>
      </c>
      <c r="L420" s="52">
        <v>0</v>
      </c>
      <c r="M420" s="48">
        <v>0</v>
      </c>
      <c r="N420" s="52">
        <v>0</v>
      </c>
      <c r="O420" s="52">
        <v>0</v>
      </c>
      <c r="P420" s="48">
        <v>0</v>
      </c>
      <c r="Q420" s="88">
        <v>0</v>
      </c>
      <c r="R420" s="52">
        <v>0</v>
      </c>
      <c r="S420" s="52"/>
      <c r="T420" s="52"/>
      <c r="U420" s="48">
        <v>0</v>
      </c>
      <c r="V420" s="48"/>
      <c r="W420" s="52"/>
      <c r="X420" s="52">
        <v>0</v>
      </c>
      <c r="Y420" s="48">
        <v>0</v>
      </c>
      <c r="Z420" s="52">
        <v>0</v>
      </c>
      <c r="AA420" s="52">
        <v>0</v>
      </c>
    </row>
    <row r="421" spans="5:27" x14ac:dyDescent="0.25">
      <c r="E421" s="52">
        <v>0</v>
      </c>
      <c r="F421" s="48">
        <v>0</v>
      </c>
      <c r="G421" s="52">
        <v>0</v>
      </c>
      <c r="H421" s="52">
        <v>0</v>
      </c>
      <c r="I421" s="48"/>
      <c r="J421" s="48">
        <v>0</v>
      </c>
      <c r="K421" s="52">
        <v>0</v>
      </c>
      <c r="L421" s="52">
        <v>0</v>
      </c>
      <c r="M421" s="48">
        <v>0</v>
      </c>
      <c r="N421" s="52">
        <v>0</v>
      </c>
      <c r="O421" s="52">
        <v>0</v>
      </c>
      <c r="P421" s="48">
        <v>0</v>
      </c>
      <c r="Q421" s="88">
        <v>0</v>
      </c>
      <c r="R421" s="52">
        <v>0</v>
      </c>
      <c r="S421" s="52"/>
      <c r="T421" s="52"/>
      <c r="U421" s="48">
        <v>0</v>
      </c>
      <c r="V421" s="48"/>
      <c r="W421" s="52"/>
      <c r="X421" s="52">
        <v>0</v>
      </c>
      <c r="Y421" s="48">
        <v>0</v>
      </c>
      <c r="Z421" s="52">
        <v>0</v>
      </c>
      <c r="AA421" s="52">
        <v>0</v>
      </c>
    </row>
    <row r="422" spans="5:27" x14ac:dyDescent="0.25">
      <c r="E422" s="52">
        <v>0</v>
      </c>
      <c r="F422" s="48">
        <v>0</v>
      </c>
      <c r="G422" s="52">
        <v>0</v>
      </c>
      <c r="H422" s="52">
        <v>0</v>
      </c>
      <c r="I422" s="48"/>
      <c r="J422" s="48">
        <v>0</v>
      </c>
      <c r="K422" s="52">
        <v>0</v>
      </c>
      <c r="L422" s="52">
        <v>0</v>
      </c>
      <c r="M422" s="48">
        <v>0</v>
      </c>
      <c r="N422" s="52">
        <v>0</v>
      </c>
      <c r="O422" s="52">
        <v>0</v>
      </c>
      <c r="P422" s="48">
        <v>0</v>
      </c>
      <c r="Q422" s="88">
        <v>0</v>
      </c>
      <c r="R422" s="52">
        <v>0</v>
      </c>
      <c r="S422" s="52"/>
      <c r="T422" s="52"/>
      <c r="U422" s="48">
        <v>0</v>
      </c>
      <c r="V422" s="48"/>
      <c r="W422" s="52"/>
      <c r="X422" s="52">
        <v>0</v>
      </c>
      <c r="Y422" s="48">
        <v>0</v>
      </c>
      <c r="Z422" s="52">
        <v>0</v>
      </c>
      <c r="AA422" s="52">
        <v>0</v>
      </c>
    </row>
    <row r="423" spans="5:27" x14ac:dyDescent="0.25">
      <c r="E423" s="52">
        <v>0</v>
      </c>
      <c r="F423" s="48">
        <v>0</v>
      </c>
      <c r="G423" s="52">
        <v>0</v>
      </c>
      <c r="H423" s="52">
        <v>0</v>
      </c>
      <c r="I423" s="48"/>
      <c r="J423" s="48">
        <v>0</v>
      </c>
      <c r="K423" s="52">
        <v>0</v>
      </c>
      <c r="L423" s="52">
        <v>0</v>
      </c>
      <c r="M423" s="48">
        <v>0</v>
      </c>
      <c r="N423" s="52">
        <v>0</v>
      </c>
      <c r="O423" s="52">
        <v>0</v>
      </c>
      <c r="P423" s="48">
        <v>0</v>
      </c>
      <c r="Q423" s="88">
        <v>0</v>
      </c>
      <c r="R423" s="52">
        <v>0</v>
      </c>
      <c r="S423" s="52"/>
      <c r="T423" s="52"/>
      <c r="U423" s="48">
        <v>0</v>
      </c>
      <c r="V423" s="48"/>
      <c r="W423" s="52"/>
      <c r="X423" s="52">
        <v>0</v>
      </c>
      <c r="Y423" s="48">
        <v>0</v>
      </c>
      <c r="Z423" s="52">
        <v>0</v>
      </c>
      <c r="AA423" s="52">
        <v>0</v>
      </c>
    </row>
    <row r="424" spans="5:27" x14ac:dyDescent="0.25">
      <c r="E424" s="52">
        <v>0</v>
      </c>
      <c r="F424" s="48">
        <v>0</v>
      </c>
      <c r="G424" s="52">
        <v>0</v>
      </c>
      <c r="H424" s="52">
        <v>0</v>
      </c>
      <c r="I424" s="48"/>
      <c r="J424" s="48">
        <v>0</v>
      </c>
      <c r="K424" s="52">
        <v>0</v>
      </c>
      <c r="L424" s="52">
        <v>0</v>
      </c>
      <c r="M424" s="48">
        <v>0</v>
      </c>
      <c r="N424" s="52">
        <v>0</v>
      </c>
      <c r="O424" s="52">
        <v>0</v>
      </c>
      <c r="P424" s="48">
        <v>0</v>
      </c>
      <c r="Q424" s="88">
        <v>0</v>
      </c>
      <c r="R424" s="52">
        <v>0</v>
      </c>
      <c r="S424" s="52"/>
      <c r="T424" s="52"/>
      <c r="U424" s="48">
        <v>0</v>
      </c>
      <c r="V424" s="48"/>
      <c r="W424" s="52"/>
      <c r="X424" s="52">
        <v>0</v>
      </c>
      <c r="Y424" s="48">
        <v>0</v>
      </c>
      <c r="Z424" s="52">
        <v>0</v>
      </c>
      <c r="AA424" s="52">
        <v>0</v>
      </c>
    </row>
    <row r="425" spans="5:27" x14ac:dyDescent="0.25">
      <c r="E425" s="52">
        <v>0</v>
      </c>
      <c r="F425" s="48">
        <v>0</v>
      </c>
      <c r="G425" s="52">
        <v>0</v>
      </c>
      <c r="H425" s="52">
        <v>0</v>
      </c>
      <c r="I425" s="48"/>
      <c r="J425" s="48">
        <v>0</v>
      </c>
      <c r="K425" s="52">
        <v>0</v>
      </c>
      <c r="L425" s="52">
        <v>0</v>
      </c>
      <c r="M425" s="48">
        <v>0</v>
      </c>
      <c r="N425" s="52">
        <v>0</v>
      </c>
      <c r="O425" s="52">
        <v>0</v>
      </c>
      <c r="P425" s="48">
        <v>0</v>
      </c>
      <c r="Q425" s="88">
        <v>0</v>
      </c>
      <c r="R425" s="52">
        <v>0</v>
      </c>
      <c r="S425" s="52"/>
      <c r="T425" s="52"/>
      <c r="U425" s="48">
        <v>0</v>
      </c>
      <c r="V425" s="48"/>
      <c r="W425" s="52"/>
      <c r="X425" s="52">
        <v>0</v>
      </c>
      <c r="Y425" s="48">
        <v>0</v>
      </c>
      <c r="Z425" s="52">
        <v>0</v>
      </c>
      <c r="AA425" s="52">
        <v>0</v>
      </c>
    </row>
    <row r="426" spans="5:27" x14ac:dyDescent="0.25">
      <c r="E426" s="52">
        <v>0</v>
      </c>
      <c r="F426" s="48">
        <v>0</v>
      </c>
      <c r="G426" s="52">
        <v>0</v>
      </c>
      <c r="H426" s="52">
        <v>0</v>
      </c>
      <c r="I426" s="48"/>
      <c r="J426" s="48">
        <v>0</v>
      </c>
      <c r="K426" s="52">
        <v>0</v>
      </c>
      <c r="L426" s="52">
        <v>0</v>
      </c>
      <c r="M426" s="48">
        <v>0</v>
      </c>
      <c r="N426" s="52">
        <v>0</v>
      </c>
      <c r="O426" s="52">
        <v>0</v>
      </c>
      <c r="P426" s="48">
        <v>0</v>
      </c>
      <c r="Q426" s="88">
        <v>0</v>
      </c>
      <c r="R426" s="52">
        <v>0</v>
      </c>
      <c r="S426" s="52"/>
      <c r="T426" s="52"/>
      <c r="U426" s="48">
        <v>0</v>
      </c>
      <c r="V426" s="48"/>
      <c r="W426" s="52"/>
      <c r="X426" s="52">
        <v>0</v>
      </c>
      <c r="Y426" s="48">
        <v>0</v>
      </c>
      <c r="Z426" s="52">
        <v>0</v>
      </c>
      <c r="AA426" s="52">
        <v>0</v>
      </c>
    </row>
    <row r="427" spans="5:27" x14ac:dyDescent="0.25">
      <c r="E427" s="52">
        <v>0</v>
      </c>
      <c r="F427" s="48">
        <v>0</v>
      </c>
      <c r="G427" s="52">
        <v>0</v>
      </c>
      <c r="H427" s="52">
        <v>0</v>
      </c>
      <c r="I427" s="48"/>
      <c r="J427" s="48">
        <v>0</v>
      </c>
      <c r="K427" s="52">
        <v>0</v>
      </c>
      <c r="L427" s="52">
        <v>0</v>
      </c>
      <c r="M427" s="48">
        <v>0</v>
      </c>
      <c r="N427" s="52">
        <v>0</v>
      </c>
      <c r="O427" s="52">
        <v>0</v>
      </c>
      <c r="P427" s="48">
        <v>0</v>
      </c>
      <c r="Q427" s="88">
        <v>0</v>
      </c>
      <c r="R427" s="52">
        <v>0</v>
      </c>
      <c r="S427" s="52"/>
      <c r="T427" s="52"/>
      <c r="U427" s="48">
        <v>0</v>
      </c>
      <c r="V427" s="48"/>
      <c r="W427" s="52"/>
      <c r="X427" s="52">
        <v>0</v>
      </c>
      <c r="Y427" s="48">
        <v>0</v>
      </c>
      <c r="Z427" s="52">
        <v>0</v>
      </c>
      <c r="AA427" s="52">
        <v>0</v>
      </c>
    </row>
    <row r="428" spans="5:27" x14ac:dyDescent="0.25">
      <c r="E428" s="52">
        <v>0</v>
      </c>
      <c r="F428" s="48">
        <v>0</v>
      </c>
      <c r="G428" s="52">
        <v>0</v>
      </c>
      <c r="H428" s="52">
        <v>0</v>
      </c>
      <c r="I428" s="48"/>
      <c r="J428" s="48">
        <v>0</v>
      </c>
      <c r="K428" s="52">
        <v>0</v>
      </c>
      <c r="L428" s="52">
        <v>0</v>
      </c>
      <c r="M428" s="48">
        <v>0</v>
      </c>
      <c r="N428" s="52">
        <v>0</v>
      </c>
      <c r="O428" s="52">
        <v>0</v>
      </c>
      <c r="P428" s="48">
        <v>0</v>
      </c>
      <c r="Q428" s="88">
        <v>0</v>
      </c>
      <c r="R428" s="52">
        <v>0</v>
      </c>
      <c r="S428" s="52"/>
      <c r="T428" s="52"/>
      <c r="U428" s="48">
        <v>0</v>
      </c>
      <c r="V428" s="48"/>
      <c r="W428" s="52"/>
      <c r="X428" s="52">
        <v>0</v>
      </c>
      <c r="Y428" s="48">
        <v>0</v>
      </c>
      <c r="Z428" s="52">
        <v>0</v>
      </c>
      <c r="AA428" s="52">
        <v>0</v>
      </c>
    </row>
    <row r="429" spans="5:27" x14ac:dyDescent="0.25">
      <c r="E429" s="52">
        <v>0</v>
      </c>
      <c r="F429" s="48">
        <v>0</v>
      </c>
      <c r="G429" s="52">
        <v>0</v>
      </c>
      <c r="H429" s="52">
        <v>0</v>
      </c>
      <c r="I429" s="48"/>
      <c r="J429" s="48">
        <v>0</v>
      </c>
      <c r="K429" s="52">
        <v>0</v>
      </c>
      <c r="L429" s="52">
        <v>0</v>
      </c>
      <c r="M429" s="48">
        <v>0</v>
      </c>
      <c r="N429" s="52">
        <v>0</v>
      </c>
      <c r="O429" s="52">
        <v>0</v>
      </c>
      <c r="P429" s="48">
        <v>0</v>
      </c>
      <c r="Q429" s="88">
        <v>0</v>
      </c>
      <c r="R429" s="52">
        <v>0</v>
      </c>
      <c r="S429" s="52"/>
      <c r="T429" s="52"/>
      <c r="U429" s="48">
        <v>0</v>
      </c>
      <c r="V429" s="48"/>
      <c r="W429" s="52"/>
      <c r="X429" s="52">
        <v>0</v>
      </c>
      <c r="Y429" s="48">
        <v>0</v>
      </c>
      <c r="Z429" s="52">
        <v>0</v>
      </c>
      <c r="AA429" s="52">
        <v>0</v>
      </c>
    </row>
    <row r="430" spans="5:27" x14ac:dyDescent="0.25">
      <c r="E430" s="52">
        <v>0</v>
      </c>
      <c r="F430" s="48">
        <v>0</v>
      </c>
      <c r="G430" s="52">
        <v>0</v>
      </c>
      <c r="H430" s="52">
        <v>0</v>
      </c>
      <c r="I430" s="48"/>
      <c r="J430" s="48">
        <v>0</v>
      </c>
      <c r="K430" s="52">
        <v>0</v>
      </c>
      <c r="L430" s="52">
        <v>0</v>
      </c>
      <c r="M430" s="48">
        <v>0</v>
      </c>
      <c r="N430" s="52">
        <v>0</v>
      </c>
      <c r="O430" s="52">
        <v>0</v>
      </c>
      <c r="P430" s="48">
        <v>0</v>
      </c>
      <c r="Q430" s="88">
        <v>0</v>
      </c>
      <c r="R430" s="52">
        <v>0</v>
      </c>
      <c r="S430" s="52"/>
      <c r="T430" s="52"/>
      <c r="U430" s="48">
        <v>0</v>
      </c>
      <c r="V430" s="48"/>
      <c r="W430" s="52"/>
      <c r="X430" s="52">
        <v>0</v>
      </c>
      <c r="Y430" s="48">
        <v>0</v>
      </c>
      <c r="Z430" s="52">
        <v>0</v>
      </c>
      <c r="AA430" s="52">
        <v>0</v>
      </c>
    </row>
    <row r="431" spans="5:27" x14ac:dyDescent="0.25">
      <c r="E431" s="52">
        <v>0</v>
      </c>
      <c r="F431" s="48">
        <v>0</v>
      </c>
      <c r="G431" s="52">
        <v>0</v>
      </c>
      <c r="H431" s="52">
        <v>0</v>
      </c>
      <c r="I431" s="48"/>
      <c r="J431" s="48">
        <v>0</v>
      </c>
      <c r="K431" s="52">
        <v>0</v>
      </c>
      <c r="L431" s="52">
        <v>0</v>
      </c>
      <c r="M431" s="48">
        <v>0</v>
      </c>
      <c r="N431" s="52">
        <v>0</v>
      </c>
      <c r="O431" s="52">
        <v>0</v>
      </c>
      <c r="P431" s="48">
        <v>0</v>
      </c>
      <c r="Q431" s="88">
        <v>0</v>
      </c>
      <c r="R431" s="52">
        <v>0</v>
      </c>
      <c r="S431" s="52"/>
      <c r="T431" s="52"/>
      <c r="U431" s="48">
        <v>0</v>
      </c>
      <c r="V431" s="48"/>
      <c r="W431" s="52"/>
      <c r="X431" s="52">
        <v>0</v>
      </c>
      <c r="Y431" s="48">
        <v>0</v>
      </c>
      <c r="Z431" s="52">
        <v>0</v>
      </c>
      <c r="AA431" s="52">
        <v>0</v>
      </c>
    </row>
    <row r="432" spans="5:27" x14ac:dyDescent="0.25">
      <c r="E432" s="52">
        <v>0</v>
      </c>
      <c r="F432" s="48">
        <v>0</v>
      </c>
      <c r="G432" s="52">
        <v>0</v>
      </c>
      <c r="H432" s="52">
        <v>0</v>
      </c>
      <c r="I432" s="48"/>
      <c r="J432" s="48">
        <v>0</v>
      </c>
      <c r="K432" s="52">
        <v>0</v>
      </c>
      <c r="L432" s="52">
        <v>0</v>
      </c>
      <c r="M432" s="48">
        <v>0</v>
      </c>
      <c r="N432" s="52">
        <v>0</v>
      </c>
      <c r="O432" s="52">
        <v>0</v>
      </c>
      <c r="P432" s="48">
        <v>0</v>
      </c>
      <c r="Q432" s="88">
        <v>0</v>
      </c>
      <c r="R432" s="52">
        <v>0</v>
      </c>
      <c r="S432" s="52"/>
      <c r="T432" s="52"/>
      <c r="U432" s="48">
        <v>0</v>
      </c>
      <c r="V432" s="48"/>
      <c r="W432" s="52"/>
      <c r="X432" s="52">
        <v>0</v>
      </c>
      <c r="Y432" s="48">
        <v>0</v>
      </c>
      <c r="Z432" s="52">
        <v>0</v>
      </c>
      <c r="AA432" s="52">
        <v>0</v>
      </c>
    </row>
    <row r="433" spans="5:27" x14ac:dyDescent="0.25">
      <c r="E433" s="52">
        <v>0</v>
      </c>
      <c r="F433" s="48">
        <v>0</v>
      </c>
      <c r="G433" s="52">
        <v>0</v>
      </c>
      <c r="H433" s="52">
        <v>0</v>
      </c>
      <c r="I433" s="48"/>
      <c r="J433" s="48">
        <v>0</v>
      </c>
      <c r="K433" s="52">
        <v>0</v>
      </c>
      <c r="L433" s="52">
        <v>0</v>
      </c>
      <c r="M433" s="48">
        <v>0</v>
      </c>
      <c r="N433" s="52">
        <v>0</v>
      </c>
      <c r="O433" s="52">
        <v>0</v>
      </c>
      <c r="P433" s="48">
        <v>0</v>
      </c>
      <c r="Q433" s="88">
        <v>0</v>
      </c>
      <c r="R433" s="52">
        <v>0</v>
      </c>
      <c r="S433" s="52"/>
      <c r="T433" s="52"/>
      <c r="U433" s="48">
        <v>0</v>
      </c>
      <c r="V433" s="48"/>
      <c r="W433" s="52"/>
      <c r="X433" s="52">
        <v>0</v>
      </c>
      <c r="Y433" s="48">
        <v>0</v>
      </c>
      <c r="Z433" s="52">
        <v>0</v>
      </c>
      <c r="AA433" s="52">
        <v>0</v>
      </c>
    </row>
    <row r="434" spans="5:27" x14ac:dyDescent="0.25">
      <c r="E434" s="52">
        <v>0</v>
      </c>
      <c r="F434" s="48">
        <v>0</v>
      </c>
      <c r="G434" s="52">
        <v>0</v>
      </c>
      <c r="H434" s="52">
        <v>0</v>
      </c>
      <c r="I434" s="48"/>
      <c r="J434" s="48">
        <v>0</v>
      </c>
      <c r="K434" s="52">
        <v>0</v>
      </c>
      <c r="L434" s="52">
        <v>0</v>
      </c>
      <c r="M434" s="48">
        <v>0</v>
      </c>
      <c r="N434" s="52">
        <v>0</v>
      </c>
      <c r="O434" s="52">
        <v>0</v>
      </c>
      <c r="P434" s="48">
        <v>0</v>
      </c>
      <c r="Q434" s="88">
        <v>0</v>
      </c>
      <c r="R434" s="52">
        <v>0</v>
      </c>
      <c r="S434" s="52"/>
      <c r="T434" s="52"/>
      <c r="U434" s="48">
        <v>0</v>
      </c>
      <c r="V434" s="48"/>
      <c r="W434" s="52"/>
      <c r="X434" s="52">
        <v>0</v>
      </c>
      <c r="Y434" s="48">
        <v>0</v>
      </c>
      <c r="Z434" s="52">
        <v>0</v>
      </c>
      <c r="AA434" s="52">
        <v>0</v>
      </c>
    </row>
    <row r="435" spans="5:27" x14ac:dyDescent="0.25">
      <c r="E435" s="52">
        <v>0</v>
      </c>
      <c r="F435" s="48">
        <v>0</v>
      </c>
      <c r="G435" s="52">
        <v>0</v>
      </c>
      <c r="H435" s="52">
        <v>0</v>
      </c>
      <c r="I435" s="48"/>
      <c r="J435" s="48">
        <v>0</v>
      </c>
      <c r="K435" s="52">
        <v>0</v>
      </c>
      <c r="L435" s="52">
        <v>0</v>
      </c>
      <c r="M435" s="48">
        <v>0</v>
      </c>
      <c r="N435" s="52">
        <v>0</v>
      </c>
      <c r="O435" s="52">
        <v>0</v>
      </c>
      <c r="P435" s="48">
        <v>0</v>
      </c>
      <c r="Q435" s="88">
        <v>0</v>
      </c>
      <c r="R435" s="52">
        <v>0</v>
      </c>
      <c r="S435" s="52"/>
      <c r="T435" s="52"/>
      <c r="U435" s="48">
        <v>0</v>
      </c>
      <c r="V435" s="48"/>
      <c r="W435" s="52"/>
      <c r="X435" s="52">
        <v>0</v>
      </c>
      <c r="Y435" s="48">
        <v>0</v>
      </c>
      <c r="Z435" s="52">
        <v>0</v>
      </c>
      <c r="AA435" s="52">
        <v>0</v>
      </c>
    </row>
    <row r="436" spans="5:27" x14ac:dyDescent="0.25">
      <c r="E436" s="52">
        <v>0</v>
      </c>
      <c r="F436" s="48">
        <v>0</v>
      </c>
      <c r="G436" s="52">
        <v>0</v>
      </c>
      <c r="H436" s="52">
        <v>0</v>
      </c>
      <c r="I436" s="48"/>
      <c r="J436" s="48">
        <v>0</v>
      </c>
      <c r="K436" s="52">
        <v>0</v>
      </c>
      <c r="L436" s="52">
        <v>0</v>
      </c>
      <c r="M436" s="48">
        <v>0</v>
      </c>
      <c r="N436" s="52">
        <v>0</v>
      </c>
      <c r="O436" s="52">
        <v>0</v>
      </c>
      <c r="P436" s="48">
        <v>0</v>
      </c>
      <c r="Q436" s="88">
        <v>0</v>
      </c>
      <c r="R436" s="52">
        <v>0</v>
      </c>
      <c r="S436" s="52"/>
      <c r="T436" s="52"/>
      <c r="U436" s="48">
        <v>0</v>
      </c>
      <c r="V436" s="48"/>
      <c r="W436" s="52"/>
      <c r="X436" s="52">
        <v>0</v>
      </c>
      <c r="Y436" s="48">
        <v>0</v>
      </c>
      <c r="Z436" s="52">
        <v>0</v>
      </c>
      <c r="AA436" s="52">
        <v>0</v>
      </c>
    </row>
    <row r="437" spans="5:27" x14ac:dyDescent="0.25">
      <c r="E437" s="52">
        <v>0</v>
      </c>
      <c r="F437" s="48">
        <v>0</v>
      </c>
      <c r="G437" s="52">
        <v>0</v>
      </c>
      <c r="H437" s="52">
        <v>0</v>
      </c>
      <c r="I437" s="48"/>
      <c r="J437" s="48">
        <v>0</v>
      </c>
      <c r="K437" s="52">
        <v>0</v>
      </c>
      <c r="L437" s="52">
        <v>0</v>
      </c>
      <c r="M437" s="48">
        <v>0</v>
      </c>
      <c r="N437" s="52">
        <v>0</v>
      </c>
      <c r="O437" s="52">
        <v>0</v>
      </c>
      <c r="P437" s="48">
        <v>0</v>
      </c>
      <c r="Q437" s="88">
        <v>0</v>
      </c>
      <c r="R437" s="52">
        <v>0</v>
      </c>
      <c r="S437" s="52"/>
      <c r="T437" s="52"/>
      <c r="U437" s="48">
        <v>0</v>
      </c>
      <c r="V437" s="48"/>
      <c r="W437" s="52"/>
      <c r="X437" s="52">
        <v>0</v>
      </c>
      <c r="Y437" s="48">
        <v>0</v>
      </c>
      <c r="Z437" s="52">
        <v>0</v>
      </c>
      <c r="AA437" s="52">
        <v>0</v>
      </c>
    </row>
    <row r="438" spans="5:27" x14ac:dyDescent="0.25">
      <c r="E438" s="52">
        <v>0</v>
      </c>
      <c r="F438" s="48">
        <v>0</v>
      </c>
      <c r="G438" s="52">
        <v>0</v>
      </c>
      <c r="H438" s="52">
        <v>0</v>
      </c>
      <c r="I438" s="48"/>
      <c r="J438" s="48">
        <v>0</v>
      </c>
      <c r="K438" s="52">
        <v>0</v>
      </c>
      <c r="L438" s="52">
        <v>0</v>
      </c>
      <c r="M438" s="48">
        <v>0</v>
      </c>
      <c r="N438" s="52">
        <v>0</v>
      </c>
      <c r="O438" s="52">
        <v>0</v>
      </c>
      <c r="P438" s="48">
        <v>0</v>
      </c>
      <c r="Q438" s="88">
        <v>0</v>
      </c>
      <c r="R438" s="52">
        <v>0</v>
      </c>
      <c r="S438" s="52"/>
      <c r="T438" s="52"/>
      <c r="U438" s="48">
        <v>0</v>
      </c>
      <c r="V438" s="48"/>
      <c r="W438" s="52"/>
      <c r="X438" s="52">
        <v>0</v>
      </c>
      <c r="Y438" s="48">
        <v>0</v>
      </c>
      <c r="Z438" s="52">
        <v>0</v>
      </c>
      <c r="AA438" s="52">
        <v>0</v>
      </c>
    </row>
    <row r="439" spans="5:27" x14ac:dyDescent="0.25">
      <c r="E439" s="52">
        <v>0</v>
      </c>
      <c r="F439" s="48">
        <v>0</v>
      </c>
      <c r="G439" s="52">
        <v>0</v>
      </c>
      <c r="H439" s="52">
        <v>0</v>
      </c>
      <c r="I439" s="48"/>
      <c r="J439" s="48">
        <v>0</v>
      </c>
      <c r="K439" s="52">
        <v>0</v>
      </c>
      <c r="L439" s="52">
        <v>0</v>
      </c>
      <c r="M439" s="48">
        <v>0</v>
      </c>
      <c r="N439" s="52">
        <v>0</v>
      </c>
      <c r="O439" s="52">
        <v>0</v>
      </c>
      <c r="P439" s="48">
        <v>0</v>
      </c>
      <c r="Q439" s="88">
        <v>0</v>
      </c>
      <c r="R439" s="52">
        <v>0</v>
      </c>
      <c r="S439" s="52"/>
      <c r="T439" s="52"/>
      <c r="U439" s="48">
        <v>0</v>
      </c>
      <c r="V439" s="48"/>
      <c r="W439" s="52"/>
      <c r="X439" s="52">
        <v>0</v>
      </c>
      <c r="Y439" s="48">
        <v>0</v>
      </c>
      <c r="Z439" s="52">
        <v>0</v>
      </c>
      <c r="AA439" s="52">
        <v>0</v>
      </c>
    </row>
    <row r="440" spans="5:27" x14ac:dyDescent="0.25">
      <c r="E440" s="52">
        <v>0</v>
      </c>
      <c r="F440" s="48">
        <v>0</v>
      </c>
      <c r="G440" s="52">
        <v>0</v>
      </c>
      <c r="H440" s="52">
        <v>0</v>
      </c>
      <c r="I440" s="48"/>
      <c r="J440" s="48">
        <v>0</v>
      </c>
      <c r="K440" s="52">
        <v>0</v>
      </c>
      <c r="L440" s="52">
        <v>0</v>
      </c>
      <c r="M440" s="48">
        <v>0</v>
      </c>
      <c r="N440" s="52">
        <v>0</v>
      </c>
      <c r="O440" s="52">
        <v>0</v>
      </c>
      <c r="P440" s="48">
        <v>0</v>
      </c>
      <c r="Q440" s="88">
        <v>0</v>
      </c>
      <c r="R440" s="52">
        <v>0</v>
      </c>
      <c r="S440" s="52"/>
      <c r="T440" s="52"/>
      <c r="U440" s="48">
        <v>0</v>
      </c>
      <c r="V440" s="48"/>
      <c r="W440" s="52"/>
      <c r="X440" s="52">
        <v>0</v>
      </c>
      <c r="Y440" s="48">
        <v>0</v>
      </c>
      <c r="Z440" s="52">
        <v>0</v>
      </c>
      <c r="AA440" s="52">
        <v>0</v>
      </c>
    </row>
    <row r="441" spans="5:27" x14ac:dyDescent="0.25">
      <c r="E441" s="52">
        <v>0</v>
      </c>
      <c r="F441" s="48">
        <v>0</v>
      </c>
      <c r="G441" s="52">
        <v>0</v>
      </c>
      <c r="H441" s="52">
        <v>0</v>
      </c>
      <c r="I441" s="48"/>
      <c r="J441" s="48">
        <v>0</v>
      </c>
      <c r="K441" s="52">
        <v>0</v>
      </c>
      <c r="L441" s="52">
        <v>0</v>
      </c>
      <c r="M441" s="48">
        <v>0</v>
      </c>
      <c r="N441" s="52">
        <v>0</v>
      </c>
      <c r="O441" s="52">
        <v>0</v>
      </c>
      <c r="P441" s="48">
        <v>0</v>
      </c>
      <c r="Q441" s="88">
        <v>0</v>
      </c>
      <c r="R441" s="52">
        <v>0</v>
      </c>
      <c r="S441" s="52"/>
      <c r="T441" s="52"/>
      <c r="U441" s="48">
        <v>0</v>
      </c>
      <c r="V441" s="48"/>
      <c r="W441" s="52"/>
      <c r="X441" s="52">
        <v>0</v>
      </c>
      <c r="Y441" s="48">
        <v>0</v>
      </c>
      <c r="Z441" s="52">
        <v>0</v>
      </c>
      <c r="AA441" s="52">
        <v>0</v>
      </c>
    </row>
    <row r="442" spans="5:27" x14ac:dyDescent="0.25">
      <c r="E442" s="52">
        <v>0</v>
      </c>
      <c r="F442" s="48">
        <v>0</v>
      </c>
      <c r="G442" s="52">
        <v>0</v>
      </c>
      <c r="H442" s="52">
        <v>0</v>
      </c>
      <c r="I442" s="48"/>
      <c r="J442" s="48">
        <v>0</v>
      </c>
      <c r="K442" s="52">
        <v>0</v>
      </c>
      <c r="L442" s="52">
        <v>0</v>
      </c>
      <c r="M442" s="48">
        <v>0</v>
      </c>
      <c r="N442" s="52">
        <v>0</v>
      </c>
      <c r="O442" s="52">
        <v>0</v>
      </c>
      <c r="P442" s="48">
        <v>0</v>
      </c>
      <c r="Q442" s="88">
        <v>0</v>
      </c>
      <c r="R442" s="52">
        <v>0</v>
      </c>
      <c r="S442" s="52"/>
      <c r="T442" s="52"/>
      <c r="U442" s="48">
        <v>0</v>
      </c>
      <c r="V442" s="48"/>
      <c r="W442" s="52"/>
      <c r="X442" s="52">
        <v>0</v>
      </c>
      <c r="Y442" s="48">
        <v>0</v>
      </c>
      <c r="Z442" s="52">
        <v>0</v>
      </c>
      <c r="AA442" s="52">
        <v>0</v>
      </c>
    </row>
    <row r="443" spans="5:27" x14ac:dyDescent="0.25">
      <c r="E443" s="52">
        <v>0</v>
      </c>
      <c r="F443" s="48">
        <v>0</v>
      </c>
      <c r="G443" s="52">
        <v>0</v>
      </c>
      <c r="H443" s="52">
        <v>0</v>
      </c>
      <c r="I443" s="48"/>
      <c r="J443" s="48">
        <v>0</v>
      </c>
      <c r="K443" s="52">
        <v>0</v>
      </c>
      <c r="L443" s="52">
        <v>0</v>
      </c>
      <c r="M443" s="48">
        <v>0</v>
      </c>
      <c r="N443" s="52">
        <v>0</v>
      </c>
      <c r="O443" s="52">
        <v>0</v>
      </c>
      <c r="P443" s="48">
        <v>0</v>
      </c>
      <c r="Q443" s="88">
        <v>0</v>
      </c>
      <c r="R443" s="52">
        <v>0</v>
      </c>
      <c r="S443" s="52"/>
      <c r="T443" s="52"/>
      <c r="U443" s="48">
        <v>0</v>
      </c>
      <c r="V443" s="48"/>
      <c r="W443" s="52"/>
      <c r="X443" s="52">
        <v>0</v>
      </c>
      <c r="Y443" s="48">
        <v>0</v>
      </c>
      <c r="Z443" s="52">
        <v>0</v>
      </c>
      <c r="AA443" s="52">
        <v>0</v>
      </c>
    </row>
    <row r="444" spans="5:27" x14ac:dyDescent="0.25">
      <c r="E444" s="52">
        <v>0</v>
      </c>
      <c r="F444" s="48">
        <v>0</v>
      </c>
      <c r="G444" s="52">
        <v>0</v>
      </c>
      <c r="H444" s="52">
        <v>0</v>
      </c>
      <c r="I444" s="48"/>
      <c r="J444" s="48">
        <v>0</v>
      </c>
      <c r="K444" s="52">
        <v>0</v>
      </c>
      <c r="L444" s="52">
        <v>0</v>
      </c>
      <c r="M444" s="48">
        <v>0</v>
      </c>
      <c r="N444" s="52">
        <v>0</v>
      </c>
      <c r="O444" s="52">
        <v>0</v>
      </c>
      <c r="P444" s="48">
        <v>0</v>
      </c>
      <c r="Q444" s="88">
        <v>0</v>
      </c>
      <c r="R444" s="52">
        <v>0</v>
      </c>
      <c r="S444" s="52"/>
      <c r="T444" s="52"/>
      <c r="U444" s="48">
        <v>0</v>
      </c>
      <c r="V444" s="48"/>
      <c r="W444" s="52"/>
      <c r="X444" s="52">
        <v>0</v>
      </c>
      <c r="Y444" s="48">
        <v>0</v>
      </c>
      <c r="Z444" s="52">
        <v>0</v>
      </c>
      <c r="AA444" s="52">
        <v>0</v>
      </c>
    </row>
    <row r="445" spans="5:27" x14ac:dyDescent="0.25">
      <c r="E445" s="52">
        <v>0</v>
      </c>
      <c r="F445" s="48">
        <v>0</v>
      </c>
      <c r="G445" s="52">
        <v>0</v>
      </c>
      <c r="H445" s="52">
        <v>0</v>
      </c>
      <c r="I445" s="48"/>
      <c r="J445" s="48">
        <v>0</v>
      </c>
      <c r="K445" s="52">
        <v>0</v>
      </c>
      <c r="L445" s="52">
        <v>0</v>
      </c>
      <c r="M445" s="48">
        <v>0</v>
      </c>
      <c r="N445" s="52">
        <v>0</v>
      </c>
      <c r="O445" s="52">
        <v>0</v>
      </c>
      <c r="P445" s="48">
        <v>0</v>
      </c>
      <c r="Q445" s="88">
        <v>0</v>
      </c>
      <c r="R445" s="52">
        <v>0</v>
      </c>
      <c r="S445" s="52"/>
      <c r="T445" s="52"/>
      <c r="U445" s="48">
        <v>0</v>
      </c>
      <c r="V445" s="48"/>
      <c r="W445" s="52"/>
      <c r="X445" s="52">
        <v>0</v>
      </c>
      <c r="Y445" s="48">
        <v>0</v>
      </c>
      <c r="Z445" s="52">
        <v>0</v>
      </c>
      <c r="AA445" s="52">
        <v>0</v>
      </c>
    </row>
    <row r="446" spans="5:27" x14ac:dyDescent="0.25">
      <c r="E446" s="52">
        <v>0</v>
      </c>
      <c r="F446" s="48">
        <v>0</v>
      </c>
      <c r="G446" s="52">
        <v>0</v>
      </c>
      <c r="H446" s="52">
        <v>0</v>
      </c>
      <c r="I446" s="48"/>
      <c r="J446" s="48">
        <v>0</v>
      </c>
      <c r="K446" s="52">
        <v>0</v>
      </c>
      <c r="L446" s="52">
        <v>0</v>
      </c>
      <c r="M446" s="48">
        <v>0</v>
      </c>
      <c r="N446" s="52">
        <v>0</v>
      </c>
      <c r="O446" s="52">
        <v>0</v>
      </c>
      <c r="P446" s="48">
        <v>0</v>
      </c>
      <c r="Q446" s="88">
        <v>0</v>
      </c>
      <c r="R446" s="52">
        <v>0</v>
      </c>
      <c r="S446" s="52"/>
      <c r="T446" s="52"/>
      <c r="U446" s="48">
        <v>0</v>
      </c>
      <c r="V446" s="48"/>
      <c r="W446" s="52"/>
      <c r="X446" s="52">
        <v>0</v>
      </c>
      <c r="Y446" s="48">
        <v>0</v>
      </c>
      <c r="Z446" s="52">
        <v>0</v>
      </c>
      <c r="AA446" s="52">
        <v>0</v>
      </c>
    </row>
    <row r="447" spans="5:27" x14ac:dyDescent="0.25">
      <c r="E447" s="52">
        <v>0</v>
      </c>
      <c r="F447" s="48">
        <v>0</v>
      </c>
      <c r="G447" s="52">
        <v>0</v>
      </c>
      <c r="H447" s="52">
        <v>0</v>
      </c>
      <c r="I447" s="48"/>
      <c r="J447" s="48">
        <v>0</v>
      </c>
      <c r="K447" s="52">
        <v>0</v>
      </c>
      <c r="L447" s="52">
        <v>0</v>
      </c>
      <c r="M447" s="48">
        <v>0</v>
      </c>
      <c r="N447" s="52">
        <v>0</v>
      </c>
      <c r="O447" s="52">
        <v>0</v>
      </c>
      <c r="P447" s="48">
        <v>0</v>
      </c>
      <c r="Q447" s="88">
        <v>0</v>
      </c>
      <c r="R447" s="52">
        <v>0</v>
      </c>
      <c r="S447" s="52"/>
      <c r="T447" s="52"/>
      <c r="U447" s="48">
        <v>0</v>
      </c>
      <c r="V447" s="48"/>
      <c r="W447" s="52"/>
      <c r="X447" s="52">
        <v>0</v>
      </c>
      <c r="Y447" s="48">
        <v>0</v>
      </c>
      <c r="Z447" s="52">
        <v>0</v>
      </c>
      <c r="AA447" s="52">
        <v>0</v>
      </c>
    </row>
    <row r="448" spans="5:27" x14ac:dyDescent="0.25">
      <c r="E448" s="52">
        <v>0</v>
      </c>
      <c r="F448" s="48">
        <v>0</v>
      </c>
      <c r="G448" s="52">
        <v>0</v>
      </c>
      <c r="H448" s="52">
        <v>0</v>
      </c>
      <c r="I448" s="48"/>
      <c r="J448" s="48">
        <v>0</v>
      </c>
      <c r="K448" s="52">
        <v>0</v>
      </c>
      <c r="L448" s="52">
        <v>0</v>
      </c>
      <c r="M448" s="48">
        <v>0</v>
      </c>
      <c r="N448" s="52">
        <v>0</v>
      </c>
      <c r="O448" s="52">
        <v>0</v>
      </c>
      <c r="P448" s="48">
        <v>0</v>
      </c>
      <c r="Q448" s="88">
        <v>0</v>
      </c>
      <c r="R448" s="52">
        <v>0</v>
      </c>
      <c r="S448" s="52"/>
      <c r="T448" s="52"/>
      <c r="U448" s="48">
        <v>0</v>
      </c>
      <c r="V448" s="48"/>
      <c r="W448" s="52"/>
      <c r="X448" s="52">
        <v>0</v>
      </c>
      <c r="Y448" s="48">
        <v>0</v>
      </c>
      <c r="Z448" s="52">
        <v>0</v>
      </c>
      <c r="AA448" s="52">
        <v>0</v>
      </c>
    </row>
    <row r="449" spans="5:27" x14ac:dyDescent="0.25">
      <c r="E449" s="52">
        <v>0</v>
      </c>
      <c r="F449" s="48">
        <v>0</v>
      </c>
      <c r="G449" s="52">
        <v>0</v>
      </c>
      <c r="H449" s="52">
        <v>0</v>
      </c>
      <c r="I449" s="48"/>
      <c r="J449" s="48">
        <v>0</v>
      </c>
      <c r="K449" s="52">
        <v>0</v>
      </c>
      <c r="L449" s="52">
        <v>0</v>
      </c>
      <c r="M449" s="48">
        <v>0</v>
      </c>
      <c r="N449" s="52">
        <v>0</v>
      </c>
      <c r="O449" s="52">
        <v>0</v>
      </c>
      <c r="P449" s="48">
        <v>0</v>
      </c>
      <c r="Q449" s="88">
        <v>0</v>
      </c>
      <c r="R449" s="52">
        <v>0</v>
      </c>
      <c r="S449" s="52"/>
      <c r="T449" s="52"/>
      <c r="U449" s="48">
        <v>0</v>
      </c>
      <c r="V449" s="48"/>
      <c r="W449" s="52"/>
      <c r="X449" s="52">
        <v>0</v>
      </c>
      <c r="Y449" s="48">
        <v>0</v>
      </c>
      <c r="Z449" s="52">
        <v>0</v>
      </c>
      <c r="AA449" s="52">
        <v>0</v>
      </c>
    </row>
    <row r="450" spans="5:27" x14ac:dyDescent="0.25">
      <c r="E450" s="52">
        <v>0</v>
      </c>
      <c r="F450" s="48">
        <v>0</v>
      </c>
      <c r="G450" s="52">
        <v>0</v>
      </c>
      <c r="H450" s="52">
        <v>0</v>
      </c>
      <c r="I450" s="48"/>
      <c r="J450" s="48">
        <v>0</v>
      </c>
      <c r="K450" s="52">
        <v>0</v>
      </c>
      <c r="L450" s="52">
        <v>0</v>
      </c>
      <c r="M450" s="48">
        <v>0</v>
      </c>
      <c r="N450" s="52">
        <v>0</v>
      </c>
      <c r="O450" s="52">
        <v>0</v>
      </c>
      <c r="P450" s="48">
        <v>0</v>
      </c>
      <c r="Q450" s="88">
        <v>0</v>
      </c>
      <c r="R450" s="52">
        <v>0</v>
      </c>
      <c r="S450" s="52"/>
      <c r="T450" s="52"/>
      <c r="U450" s="48">
        <v>0</v>
      </c>
      <c r="V450" s="48"/>
      <c r="W450" s="52"/>
      <c r="X450" s="52">
        <v>0</v>
      </c>
      <c r="Y450" s="48">
        <v>0</v>
      </c>
      <c r="Z450" s="52">
        <v>0</v>
      </c>
      <c r="AA450" s="52">
        <v>0</v>
      </c>
    </row>
    <row r="451" spans="5:27" x14ac:dyDescent="0.25">
      <c r="E451" s="52">
        <v>0</v>
      </c>
      <c r="F451" s="48">
        <v>0</v>
      </c>
      <c r="G451" s="52">
        <v>0</v>
      </c>
      <c r="H451" s="52">
        <v>0</v>
      </c>
      <c r="I451" s="48"/>
      <c r="J451" s="48">
        <v>0</v>
      </c>
      <c r="K451" s="52">
        <v>0</v>
      </c>
      <c r="L451" s="52">
        <v>0</v>
      </c>
      <c r="M451" s="48">
        <v>0</v>
      </c>
      <c r="N451" s="52">
        <v>0</v>
      </c>
      <c r="O451" s="52">
        <v>0</v>
      </c>
      <c r="P451" s="48">
        <v>0</v>
      </c>
      <c r="Q451" s="88">
        <v>0</v>
      </c>
      <c r="R451" s="52">
        <v>0</v>
      </c>
      <c r="S451" s="52"/>
      <c r="T451" s="52"/>
      <c r="U451" s="48">
        <v>0</v>
      </c>
      <c r="V451" s="48"/>
      <c r="W451" s="52"/>
      <c r="X451" s="52">
        <v>0</v>
      </c>
      <c r="Y451" s="48">
        <v>0</v>
      </c>
      <c r="Z451" s="52">
        <v>0</v>
      </c>
      <c r="AA451" s="52">
        <v>0</v>
      </c>
    </row>
    <row r="452" spans="5:27" x14ac:dyDescent="0.25">
      <c r="E452" s="52">
        <v>0</v>
      </c>
      <c r="F452" s="48">
        <v>0</v>
      </c>
      <c r="G452" s="52">
        <v>0</v>
      </c>
      <c r="H452" s="52">
        <v>0</v>
      </c>
      <c r="I452" s="48"/>
      <c r="J452" s="48">
        <v>0</v>
      </c>
      <c r="K452" s="52">
        <v>0</v>
      </c>
      <c r="L452" s="52">
        <v>0</v>
      </c>
      <c r="M452" s="48">
        <v>0</v>
      </c>
      <c r="N452" s="52">
        <v>0</v>
      </c>
      <c r="O452" s="52">
        <v>0</v>
      </c>
      <c r="P452" s="48">
        <v>0</v>
      </c>
      <c r="Q452" s="88">
        <v>0</v>
      </c>
      <c r="R452" s="52">
        <v>0</v>
      </c>
      <c r="S452" s="52"/>
      <c r="T452" s="52"/>
      <c r="U452" s="48">
        <v>0</v>
      </c>
      <c r="V452" s="48"/>
      <c r="W452" s="52"/>
      <c r="X452" s="52">
        <v>0</v>
      </c>
      <c r="Y452" s="48">
        <v>0</v>
      </c>
      <c r="Z452" s="52">
        <v>0</v>
      </c>
      <c r="AA452" s="52">
        <v>0</v>
      </c>
    </row>
    <row r="453" spans="5:27" x14ac:dyDescent="0.25">
      <c r="E453" s="52">
        <v>0</v>
      </c>
      <c r="F453" s="48">
        <v>0</v>
      </c>
      <c r="G453" s="52">
        <v>0</v>
      </c>
      <c r="H453" s="52">
        <v>0</v>
      </c>
      <c r="I453" s="48"/>
      <c r="J453" s="48">
        <v>0</v>
      </c>
      <c r="K453" s="52">
        <v>0</v>
      </c>
      <c r="L453" s="52">
        <v>0</v>
      </c>
      <c r="M453" s="48">
        <v>0</v>
      </c>
      <c r="N453" s="52">
        <v>0</v>
      </c>
      <c r="O453" s="52">
        <v>0</v>
      </c>
      <c r="P453" s="48">
        <v>0</v>
      </c>
      <c r="Q453" s="88">
        <v>0</v>
      </c>
      <c r="R453" s="52">
        <v>0</v>
      </c>
      <c r="S453" s="52"/>
      <c r="T453" s="52"/>
      <c r="U453" s="48">
        <v>0</v>
      </c>
      <c r="V453" s="48"/>
      <c r="W453" s="52"/>
      <c r="X453" s="52">
        <v>0</v>
      </c>
      <c r="Y453" s="48">
        <v>0</v>
      </c>
      <c r="Z453" s="52">
        <v>0</v>
      </c>
      <c r="AA453" s="52">
        <v>0</v>
      </c>
    </row>
    <row r="454" spans="5:27" x14ac:dyDescent="0.25">
      <c r="E454" s="52">
        <v>0</v>
      </c>
      <c r="F454" s="48">
        <v>0</v>
      </c>
      <c r="G454" s="52">
        <v>0</v>
      </c>
      <c r="H454" s="52">
        <v>0</v>
      </c>
      <c r="I454" s="48"/>
      <c r="J454" s="48">
        <v>0</v>
      </c>
      <c r="K454" s="52">
        <v>0</v>
      </c>
      <c r="L454" s="52">
        <v>0</v>
      </c>
      <c r="M454" s="48">
        <v>0</v>
      </c>
      <c r="N454" s="52">
        <v>0</v>
      </c>
      <c r="O454" s="52">
        <v>0</v>
      </c>
      <c r="P454" s="48">
        <v>0</v>
      </c>
      <c r="Q454" s="88">
        <v>0</v>
      </c>
      <c r="R454" s="52">
        <v>0</v>
      </c>
      <c r="S454" s="52"/>
      <c r="T454" s="52"/>
      <c r="U454" s="48">
        <v>0</v>
      </c>
      <c r="V454" s="48"/>
      <c r="W454" s="52"/>
      <c r="X454" s="52">
        <v>0</v>
      </c>
      <c r="Y454" s="48">
        <v>0</v>
      </c>
      <c r="Z454" s="52">
        <v>0</v>
      </c>
      <c r="AA454" s="52">
        <v>0</v>
      </c>
    </row>
    <row r="455" spans="5:27" x14ac:dyDescent="0.25">
      <c r="E455" s="52">
        <v>0</v>
      </c>
      <c r="F455" s="48">
        <v>0</v>
      </c>
      <c r="G455" s="52">
        <v>0</v>
      </c>
      <c r="H455" s="52">
        <v>0</v>
      </c>
      <c r="I455" s="48"/>
      <c r="J455" s="48">
        <v>0</v>
      </c>
      <c r="K455" s="52">
        <v>0</v>
      </c>
      <c r="L455" s="52">
        <v>0</v>
      </c>
      <c r="M455" s="48">
        <v>0</v>
      </c>
      <c r="N455" s="52">
        <v>0</v>
      </c>
      <c r="O455" s="52">
        <v>0</v>
      </c>
      <c r="P455" s="48">
        <v>0</v>
      </c>
      <c r="Q455" s="88">
        <v>0</v>
      </c>
      <c r="R455" s="52">
        <v>0</v>
      </c>
      <c r="S455" s="52"/>
      <c r="T455" s="52"/>
      <c r="U455" s="48">
        <v>0</v>
      </c>
      <c r="V455" s="48"/>
      <c r="W455" s="52"/>
      <c r="X455" s="52">
        <v>0</v>
      </c>
      <c r="Y455" s="48">
        <v>0</v>
      </c>
      <c r="Z455" s="52">
        <v>0</v>
      </c>
      <c r="AA455" s="52">
        <v>0</v>
      </c>
    </row>
    <row r="456" spans="5:27" x14ac:dyDescent="0.25">
      <c r="E456" s="52">
        <v>0</v>
      </c>
      <c r="F456" s="48">
        <v>0</v>
      </c>
      <c r="G456" s="52">
        <v>0</v>
      </c>
      <c r="H456" s="52">
        <v>0</v>
      </c>
      <c r="I456" s="48"/>
      <c r="J456" s="48">
        <v>0</v>
      </c>
      <c r="K456" s="52">
        <v>0</v>
      </c>
      <c r="L456" s="52">
        <v>0</v>
      </c>
      <c r="M456" s="48">
        <v>0</v>
      </c>
      <c r="N456" s="52">
        <v>0</v>
      </c>
      <c r="O456" s="52">
        <v>0</v>
      </c>
      <c r="P456" s="48">
        <v>0</v>
      </c>
      <c r="Q456" s="88">
        <v>0</v>
      </c>
      <c r="R456" s="52">
        <v>0</v>
      </c>
      <c r="S456" s="52"/>
      <c r="T456" s="52"/>
      <c r="U456" s="48">
        <v>0</v>
      </c>
      <c r="V456" s="48"/>
      <c r="W456" s="52"/>
      <c r="X456" s="52">
        <v>0</v>
      </c>
      <c r="Y456" s="48">
        <v>0</v>
      </c>
      <c r="Z456" s="52">
        <v>0</v>
      </c>
      <c r="AA456" s="52">
        <v>0</v>
      </c>
    </row>
    <row r="457" spans="5:27" x14ac:dyDescent="0.25">
      <c r="E457" s="52">
        <v>0</v>
      </c>
      <c r="F457" s="48">
        <v>0</v>
      </c>
      <c r="G457" s="52">
        <v>0</v>
      </c>
      <c r="H457" s="52">
        <v>0</v>
      </c>
      <c r="I457" s="48"/>
      <c r="J457" s="48">
        <v>0</v>
      </c>
      <c r="K457" s="52">
        <v>0</v>
      </c>
      <c r="L457" s="52">
        <v>0</v>
      </c>
      <c r="M457" s="48">
        <v>0</v>
      </c>
      <c r="N457" s="52">
        <v>0</v>
      </c>
      <c r="O457" s="52">
        <v>0</v>
      </c>
      <c r="P457" s="48">
        <v>0</v>
      </c>
      <c r="Q457" s="88">
        <v>0</v>
      </c>
      <c r="R457" s="52">
        <v>0</v>
      </c>
      <c r="S457" s="52"/>
      <c r="T457" s="52"/>
      <c r="U457" s="48">
        <v>0</v>
      </c>
      <c r="V457" s="48"/>
      <c r="W457" s="52"/>
      <c r="X457" s="52">
        <v>0</v>
      </c>
      <c r="Y457" s="48">
        <v>0</v>
      </c>
      <c r="Z457" s="52">
        <v>0</v>
      </c>
      <c r="AA457" s="52">
        <v>0</v>
      </c>
    </row>
    <row r="458" spans="5:27" x14ac:dyDescent="0.25">
      <c r="E458" s="52">
        <v>0</v>
      </c>
      <c r="F458" s="48">
        <v>0</v>
      </c>
      <c r="G458" s="52">
        <v>0</v>
      </c>
      <c r="H458" s="52">
        <v>0</v>
      </c>
      <c r="I458" s="48"/>
      <c r="J458" s="48">
        <v>0</v>
      </c>
      <c r="K458" s="52">
        <v>0</v>
      </c>
      <c r="L458" s="52">
        <v>0</v>
      </c>
      <c r="M458" s="48">
        <v>0</v>
      </c>
      <c r="N458" s="52">
        <v>0</v>
      </c>
      <c r="O458" s="52">
        <v>0</v>
      </c>
      <c r="P458" s="48">
        <v>0</v>
      </c>
      <c r="Q458" s="88">
        <v>0</v>
      </c>
      <c r="R458" s="52">
        <v>0</v>
      </c>
      <c r="S458" s="52"/>
      <c r="T458" s="52"/>
      <c r="U458" s="48">
        <v>0</v>
      </c>
      <c r="V458" s="48"/>
      <c r="W458" s="52"/>
      <c r="X458" s="52">
        <v>0</v>
      </c>
      <c r="Y458" s="48">
        <v>0</v>
      </c>
      <c r="Z458" s="52">
        <v>0</v>
      </c>
      <c r="AA458" s="52">
        <v>0</v>
      </c>
    </row>
    <row r="459" spans="5:27" x14ac:dyDescent="0.25">
      <c r="E459" s="52">
        <v>0</v>
      </c>
      <c r="F459" s="48">
        <v>0</v>
      </c>
      <c r="G459" s="52">
        <v>0</v>
      </c>
      <c r="H459" s="52">
        <v>0</v>
      </c>
      <c r="I459" s="48"/>
      <c r="J459" s="48">
        <v>0</v>
      </c>
      <c r="K459" s="52">
        <v>0</v>
      </c>
      <c r="L459" s="52">
        <v>0</v>
      </c>
      <c r="M459" s="48">
        <v>0</v>
      </c>
      <c r="N459" s="52">
        <v>0</v>
      </c>
      <c r="O459" s="52">
        <v>0</v>
      </c>
      <c r="P459" s="48">
        <v>0</v>
      </c>
      <c r="Q459" s="88">
        <v>0</v>
      </c>
      <c r="R459" s="52">
        <v>0</v>
      </c>
      <c r="S459" s="52"/>
      <c r="T459" s="52"/>
      <c r="U459" s="48">
        <v>0</v>
      </c>
      <c r="V459" s="48"/>
      <c r="W459" s="52"/>
      <c r="X459" s="52">
        <v>0</v>
      </c>
      <c r="Y459" s="48">
        <v>0</v>
      </c>
      <c r="Z459" s="52">
        <v>0</v>
      </c>
      <c r="AA459" s="52">
        <v>0</v>
      </c>
    </row>
    <row r="460" spans="5:27" x14ac:dyDescent="0.25">
      <c r="E460" s="52">
        <v>0</v>
      </c>
      <c r="F460" s="48">
        <v>0</v>
      </c>
      <c r="G460" s="52">
        <v>0</v>
      </c>
      <c r="H460" s="52">
        <v>0</v>
      </c>
      <c r="I460" s="48"/>
      <c r="J460" s="48">
        <v>0</v>
      </c>
      <c r="K460" s="52">
        <v>0</v>
      </c>
      <c r="L460" s="52">
        <v>0</v>
      </c>
      <c r="M460" s="48">
        <v>0</v>
      </c>
      <c r="N460" s="52">
        <v>0</v>
      </c>
      <c r="O460" s="52">
        <v>0</v>
      </c>
      <c r="P460" s="48">
        <v>0</v>
      </c>
      <c r="Q460" s="88">
        <v>0</v>
      </c>
      <c r="R460" s="52">
        <v>0</v>
      </c>
      <c r="S460" s="52"/>
      <c r="T460" s="52"/>
      <c r="U460" s="48">
        <v>0</v>
      </c>
      <c r="V460" s="48"/>
      <c r="W460" s="52"/>
      <c r="X460" s="52">
        <v>0</v>
      </c>
      <c r="Y460" s="48">
        <v>0</v>
      </c>
      <c r="Z460" s="52">
        <v>0</v>
      </c>
      <c r="AA460" s="52">
        <v>0</v>
      </c>
    </row>
    <row r="461" spans="5:27" x14ac:dyDescent="0.25">
      <c r="E461" s="52">
        <v>0</v>
      </c>
      <c r="F461" s="48">
        <v>0</v>
      </c>
      <c r="G461" s="52">
        <v>0</v>
      </c>
      <c r="H461" s="52">
        <v>0</v>
      </c>
      <c r="I461" s="48"/>
      <c r="J461" s="48">
        <v>0</v>
      </c>
      <c r="K461" s="52">
        <v>0</v>
      </c>
      <c r="L461" s="52">
        <v>0</v>
      </c>
      <c r="M461" s="48">
        <v>0</v>
      </c>
      <c r="N461" s="52">
        <v>0</v>
      </c>
      <c r="O461" s="52">
        <v>0</v>
      </c>
      <c r="P461" s="48">
        <v>0</v>
      </c>
      <c r="Q461" s="88">
        <v>0</v>
      </c>
      <c r="R461" s="52">
        <v>0</v>
      </c>
      <c r="S461" s="52"/>
      <c r="T461" s="52"/>
      <c r="U461" s="48">
        <v>0</v>
      </c>
      <c r="V461" s="48"/>
      <c r="W461" s="52"/>
      <c r="X461" s="52">
        <v>0</v>
      </c>
      <c r="Y461" s="48">
        <v>0</v>
      </c>
      <c r="Z461" s="52">
        <v>0</v>
      </c>
      <c r="AA461" s="52">
        <v>0</v>
      </c>
    </row>
    <row r="462" spans="5:27" x14ac:dyDescent="0.25">
      <c r="E462" s="52">
        <v>0</v>
      </c>
      <c r="F462" s="48">
        <v>0</v>
      </c>
      <c r="G462" s="52">
        <v>0</v>
      </c>
      <c r="H462" s="52">
        <v>0</v>
      </c>
      <c r="I462" s="48"/>
      <c r="J462" s="48">
        <v>0</v>
      </c>
      <c r="K462" s="52">
        <v>0</v>
      </c>
      <c r="L462" s="52">
        <v>0</v>
      </c>
      <c r="M462" s="48">
        <v>0</v>
      </c>
      <c r="N462" s="52">
        <v>0</v>
      </c>
      <c r="O462" s="52">
        <v>0</v>
      </c>
      <c r="P462" s="48">
        <v>0</v>
      </c>
      <c r="Q462" s="88">
        <v>0</v>
      </c>
      <c r="R462" s="52">
        <v>0</v>
      </c>
      <c r="S462" s="52"/>
      <c r="T462" s="52"/>
      <c r="U462" s="48">
        <v>0</v>
      </c>
      <c r="V462" s="48"/>
      <c r="W462" s="52"/>
      <c r="X462" s="52">
        <v>0</v>
      </c>
      <c r="Y462" s="48">
        <v>0</v>
      </c>
      <c r="Z462" s="52">
        <v>0</v>
      </c>
      <c r="AA462" s="52">
        <v>0</v>
      </c>
    </row>
    <row r="463" spans="5:27" x14ac:dyDescent="0.25">
      <c r="E463" s="52">
        <v>0</v>
      </c>
      <c r="F463" s="48">
        <v>0</v>
      </c>
      <c r="G463" s="52">
        <v>0</v>
      </c>
      <c r="H463" s="52">
        <v>0</v>
      </c>
      <c r="I463" s="48"/>
      <c r="J463" s="48">
        <v>0</v>
      </c>
      <c r="K463" s="52">
        <v>0</v>
      </c>
      <c r="L463" s="52">
        <v>0</v>
      </c>
      <c r="M463" s="48">
        <v>0</v>
      </c>
      <c r="N463" s="52">
        <v>0</v>
      </c>
      <c r="O463" s="52">
        <v>0</v>
      </c>
      <c r="P463" s="48">
        <v>0</v>
      </c>
      <c r="Q463" s="88">
        <v>0</v>
      </c>
      <c r="R463" s="52">
        <v>0</v>
      </c>
      <c r="S463" s="52"/>
      <c r="T463" s="52"/>
      <c r="U463" s="48">
        <v>0</v>
      </c>
      <c r="V463" s="48"/>
      <c r="W463" s="52"/>
      <c r="X463" s="52">
        <v>0</v>
      </c>
      <c r="Y463" s="48">
        <v>0</v>
      </c>
      <c r="Z463" s="52">
        <v>0</v>
      </c>
      <c r="AA463" s="52">
        <v>0</v>
      </c>
    </row>
    <row r="464" spans="5:27" x14ac:dyDescent="0.25">
      <c r="E464" s="52">
        <v>0</v>
      </c>
      <c r="F464" s="48">
        <v>0</v>
      </c>
      <c r="G464" s="52">
        <v>0</v>
      </c>
      <c r="H464" s="52">
        <v>0</v>
      </c>
      <c r="I464" s="48"/>
      <c r="J464" s="48">
        <v>0</v>
      </c>
      <c r="K464" s="52">
        <v>0</v>
      </c>
      <c r="L464" s="52">
        <v>0</v>
      </c>
      <c r="M464" s="48">
        <v>0</v>
      </c>
      <c r="N464" s="52">
        <v>0</v>
      </c>
      <c r="O464" s="52">
        <v>0</v>
      </c>
      <c r="P464" s="48">
        <v>0</v>
      </c>
      <c r="Q464" s="88">
        <v>0</v>
      </c>
      <c r="R464" s="52">
        <v>0</v>
      </c>
      <c r="S464" s="52"/>
      <c r="T464" s="52"/>
      <c r="U464" s="48">
        <v>0</v>
      </c>
      <c r="V464" s="48"/>
      <c r="W464" s="52"/>
      <c r="X464" s="52">
        <v>0</v>
      </c>
      <c r="Y464" s="48">
        <v>0</v>
      </c>
      <c r="Z464" s="52">
        <v>0</v>
      </c>
      <c r="AA464" s="52">
        <v>0</v>
      </c>
    </row>
    <row r="465" spans="5:27" x14ac:dyDescent="0.25">
      <c r="E465" s="52">
        <v>0</v>
      </c>
      <c r="F465" s="48">
        <v>0</v>
      </c>
      <c r="G465" s="52">
        <v>0</v>
      </c>
      <c r="H465" s="52">
        <v>0</v>
      </c>
      <c r="I465" s="48"/>
      <c r="J465" s="48">
        <v>0</v>
      </c>
      <c r="K465" s="52">
        <v>0</v>
      </c>
      <c r="L465" s="52">
        <v>0</v>
      </c>
      <c r="M465" s="48">
        <v>0</v>
      </c>
      <c r="N465" s="52">
        <v>0</v>
      </c>
      <c r="O465" s="52">
        <v>0</v>
      </c>
      <c r="P465" s="48">
        <v>0</v>
      </c>
      <c r="Q465" s="88">
        <v>0</v>
      </c>
      <c r="R465" s="52">
        <v>0</v>
      </c>
      <c r="S465" s="52"/>
      <c r="T465" s="52"/>
      <c r="U465" s="48">
        <v>0</v>
      </c>
      <c r="V465" s="48"/>
      <c r="W465" s="52"/>
      <c r="X465" s="52">
        <v>0</v>
      </c>
      <c r="Y465" s="48">
        <v>0</v>
      </c>
      <c r="Z465" s="52">
        <v>0</v>
      </c>
      <c r="AA465" s="52">
        <v>0</v>
      </c>
    </row>
    <row r="466" spans="5:27" x14ac:dyDescent="0.25">
      <c r="E466" s="52">
        <v>0</v>
      </c>
      <c r="F466" s="48">
        <v>0</v>
      </c>
      <c r="G466" s="52">
        <v>0</v>
      </c>
      <c r="H466" s="52">
        <v>0</v>
      </c>
      <c r="I466" s="48"/>
      <c r="J466" s="48">
        <v>0</v>
      </c>
      <c r="K466" s="52">
        <v>0</v>
      </c>
      <c r="L466" s="52">
        <v>0</v>
      </c>
      <c r="M466" s="48">
        <v>0</v>
      </c>
      <c r="N466" s="52">
        <v>0</v>
      </c>
      <c r="O466" s="52">
        <v>0</v>
      </c>
      <c r="P466" s="48">
        <v>0</v>
      </c>
      <c r="Q466" s="88">
        <v>0</v>
      </c>
      <c r="R466" s="52">
        <v>0</v>
      </c>
      <c r="S466" s="52"/>
      <c r="T466" s="52"/>
      <c r="U466" s="48">
        <v>0</v>
      </c>
      <c r="V466" s="48"/>
      <c r="W466" s="52"/>
      <c r="X466" s="52">
        <v>0</v>
      </c>
      <c r="Y466" s="48">
        <v>0</v>
      </c>
      <c r="Z466" s="52">
        <v>0</v>
      </c>
      <c r="AA466" s="52">
        <v>0</v>
      </c>
    </row>
    <row r="467" spans="5:27" x14ac:dyDescent="0.25">
      <c r="E467" s="52">
        <v>0</v>
      </c>
      <c r="F467" s="48">
        <v>0</v>
      </c>
      <c r="G467" s="52">
        <v>0</v>
      </c>
      <c r="H467" s="52">
        <v>0</v>
      </c>
      <c r="I467" s="48"/>
      <c r="J467" s="48">
        <v>0</v>
      </c>
      <c r="K467" s="52">
        <v>0</v>
      </c>
      <c r="L467" s="52">
        <v>0</v>
      </c>
      <c r="M467" s="48">
        <v>0</v>
      </c>
      <c r="N467" s="52">
        <v>0</v>
      </c>
      <c r="O467" s="52">
        <v>0</v>
      </c>
      <c r="P467" s="48">
        <v>0</v>
      </c>
      <c r="Q467" s="88">
        <v>0</v>
      </c>
      <c r="R467" s="52">
        <v>0</v>
      </c>
      <c r="S467" s="52"/>
      <c r="T467" s="52"/>
      <c r="U467" s="48">
        <v>0</v>
      </c>
      <c r="V467" s="48"/>
      <c r="W467" s="52"/>
      <c r="X467" s="52">
        <v>0</v>
      </c>
      <c r="Y467" s="48">
        <v>0</v>
      </c>
      <c r="Z467" s="52">
        <v>0</v>
      </c>
      <c r="AA467" s="52">
        <v>0</v>
      </c>
    </row>
    <row r="468" spans="5:27" x14ac:dyDescent="0.25">
      <c r="E468" s="52">
        <v>0</v>
      </c>
      <c r="F468" s="48">
        <v>0</v>
      </c>
      <c r="G468" s="52">
        <v>0</v>
      </c>
      <c r="H468" s="52">
        <v>0</v>
      </c>
      <c r="I468" s="48"/>
      <c r="J468" s="48">
        <v>0</v>
      </c>
      <c r="K468" s="52">
        <v>0</v>
      </c>
      <c r="L468" s="52">
        <v>0</v>
      </c>
      <c r="M468" s="48">
        <v>0</v>
      </c>
      <c r="N468" s="52">
        <v>0</v>
      </c>
      <c r="O468" s="52">
        <v>0</v>
      </c>
      <c r="P468" s="48">
        <v>0</v>
      </c>
      <c r="Q468" s="88">
        <v>0</v>
      </c>
      <c r="R468" s="52">
        <v>0</v>
      </c>
      <c r="S468" s="52"/>
      <c r="T468" s="52"/>
      <c r="U468" s="48">
        <v>0</v>
      </c>
      <c r="V468" s="48"/>
      <c r="W468" s="52"/>
      <c r="X468" s="52">
        <v>0</v>
      </c>
      <c r="Y468" s="48">
        <v>0</v>
      </c>
      <c r="Z468" s="52">
        <v>0</v>
      </c>
      <c r="AA468" s="52">
        <v>0</v>
      </c>
    </row>
    <row r="469" spans="5:27" x14ac:dyDescent="0.25">
      <c r="E469" s="52">
        <v>0</v>
      </c>
      <c r="F469" s="48">
        <v>0</v>
      </c>
      <c r="G469" s="52">
        <v>0</v>
      </c>
      <c r="H469" s="52">
        <v>0</v>
      </c>
      <c r="I469" s="48"/>
      <c r="J469" s="48">
        <v>0</v>
      </c>
      <c r="K469" s="52">
        <v>0</v>
      </c>
      <c r="L469" s="52">
        <v>0</v>
      </c>
      <c r="M469" s="48">
        <v>0</v>
      </c>
      <c r="N469" s="52">
        <v>0</v>
      </c>
      <c r="O469" s="52">
        <v>0</v>
      </c>
      <c r="P469" s="48">
        <v>0</v>
      </c>
      <c r="Q469" s="88">
        <v>0</v>
      </c>
      <c r="R469" s="52">
        <v>0</v>
      </c>
      <c r="S469" s="52"/>
      <c r="T469" s="52"/>
      <c r="U469" s="48">
        <v>0</v>
      </c>
      <c r="V469" s="48"/>
      <c r="W469" s="52"/>
      <c r="X469" s="52">
        <v>0</v>
      </c>
      <c r="Y469" s="48">
        <v>0</v>
      </c>
      <c r="Z469" s="52">
        <v>0</v>
      </c>
      <c r="AA469" s="52">
        <v>0</v>
      </c>
    </row>
    <row r="470" spans="5:27" x14ac:dyDescent="0.25">
      <c r="E470" s="52">
        <v>0</v>
      </c>
      <c r="F470" s="48">
        <v>0</v>
      </c>
      <c r="G470" s="52">
        <v>0</v>
      </c>
      <c r="H470" s="52">
        <v>0</v>
      </c>
      <c r="I470" s="48"/>
      <c r="J470" s="48">
        <v>0</v>
      </c>
      <c r="K470" s="52">
        <v>0</v>
      </c>
      <c r="L470" s="52">
        <v>0</v>
      </c>
      <c r="M470" s="48">
        <v>0</v>
      </c>
      <c r="N470" s="52">
        <v>0</v>
      </c>
      <c r="O470" s="52">
        <v>0</v>
      </c>
      <c r="P470" s="48">
        <v>0</v>
      </c>
      <c r="Q470" s="88">
        <v>0</v>
      </c>
      <c r="R470" s="52">
        <v>0</v>
      </c>
      <c r="S470" s="52"/>
      <c r="T470" s="52"/>
      <c r="U470" s="48">
        <v>0</v>
      </c>
      <c r="V470" s="48"/>
      <c r="W470" s="52"/>
      <c r="X470" s="52">
        <v>0</v>
      </c>
      <c r="Y470" s="48">
        <v>0</v>
      </c>
      <c r="Z470" s="52">
        <v>0</v>
      </c>
      <c r="AA470" s="52">
        <v>0</v>
      </c>
    </row>
    <row r="471" spans="5:27" x14ac:dyDescent="0.25">
      <c r="E471" s="52">
        <v>0</v>
      </c>
      <c r="F471" s="48">
        <v>0</v>
      </c>
      <c r="G471" s="52">
        <v>0</v>
      </c>
      <c r="H471" s="52">
        <v>0</v>
      </c>
      <c r="I471" s="48"/>
      <c r="J471" s="48">
        <v>0</v>
      </c>
      <c r="K471" s="52">
        <v>0</v>
      </c>
      <c r="L471" s="52">
        <v>0</v>
      </c>
      <c r="M471" s="48">
        <v>0</v>
      </c>
      <c r="N471" s="52">
        <v>0</v>
      </c>
      <c r="O471" s="52">
        <v>0</v>
      </c>
      <c r="P471" s="48">
        <v>0</v>
      </c>
      <c r="Q471" s="88">
        <v>0</v>
      </c>
      <c r="R471" s="52">
        <v>0</v>
      </c>
      <c r="S471" s="52"/>
      <c r="T471" s="52"/>
      <c r="U471" s="48">
        <v>0</v>
      </c>
      <c r="V471" s="48"/>
      <c r="W471" s="52"/>
      <c r="X471" s="52">
        <v>0</v>
      </c>
      <c r="Y471" s="48">
        <v>0</v>
      </c>
      <c r="Z471" s="52">
        <v>0</v>
      </c>
      <c r="AA471" s="52">
        <v>0</v>
      </c>
    </row>
    <row r="472" spans="5:27" x14ac:dyDescent="0.25">
      <c r="E472" s="52">
        <v>0</v>
      </c>
      <c r="F472" s="48">
        <v>0</v>
      </c>
      <c r="G472" s="52">
        <v>0</v>
      </c>
      <c r="H472" s="52">
        <v>0</v>
      </c>
      <c r="I472" s="48"/>
      <c r="J472" s="48">
        <v>0</v>
      </c>
      <c r="K472" s="52">
        <v>0</v>
      </c>
      <c r="L472" s="52">
        <v>0</v>
      </c>
      <c r="M472" s="48">
        <v>0</v>
      </c>
      <c r="N472" s="52">
        <v>0</v>
      </c>
      <c r="O472" s="52">
        <v>0</v>
      </c>
      <c r="P472" s="48">
        <v>0</v>
      </c>
      <c r="Q472" s="88">
        <v>0</v>
      </c>
      <c r="R472" s="52">
        <v>0</v>
      </c>
      <c r="S472" s="52"/>
      <c r="T472" s="52"/>
      <c r="U472" s="48">
        <v>0</v>
      </c>
      <c r="V472" s="48"/>
      <c r="W472" s="52"/>
      <c r="X472" s="52">
        <v>0</v>
      </c>
      <c r="Y472" s="48">
        <v>0</v>
      </c>
      <c r="Z472" s="52">
        <v>0</v>
      </c>
      <c r="AA472" s="52">
        <v>0</v>
      </c>
    </row>
    <row r="473" spans="5:27" x14ac:dyDescent="0.25">
      <c r="E473" s="52">
        <v>0</v>
      </c>
      <c r="F473" s="48">
        <v>0</v>
      </c>
      <c r="G473" s="52">
        <v>0</v>
      </c>
      <c r="H473" s="52">
        <v>0</v>
      </c>
      <c r="I473" s="48"/>
      <c r="J473" s="48">
        <v>0</v>
      </c>
      <c r="K473" s="52">
        <v>0</v>
      </c>
      <c r="L473" s="52">
        <v>0</v>
      </c>
      <c r="M473" s="48">
        <v>0</v>
      </c>
      <c r="N473" s="52">
        <v>0</v>
      </c>
      <c r="O473" s="52">
        <v>0</v>
      </c>
      <c r="P473" s="48">
        <v>0</v>
      </c>
      <c r="Q473" s="88">
        <v>0</v>
      </c>
      <c r="R473" s="52">
        <v>0</v>
      </c>
      <c r="S473" s="52"/>
      <c r="T473" s="52"/>
      <c r="U473" s="48">
        <v>0</v>
      </c>
      <c r="V473" s="48"/>
      <c r="W473" s="52"/>
      <c r="X473" s="52">
        <v>0</v>
      </c>
      <c r="Y473" s="48">
        <v>0</v>
      </c>
      <c r="Z473" s="52">
        <v>0</v>
      </c>
      <c r="AA473" s="52">
        <v>0</v>
      </c>
    </row>
    <row r="474" spans="5:27" x14ac:dyDescent="0.25">
      <c r="E474" s="52">
        <v>0</v>
      </c>
      <c r="F474" s="48">
        <v>0</v>
      </c>
      <c r="G474" s="52">
        <v>0</v>
      </c>
      <c r="H474" s="52">
        <v>0</v>
      </c>
      <c r="I474" s="48"/>
      <c r="J474" s="48">
        <v>0</v>
      </c>
      <c r="K474" s="52">
        <v>0</v>
      </c>
      <c r="L474" s="52">
        <v>0</v>
      </c>
      <c r="M474" s="48">
        <v>0</v>
      </c>
      <c r="N474" s="52">
        <v>0</v>
      </c>
      <c r="O474" s="52">
        <v>0</v>
      </c>
      <c r="P474" s="48">
        <v>0</v>
      </c>
      <c r="Q474" s="88">
        <v>0</v>
      </c>
      <c r="R474" s="52">
        <v>0</v>
      </c>
      <c r="S474" s="52"/>
      <c r="T474" s="52"/>
      <c r="U474" s="48">
        <v>0</v>
      </c>
      <c r="V474" s="48"/>
      <c r="W474" s="52"/>
      <c r="X474" s="52">
        <v>0</v>
      </c>
      <c r="Y474" s="48">
        <v>0</v>
      </c>
      <c r="Z474" s="52">
        <v>0</v>
      </c>
      <c r="AA474" s="52">
        <v>0</v>
      </c>
    </row>
    <row r="475" spans="5:27" x14ac:dyDescent="0.25">
      <c r="E475" s="52">
        <v>0</v>
      </c>
      <c r="F475" s="48">
        <v>0</v>
      </c>
      <c r="G475" s="52">
        <v>0</v>
      </c>
      <c r="H475" s="52">
        <v>0</v>
      </c>
      <c r="I475" s="48"/>
      <c r="J475" s="48">
        <v>0</v>
      </c>
      <c r="K475" s="52">
        <v>0</v>
      </c>
      <c r="L475" s="52">
        <v>0</v>
      </c>
      <c r="M475" s="48">
        <v>0</v>
      </c>
      <c r="N475" s="52">
        <v>0</v>
      </c>
      <c r="O475" s="52">
        <v>0</v>
      </c>
      <c r="P475" s="48">
        <v>0</v>
      </c>
      <c r="Q475" s="88">
        <v>0</v>
      </c>
      <c r="R475" s="52">
        <v>0</v>
      </c>
      <c r="S475" s="52"/>
      <c r="T475" s="52"/>
      <c r="U475" s="48">
        <v>0</v>
      </c>
      <c r="V475" s="48"/>
      <c r="W475" s="52"/>
      <c r="X475" s="52">
        <v>0</v>
      </c>
      <c r="Y475" s="48">
        <v>0</v>
      </c>
      <c r="Z475" s="52">
        <v>0</v>
      </c>
      <c r="AA475" s="52">
        <v>0</v>
      </c>
    </row>
    <row r="476" spans="5:27" x14ac:dyDescent="0.25">
      <c r="E476" s="52">
        <v>0</v>
      </c>
      <c r="F476" s="48">
        <v>0</v>
      </c>
      <c r="G476" s="52">
        <v>0</v>
      </c>
      <c r="H476" s="52">
        <v>0</v>
      </c>
      <c r="I476" s="48"/>
      <c r="J476" s="48">
        <v>0</v>
      </c>
      <c r="K476" s="52">
        <v>0</v>
      </c>
      <c r="L476" s="52">
        <v>0</v>
      </c>
      <c r="M476" s="48">
        <v>0</v>
      </c>
      <c r="N476" s="52">
        <v>0</v>
      </c>
      <c r="O476" s="52">
        <v>0</v>
      </c>
      <c r="P476" s="48">
        <v>0</v>
      </c>
      <c r="Q476" s="88">
        <v>0</v>
      </c>
      <c r="R476" s="52">
        <v>0</v>
      </c>
      <c r="S476" s="52"/>
      <c r="T476" s="52"/>
      <c r="U476" s="48">
        <v>0</v>
      </c>
      <c r="V476" s="48"/>
      <c r="W476" s="52"/>
      <c r="X476" s="52">
        <v>0</v>
      </c>
      <c r="Y476" s="48">
        <v>0</v>
      </c>
      <c r="Z476" s="52">
        <v>0</v>
      </c>
      <c r="AA476" s="52">
        <v>0</v>
      </c>
    </row>
    <row r="477" spans="5:27" x14ac:dyDescent="0.25">
      <c r="E477" s="52">
        <v>0</v>
      </c>
      <c r="F477" s="48">
        <v>0</v>
      </c>
      <c r="G477" s="52">
        <v>0</v>
      </c>
      <c r="H477" s="52">
        <v>0</v>
      </c>
      <c r="I477" s="48"/>
      <c r="J477" s="48">
        <v>0</v>
      </c>
      <c r="K477" s="52">
        <v>0</v>
      </c>
      <c r="L477" s="52">
        <v>0</v>
      </c>
      <c r="M477" s="48">
        <v>0</v>
      </c>
      <c r="N477" s="52">
        <v>0</v>
      </c>
      <c r="O477" s="52">
        <v>0</v>
      </c>
      <c r="P477" s="48">
        <v>0</v>
      </c>
      <c r="Q477" s="88">
        <v>0</v>
      </c>
      <c r="R477" s="52">
        <v>0</v>
      </c>
      <c r="S477" s="52"/>
      <c r="T477" s="52"/>
      <c r="U477" s="48">
        <v>0</v>
      </c>
      <c r="V477" s="48"/>
      <c r="W477" s="52"/>
      <c r="X477" s="52">
        <v>0</v>
      </c>
      <c r="Y477" s="48">
        <v>0</v>
      </c>
      <c r="Z477" s="52">
        <v>0</v>
      </c>
      <c r="AA477" s="52">
        <v>0</v>
      </c>
    </row>
    <row r="478" spans="5:27" x14ac:dyDescent="0.25">
      <c r="E478" s="52">
        <v>0</v>
      </c>
      <c r="F478" s="48">
        <v>0</v>
      </c>
      <c r="G478" s="52">
        <v>0</v>
      </c>
      <c r="H478" s="52">
        <v>0</v>
      </c>
      <c r="I478" s="48"/>
      <c r="J478" s="48">
        <v>0</v>
      </c>
      <c r="K478" s="52">
        <v>0</v>
      </c>
      <c r="L478" s="52">
        <v>0</v>
      </c>
      <c r="M478" s="48">
        <v>0</v>
      </c>
      <c r="N478" s="52">
        <v>0</v>
      </c>
      <c r="O478" s="52">
        <v>0</v>
      </c>
      <c r="P478" s="48">
        <v>0</v>
      </c>
      <c r="Q478" s="88">
        <v>0</v>
      </c>
      <c r="R478" s="52">
        <v>0</v>
      </c>
      <c r="S478" s="52"/>
      <c r="T478" s="52"/>
      <c r="U478" s="48">
        <v>0</v>
      </c>
      <c r="V478" s="48"/>
      <c r="W478" s="52"/>
      <c r="X478" s="52">
        <v>0</v>
      </c>
      <c r="Y478" s="48">
        <v>0</v>
      </c>
      <c r="Z478" s="52">
        <v>0</v>
      </c>
      <c r="AA478" s="52">
        <v>0</v>
      </c>
    </row>
    <row r="479" spans="5:27" x14ac:dyDescent="0.25">
      <c r="E479" s="52">
        <v>0</v>
      </c>
      <c r="F479" s="48">
        <v>0</v>
      </c>
      <c r="G479" s="52">
        <v>0</v>
      </c>
      <c r="H479" s="52">
        <v>0</v>
      </c>
      <c r="I479" s="48"/>
      <c r="J479" s="48">
        <v>0</v>
      </c>
      <c r="K479" s="52">
        <v>0</v>
      </c>
      <c r="L479" s="52">
        <v>0</v>
      </c>
      <c r="M479" s="48">
        <v>0</v>
      </c>
      <c r="N479" s="52">
        <v>0</v>
      </c>
      <c r="O479" s="52">
        <v>0</v>
      </c>
      <c r="P479" s="48">
        <v>0</v>
      </c>
      <c r="Q479" s="88">
        <v>0</v>
      </c>
      <c r="R479" s="52">
        <v>0</v>
      </c>
      <c r="S479" s="52"/>
      <c r="T479" s="52"/>
      <c r="U479" s="48">
        <v>0</v>
      </c>
      <c r="V479" s="48"/>
      <c r="W479" s="52"/>
      <c r="X479" s="52">
        <v>0</v>
      </c>
      <c r="Y479" s="48">
        <v>0</v>
      </c>
      <c r="Z479" s="52">
        <v>0</v>
      </c>
      <c r="AA479" s="52">
        <v>0</v>
      </c>
    </row>
    <row r="480" spans="5:27" x14ac:dyDescent="0.25">
      <c r="E480" s="52">
        <v>0</v>
      </c>
      <c r="F480" s="48">
        <v>0</v>
      </c>
      <c r="G480" s="52">
        <v>0</v>
      </c>
      <c r="H480" s="52">
        <v>0</v>
      </c>
      <c r="I480" s="48"/>
      <c r="J480" s="48">
        <v>0</v>
      </c>
      <c r="K480" s="52">
        <v>0</v>
      </c>
      <c r="L480" s="52">
        <v>0</v>
      </c>
      <c r="M480" s="48">
        <v>0</v>
      </c>
      <c r="N480" s="52">
        <v>0</v>
      </c>
      <c r="O480" s="52">
        <v>0</v>
      </c>
      <c r="P480" s="48">
        <v>0</v>
      </c>
      <c r="Q480" s="88">
        <v>0</v>
      </c>
      <c r="R480" s="52">
        <v>0</v>
      </c>
      <c r="S480" s="52"/>
      <c r="T480" s="52"/>
      <c r="U480" s="48">
        <v>0</v>
      </c>
      <c r="V480" s="48"/>
      <c r="W480" s="52"/>
      <c r="X480" s="52">
        <v>0</v>
      </c>
      <c r="Y480" s="48">
        <v>0</v>
      </c>
      <c r="Z480" s="52">
        <v>0</v>
      </c>
      <c r="AA480" s="52">
        <v>0</v>
      </c>
    </row>
    <row r="481" spans="5:27" x14ac:dyDescent="0.25">
      <c r="E481" s="52">
        <v>0</v>
      </c>
      <c r="F481" s="48">
        <v>0</v>
      </c>
      <c r="G481" s="52">
        <v>0</v>
      </c>
      <c r="H481" s="52">
        <v>0</v>
      </c>
      <c r="I481" s="48"/>
      <c r="J481" s="48">
        <v>0</v>
      </c>
      <c r="K481" s="52">
        <v>0</v>
      </c>
      <c r="L481" s="52">
        <v>0</v>
      </c>
      <c r="M481" s="48">
        <v>0</v>
      </c>
      <c r="N481" s="52">
        <v>0</v>
      </c>
      <c r="O481" s="52">
        <v>0</v>
      </c>
      <c r="P481" s="48">
        <v>0</v>
      </c>
      <c r="Q481" s="88">
        <v>0</v>
      </c>
      <c r="R481" s="52">
        <v>0</v>
      </c>
      <c r="S481" s="52"/>
      <c r="T481" s="52"/>
      <c r="U481" s="48">
        <v>0</v>
      </c>
      <c r="V481" s="48"/>
      <c r="W481" s="52"/>
      <c r="X481" s="52">
        <v>0</v>
      </c>
      <c r="Y481" s="48">
        <v>0</v>
      </c>
      <c r="Z481" s="52">
        <v>0</v>
      </c>
      <c r="AA481" s="52">
        <v>0</v>
      </c>
    </row>
    <row r="482" spans="5:27" x14ac:dyDescent="0.25">
      <c r="E482" s="52">
        <v>0</v>
      </c>
      <c r="F482" s="48">
        <v>0</v>
      </c>
      <c r="G482" s="52">
        <v>0</v>
      </c>
      <c r="H482" s="52">
        <v>0</v>
      </c>
      <c r="I482" s="48"/>
      <c r="J482" s="48">
        <v>0</v>
      </c>
      <c r="K482" s="52">
        <v>0</v>
      </c>
      <c r="L482" s="52">
        <v>0</v>
      </c>
      <c r="M482" s="48">
        <v>0</v>
      </c>
      <c r="N482" s="52">
        <v>0</v>
      </c>
      <c r="O482" s="52">
        <v>0</v>
      </c>
      <c r="P482" s="48">
        <v>0</v>
      </c>
      <c r="Q482" s="88">
        <v>0</v>
      </c>
      <c r="R482" s="52">
        <v>0</v>
      </c>
      <c r="S482" s="52"/>
      <c r="T482" s="52"/>
      <c r="U482" s="48">
        <v>0</v>
      </c>
      <c r="V482" s="48"/>
      <c r="W482" s="52"/>
      <c r="X482" s="52">
        <v>0</v>
      </c>
      <c r="Y482" s="48">
        <v>0</v>
      </c>
      <c r="Z482" s="52">
        <v>0</v>
      </c>
      <c r="AA482" s="52">
        <v>0</v>
      </c>
    </row>
    <row r="483" spans="5:27" x14ac:dyDescent="0.25">
      <c r="E483" s="52">
        <v>0</v>
      </c>
      <c r="F483" s="48">
        <v>0</v>
      </c>
      <c r="G483" s="52">
        <v>0</v>
      </c>
      <c r="H483" s="52">
        <v>0</v>
      </c>
      <c r="I483" s="48"/>
      <c r="J483" s="48">
        <v>0</v>
      </c>
      <c r="K483" s="52">
        <v>0</v>
      </c>
      <c r="L483" s="52">
        <v>0</v>
      </c>
      <c r="M483" s="48">
        <v>0</v>
      </c>
      <c r="N483" s="52">
        <v>0</v>
      </c>
      <c r="O483" s="52">
        <v>0</v>
      </c>
      <c r="P483" s="48">
        <v>0</v>
      </c>
      <c r="Q483" s="88">
        <v>0</v>
      </c>
      <c r="R483" s="52">
        <v>0</v>
      </c>
      <c r="S483" s="52"/>
      <c r="T483" s="52"/>
      <c r="U483" s="48">
        <v>0</v>
      </c>
      <c r="V483" s="48"/>
      <c r="W483" s="52"/>
      <c r="X483" s="52">
        <v>0</v>
      </c>
      <c r="Y483" s="48">
        <v>0</v>
      </c>
      <c r="Z483" s="52">
        <v>0</v>
      </c>
      <c r="AA483" s="52">
        <v>0</v>
      </c>
    </row>
    <row r="484" spans="5:27" x14ac:dyDescent="0.25">
      <c r="E484" s="52">
        <v>0</v>
      </c>
      <c r="F484" s="48">
        <v>0</v>
      </c>
      <c r="G484" s="52">
        <v>0</v>
      </c>
      <c r="H484" s="52">
        <v>0</v>
      </c>
      <c r="I484" s="48"/>
      <c r="J484" s="48">
        <v>0</v>
      </c>
      <c r="K484" s="52">
        <v>0</v>
      </c>
      <c r="L484" s="52">
        <v>0</v>
      </c>
      <c r="M484" s="48">
        <v>0</v>
      </c>
      <c r="N484" s="52">
        <v>0</v>
      </c>
      <c r="O484" s="52">
        <v>0</v>
      </c>
      <c r="P484" s="48">
        <v>0</v>
      </c>
      <c r="Q484" s="88">
        <v>0</v>
      </c>
      <c r="R484" s="52">
        <v>0</v>
      </c>
      <c r="S484" s="52"/>
      <c r="T484" s="52"/>
      <c r="U484" s="48">
        <v>0</v>
      </c>
      <c r="V484" s="48"/>
      <c r="W484" s="52"/>
      <c r="X484" s="52">
        <v>0</v>
      </c>
      <c r="Y484" s="48">
        <v>0</v>
      </c>
      <c r="Z484" s="52">
        <v>0</v>
      </c>
      <c r="AA484" s="52">
        <v>0</v>
      </c>
    </row>
    <row r="485" spans="5:27" x14ac:dyDescent="0.25">
      <c r="E485" s="52">
        <v>0</v>
      </c>
      <c r="F485" s="48">
        <v>0</v>
      </c>
      <c r="G485" s="52">
        <v>0</v>
      </c>
      <c r="H485" s="52">
        <v>0</v>
      </c>
      <c r="I485" s="48"/>
      <c r="J485" s="48">
        <v>0</v>
      </c>
      <c r="K485" s="52">
        <v>0</v>
      </c>
      <c r="L485" s="52">
        <v>0</v>
      </c>
      <c r="M485" s="48">
        <v>0</v>
      </c>
      <c r="N485" s="52">
        <v>0</v>
      </c>
      <c r="O485" s="52">
        <v>0</v>
      </c>
      <c r="P485" s="48">
        <v>0</v>
      </c>
      <c r="Q485" s="88">
        <v>0</v>
      </c>
      <c r="R485" s="52">
        <v>0</v>
      </c>
      <c r="S485" s="52"/>
      <c r="T485" s="52"/>
      <c r="U485" s="48">
        <v>0</v>
      </c>
      <c r="V485" s="48"/>
      <c r="W485" s="52"/>
      <c r="X485" s="52">
        <v>0</v>
      </c>
      <c r="Y485" s="48">
        <v>0</v>
      </c>
      <c r="Z485" s="52">
        <v>0</v>
      </c>
      <c r="AA485" s="52">
        <v>0</v>
      </c>
    </row>
    <row r="486" spans="5:27" x14ac:dyDescent="0.25">
      <c r="E486" s="52">
        <v>0</v>
      </c>
      <c r="F486" s="48">
        <v>0</v>
      </c>
      <c r="G486" s="52">
        <v>0</v>
      </c>
      <c r="H486" s="52">
        <v>0</v>
      </c>
      <c r="I486" s="48"/>
      <c r="J486" s="48">
        <v>0</v>
      </c>
      <c r="K486" s="52">
        <v>0</v>
      </c>
      <c r="L486" s="52">
        <v>0</v>
      </c>
      <c r="M486" s="48">
        <v>0</v>
      </c>
      <c r="N486" s="52">
        <v>0</v>
      </c>
      <c r="O486" s="52">
        <v>0</v>
      </c>
      <c r="P486" s="48">
        <v>0</v>
      </c>
      <c r="Q486" s="88">
        <v>0</v>
      </c>
      <c r="R486" s="52">
        <v>0</v>
      </c>
      <c r="S486" s="52"/>
      <c r="T486" s="52"/>
      <c r="U486" s="48">
        <v>0</v>
      </c>
      <c r="V486" s="48"/>
      <c r="W486" s="52"/>
      <c r="X486" s="52">
        <v>0</v>
      </c>
      <c r="Y486" s="48">
        <v>0</v>
      </c>
      <c r="Z486" s="52">
        <v>0</v>
      </c>
      <c r="AA486" s="52">
        <v>0</v>
      </c>
    </row>
    <row r="487" spans="5:27" x14ac:dyDescent="0.25">
      <c r="E487" s="52">
        <v>0</v>
      </c>
      <c r="F487" s="48">
        <v>0</v>
      </c>
      <c r="G487" s="52">
        <v>0</v>
      </c>
      <c r="H487" s="52">
        <v>0</v>
      </c>
      <c r="I487" s="48"/>
      <c r="J487" s="48">
        <v>0</v>
      </c>
      <c r="K487" s="52">
        <v>0</v>
      </c>
      <c r="L487" s="52">
        <v>0</v>
      </c>
      <c r="M487" s="48">
        <v>0</v>
      </c>
      <c r="N487" s="52">
        <v>0</v>
      </c>
      <c r="O487" s="52">
        <v>0</v>
      </c>
      <c r="P487" s="48">
        <v>0</v>
      </c>
      <c r="Q487" s="88">
        <v>0</v>
      </c>
      <c r="R487" s="52">
        <v>0</v>
      </c>
      <c r="S487" s="52"/>
      <c r="T487" s="52"/>
      <c r="U487" s="48">
        <v>0</v>
      </c>
      <c r="V487" s="48"/>
      <c r="W487" s="52"/>
      <c r="X487" s="52">
        <v>0</v>
      </c>
      <c r="Y487" s="48">
        <v>0</v>
      </c>
      <c r="Z487" s="52">
        <v>0</v>
      </c>
      <c r="AA487" s="52">
        <v>0</v>
      </c>
    </row>
    <row r="488" spans="5:27" x14ac:dyDescent="0.25">
      <c r="E488" s="52">
        <v>0</v>
      </c>
      <c r="F488" s="48">
        <v>0</v>
      </c>
      <c r="G488" s="52">
        <v>0</v>
      </c>
      <c r="H488" s="52">
        <v>0</v>
      </c>
      <c r="I488" s="48"/>
      <c r="J488" s="48">
        <v>0</v>
      </c>
      <c r="K488" s="52">
        <v>0</v>
      </c>
      <c r="L488" s="52">
        <v>0</v>
      </c>
      <c r="M488" s="48">
        <v>0</v>
      </c>
      <c r="N488" s="52">
        <v>0</v>
      </c>
      <c r="O488" s="52">
        <v>0</v>
      </c>
      <c r="P488" s="48">
        <v>0</v>
      </c>
      <c r="Q488" s="88">
        <v>0</v>
      </c>
      <c r="R488" s="52">
        <v>0</v>
      </c>
      <c r="S488" s="52"/>
      <c r="T488" s="52"/>
      <c r="U488" s="48">
        <v>0</v>
      </c>
      <c r="V488" s="48"/>
      <c r="W488" s="52"/>
      <c r="X488" s="52">
        <v>0</v>
      </c>
      <c r="Y488" s="48">
        <v>0</v>
      </c>
      <c r="Z488" s="52">
        <v>0</v>
      </c>
      <c r="AA488" s="52">
        <v>0</v>
      </c>
    </row>
    <row r="489" spans="5:27" x14ac:dyDescent="0.25">
      <c r="E489" s="52">
        <v>0</v>
      </c>
      <c r="F489" s="48">
        <v>0</v>
      </c>
      <c r="G489" s="52">
        <v>0</v>
      </c>
      <c r="H489" s="52">
        <v>0</v>
      </c>
      <c r="I489" s="48"/>
      <c r="J489" s="48">
        <v>0</v>
      </c>
      <c r="K489" s="52">
        <v>0</v>
      </c>
      <c r="L489" s="52">
        <v>0</v>
      </c>
      <c r="M489" s="48">
        <v>0</v>
      </c>
      <c r="N489" s="52">
        <v>0</v>
      </c>
      <c r="O489" s="52">
        <v>0</v>
      </c>
      <c r="P489" s="48">
        <v>0</v>
      </c>
      <c r="Q489" s="88">
        <v>0</v>
      </c>
      <c r="R489" s="52">
        <v>0</v>
      </c>
      <c r="S489" s="52"/>
      <c r="T489" s="52"/>
      <c r="U489" s="48">
        <v>0</v>
      </c>
      <c r="V489" s="48"/>
      <c r="W489" s="52"/>
      <c r="X489" s="52">
        <v>0</v>
      </c>
      <c r="Y489" s="48">
        <v>0</v>
      </c>
      <c r="Z489" s="52">
        <v>0</v>
      </c>
      <c r="AA489" s="52">
        <v>0</v>
      </c>
    </row>
    <row r="490" spans="5:27" x14ac:dyDescent="0.25">
      <c r="E490" s="52">
        <v>0</v>
      </c>
      <c r="F490" s="48">
        <v>0</v>
      </c>
      <c r="G490" s="52">
        <v>0</v>
      </c>
      <c r="H490" s="52">
        <v>0</v>
      </c>
      <c r="I490" s="48"/>
      <c r="J490" s="48">
        <v>0</v>
      </c>
      <c r="K490" s="52">
        <v>0</v>
      </c>
      <c r="L490" s="52">
        <v>0</v>
      </c>
      <c r="M490" s="48">
        <v>0</v>
      </c>
      <c r="N490" s="52">
        <v>0</v>
      </c>
      <c r="O490" s="52">
        <v>0</v>
      </c>
      <c r="P490" s="48">
        <v>0</v>
      </c>
      <c r="Q490" s="88">
        <v>0</v>
      </c>
      <c r="R490" s="52">
        <v>0</v>
      </c>
      <c r="S490" s="52"/>
      <c r="T490" s="52"/>
      <c r="U490" s="48">
        <v>0</v>
      </c>
      <c r="V490" s="48"/>
      <c r="W490" s="52"/>
      <c r="X490" s="52">
        <v>0</v>
      </c>
      <c r="Y490" s="48">
        <v>0</v>
      </c>
      <c r="Z490" s="52">
        <v>0</v>
      </c>
      <c r="AA490" s="52">
        <v>0</v>
      </c>
    </row>
    <row r="491" spans="5:27" x14ac:dyDescent="0.25">
      <c r="E491" s="52">
        <v>0</v>
      </c>
      <c r="F491" s="48">
        <v>0</v>
      </c>
      <c r="G491" s="52">
        <v>0</v>
      </c>
      <c r="H491" s="52">
        <v>0</v>
      </c>
      <c r="I491" s="48"/>
      <c r="J491" s="48">
        <v>0</v>
      </c>
      <c r="K491" s="52">
        <v>0</v>
      </c>
      <c r="L491" s="52">
        <v>0</v>
      </c>
      <c r="M491" s="48">
        <v>0</v>
      </c>
      <c r="N491" s="52">
        <v>0</v>
      </c>
      <c r="O491" s="52">
        <v>0</v>
      </c>
      <c r="P491" s="48">
        <v>0</v>
      </c>
      <c r="Q491" s="88">
        <v>0</v>
      </c>
      <c r="R491" s="52">
        <v>0</v>
      </c>
      <c r="S491" s="52"/>
      <c r="T491" s="52"/>
      <c r="U491" s="48">
        <v>0</v>
      </c>
      <c r="V491" s="48"/>
      <c r="W491" s="52"/>
      <c r="X491" s="52">
        <v>0</v>
      </c>
      <c r="Y491" s="48">
        <v>0</v>
      </c>
      <c r="Z491" s="52">
        <v>0</v>
      </c>
      <c r="AA491" s="52">
        <v>0</v>
      </c>
    </row>
    <row r="492" spans="5:27" x14ac:dyDescent="0.25">
      <c r="E492" s="52">
        <v>0</v>
      </c>
      <c r="F492" s="48">
        <v>0</v>
      </c>
      <c r="G492" s="52">
        <v>0</v>
      </c>
      <c r="H492" s="52">
        <v>0</v>
      </c>
      <c r="I492" s="48"/>
      <c r="J492" s="48">
        <v>0</v>
      </c>
      <c r="K492" s="52">
        <v>0</v>
      </c>
      <c r="L492" s="52">
        <v>0</v>
      </c>
      <c r="M492" s="48">
        <v>0</v>
      </c>
      <c r="N492" s="52">
        <v>0</v>
      </c>
      <c r="O492" s="52">
        <v>0</v>
      </c>
      <c r="P492" s="48">
        <v>0</v>
      </c>
      <c r="Q492" s="88">
        <v>0</v>
      </c>
      <c r="R492" s="52">
        <v>0</v>
      </c>
      <c r="S492" s="52"/>
      <c r="T492" s="52"/>
      <c r="U492" s="48">
        <v>0</v>
      </c>
      <c r="V492" s="48"/>
      <c r="W492" s="52"/>
      <c r="X492" s="52">
        <v>0</v>
      </c>
      <c r="Y492" s="48">
        <v>0</v>
      </c>
      <c r="Z492" s="52">
        <v>0</v>
      </c>
      <c r="AA492" s="52">
        <v>0</v>
      </c>
    </row>
    <row r="493" spans="5:27" x14ac:dyDescent="0.25">
      <c r="E493" s="52">
        <v>0</v>
      </c>
      <c r="F493" s="48">
        <v>0</v>
      </c>
      <c r="G493" s="52">
        <v>0</v>
      </c>
      <c r="H493" s="52">
        <v>0</v>
      </c>
      <c r="I493" s="48"/>
      <c r="J493" s="48">
        <v>0</v>
      </c>
      <c r="K493" s="52">
        <v>0</v>
      </c>
      <c r="L493" s="52">
        <v>0</v>
      </c>
      <c r="M493" s="48">
        <v>0</v>
      </c>
      <c r="N493" s="52">
        <v>0</v>
      </c>
      <c r="O493" s="52">
        <v>0</v>
      </c>
      <c r="P493" s="48">
        <v>0</v>
      </c>
      <c r="Q493" s="88">
        <v>0</v>
      </c>
      <c r="R493" s="52">
        <v>0</v>
      </c>
      <c r="S493" s="52"/>
      <c r="T493" s="52"/>
      <c r="U493" s="48">
        <v>0</v>
      </c>
      <c r="V493" s="48"/>
      <c r="W493" s="52"/>
      <c r="X493" s="52">
        <v>0</v>
      </c>
      <c r="Y493" s="48">
        <v>0</v>
      </c>
      <c r="Z493" s="52">
        <v>0</v>
      </c>
      <c r="AA493" s="52">
        <v>0</v>
      </c>
    </row>
    <row r="494" spans="5:27" x14ac:dyDescent="0.25">
      <c r="E494" s="52">
        <v>0</v>
      </c>
      <c r="F494" s="48">
        <v>0</v>
      </c>
      <c r="G494" s="52">
        <v>0</v>
      </c>
      <c r="H494" s="52">
        <v>0</v>
      </c>
      <c r="I494" s="48"/>
      <c r="J494" s="48">
        <v>0</v>
      </c>
      <c r="K494" s="52">
        <v>0</v>
      </c>
      <c r="L494" s="52">
        <v>0</v>
      </c>
      <c r="M494" s="48">
        <v>0</v>
      </c>
      <c r="N494" s="52">
        <v>0</v>
      </c>
      <c r="O494" s="52">
        <v>0</v>
      </c>
      <c r="P494" s="48">
        <v>0</v>
      </c>
      <c r="Q494" s="88">
        <v>0</v>
      </c>
      <c r="R494" s="52">
        <v>0</v>
      </c>
      <c r="S494" s="52"/>
      <c r="T494" s="52"/>
      <c r="U494" s="48">
        <v>0</v>
      </c>
      <c r="V494" s="48"/>
      <c r="W494" s="52"/>
      <c r="X494" s="52">
        <v>0</v>
      </c>
      <c r="Y494" s="48">
        <v>0</v>
      </c>
      <c r="Z494" s="52">
        <v>0</v>
      </c>
      <c r="AA494" s="52">
        <v>0</v>
      </c>
    </row>
    <row r="495" spans="5:27" x14ac:dyDescent="0.25">
      <c r="E495" s="52">
        <v>0</v>
      </c>
      <c r="F495" s="48">
        <v>0</v>
      </c>
      <c r="G495" s="52">
        <v>0</v>
      </c>
      <c r="H495" s="52">
        <v>0</v>
      </c>
      <c r="I495" s="48"/>
      <c r="J495" s="48">
        <v>0</v>
      </c>
      <c r="K495" s="52">
        <v>0</v>
      </c>
      <c r="L495" s="52">
        <v>0</v>
      </c>
      <c r="M495" s="48">
        <v>0</v>
      </c>
      <c r="N495" s="52">
        <v>0</v>
      </c>
      <c r="O495" s="52">
        <v>0</v>
      </c>
      <c r="P495" s="48">
        <v>0</v>
      </c>
      <c r="Q495" s="88">
        <v>0</v>
      </c>
      <c r="R495" s="52">
        <v>0</v>
      </c>
      <c r="S495" s="52"/>
      <c r="T495" s="52"/>
      <c r="U495" s="48">
        <v>0</v>
      </c>
      <c r="V495" s="48"/>
      <c r="W495" s="52"/>
      <c r="X495" s="52">
        <v>0</v>
      </c>
      <c r="Y495" s="48">
        <v>0</v>
      </c>
      <c r="Z495" s="52">
        <v>0</v>
      </c>
      <c r="AA495" s="52">
        <v>0</v>
      </c>
    </row>
    <row r="496" spans="5:27" x14ac:dyDescent="0.25">
      <c r="E496" s="52">
        <v>0</v>
      </c>
      <c r="F496" s="48">
        <v>0</v>
      </c>
      <c r="G496" s="52">
        <v>0</v>
      </c>
      <c r="H496" s="52">
        <v>0</v>
      </c>
      <c r="I496" s="48"/>
      <c r="J496" s="48">
        <v>0</v>
      </c>
      <c r="K496" s="52">
        <v>0</v>
      </c>
      <c r="L496" s="52">
        <v>0</v>
      </c>
      <c r="M496" s="48">
        <v>0</v>
      </c>
      <c r="N496" s="52">
        <v>0</v>
      </c>
      <c r="O496" s="52">
        <v>0</v>
      </c>
      <c r="P496" s="48">
        <v>0</v>
      </c>
      <c r="Q496" s="88">
        <v>0</v>
      </c>
      <c r="R496" s="52">
        <v>0</v>
      </c>
      <c r="S496" s="52"/>
      <c r="T496" s="52"/>
      <c r="U496" s="48">
        <v>0</v>
      </c>
      <c r="V496" s="48"/>
      <c r="W496" s="52"/>
      <c r="X496" s="52">
        <v>0</v>
      </c>
      <c r="Y496" s="48">
        <v>0</v>
      </c>
      <c r="Z496" s="52">
        <v>0</v>
      </c>
      <c r="AA496" s="52">
        <v>0</v>
      </c>
    </row>
    <row r="497" spans="5:27" x14ac:dyDescent="0.25">
      <c r="E497" s="52">
        <v>0</v>
      </c>
      <c r="F497" s="48">
        <v>0</v>
      </c>
      <c r="G497" s="52">
        <v>0</v>
      </c>
      <c r="H497" s="52">
        <v>0</v>
      </c>
      <c r="I497" s="48"/>
      <c r="J497" s="48">
        <v>0</v>
      </c>
      <c r="K497" s="52">
        <v>0</v>
      </c>
      <c r="L497" s="52">
        <v>0</v>
      </c>
      <c r="M497" s="48">
        <v>0</v>
      </c>
      <c r="N497" s="52">
        <v>0</v>
      </c>
      <c r="O497" s="52">
        <v>0</v>
      </c>
      <c r="P497" s="48">
        <v>0</v>
      </c>
      <c r="Q497" s="88">
        <v>0</v>
      </c>
      <c r="R497" s="52">
        <v>0</v>
      </c>
      <c r="S497" s="52"/>
      <c r="T497" s="52"/>
      <c r="U497" s="48">
        <v>0</v>
      </c>
      <c r="V497" s="48"/>
      <c r="W497" s="52"/>
      <c r="X497" s="52">
        <v>0</v>
      </c>
      <c r="Y497" s="48">
        <v>0</v>
      </c>
      <c r="Z497" s="52">
        <v>0</v>
      </c>
      <c r="AA497" s="52">
        <v>0</v>
      </c>
    </row>
    <row r="498" spans="5:27" x14ac:dyDescent="0.25">
      <c r="E498" s="52">
        <v>0</v>
      </c>
      <c r="F498" s="48">
        <v>0</v>
      </c>
      <c r="G498" s="52">
        <v>0</v>
      </c>
      <c r="H498" s="52">
        <v>0</v>
      </c>
      <c r="I498" s="48"/>
      <c r="J498" s="48">
        <v>0</v>
      </c>
      <c r="K498" s="52">
        <v>0</v>
      </c>
      <c r="L498" s="52">
        <v>0</v>
      </c>
      <c r="M498" s="48">
        <v>0</v>
      </c>
      <c r="N498" s="52">
        <v>0</v>
      </c>
      <c r="O498" s="52">
        <v>0</v>
      </c>
      <c r="P498" s="48">
        <v>0</v>
      </c>
      <c r="Q498" s="88">
        <v>0</v>
      </c>
      <c r="R498" s="52">
        <v>0</v>
      </c>
      <c r="S498" s="52"/>
      <c r="T498" s="52"/>
      <c r="U498" s="48">
        <v>0</v>
      </c>
      <c r="V498" s="48"/>
      <c r="W498" s="52"/>
      <c r="X498" s="52">
        <v>0</v>
      </c>
      <c r="Y498" s="48">
        <v>0</v>
      </c>
      <c r="Z498" s="52">
        <v>0</v>
      </c>
      <c r="AA498" s="52">
        <v>0</v>
      </c>
    </row>
    <row r="499" spans="5:27" x14ac:dyDescent="0.25">
      <c r="E499" s="52">
        <v>0</v>
      </c>
      <c r="F499" s="48">
        <v>0</v>
      </c>
      <c r="G499" s="52">
        <v>0</v>
      </c>
      <c r="H499" s="52">
        <v>0</v>
      </c>
      <c r="I499" s="48"/>
      <c r="J499" s="48">
        <v>0</v>
      </c>
      <c r="K499" s="52">
        <v>0</v>
      </c>
      <c r="L499" s="52">
        <v>0</v>
      </c>
      <c r="M499" s="48">
        <v>0</v>
      </c>
      <c r="N499" s="52">
        <v>0</v>
      </c>
      <c r="O499" s="52">
        <v>0</v>
      </c>
      <c r="P499" s="48">
        <v>0</v>
      </c>
      <c r="Q499" s="88">
        <v>0</v>
      </c>
      <c r="R499" s="52">
        <v>0</v>
      </c>
      <c r="S499" s="52"/>
      <c r="T499" s="52"/>
      <c r="U499" s="48">
        <v>0</v>
      </c>
      <c r="V499" s="48"/>
      <c r="W499" s="52"/>
      <c r="X499" s="52">
        <v>0</v>
      </c>
      <c r="Y499" s="48">
        <v>0</v>
      </c>
      <c r="Z499" s="52">
        <v>0</v>
      </c>
      <c r="AA499" s="52">
        <v>0</v>
      </c>
    </row>
    <row r="500" spans="5:27" x14ac:dyDescent="0.25">
      <c r="E500" s="52">
        <v>0</v>
      </c>
      <c r="F500" s="48">
        <v>0</v>
      </c>
      <c r="G500" s="52">
        <v>0</v>
      </c>
      <c r="H500" s="52">
        <v>0</v>
      </c>
      <c r="I500" s="48"/>
      <c r="J500" s="48">
        <v>0</v>
      </c>
      <c r="K500" s="52">
        <v>0</v>
      </c>
      <c r="L500" s="52">
        <v>0</v>
      </c>
      <c r="M500" s="48">
        <v>0</v>
      </c>
      <c r="N500" s="52">
        <v>0</v>
      </c>
      <c r="O500" s="52">
        <v>0</v>
      </c>
      <c r="P500" s="48">
        <v>0</v>
      </c>
      <c r="Q500" s="88">
        <v>0</v>
      </c>
      <c r="R500" s="52">
        <v>0</v>
      </c>
      <c r="S500" s="52"/>
      <c r="T500" s="52"/>
      <c r="U500" s="48">
        <v>0</v>
      </c>
      <c r="V500" s="48"/>
      <c r="W500" s="52"/>
      <c r="X500" s="52">
        <v>0</v>
      </c>
      <c r="Y500" s="48">
        <v>0</v>
      </c>
      <c r="Z500" s="52">
        <v>0</v>
      </c>
      <c r="AA500" s="52">
        <v>0</v>
      </c>
    </row>
    <row r="501" spans="5:27" x14ac:dyDescent="0.25">
      <c r="E501" s="52">
        <v>0</v>
      </c>
      <c r="F501" s="48">
        <v>0</v>
      </c>
      <c r="G501" s="52">
        <v>0</v>
      </c>
      <c r="H501" s="52">
        <v>0</v>
      </c>
      <c r="I501" s="48"/>
      <c r="J501" s="48">
        <v>0</v>
      </c>
      <c r="K501" s="52">
        <v>0</v>
      </c>
      <c r="L501" s="52">
        <v>0</v>
      </c>
      <c r="M501" s="48">
        <v>0</v>
      </c>
      <c r="N501" s="52">
        <v>0</v>
      </c>
      <c r="O501" s="52">
        <v>0</v>
      </c>
      <c r="P501" s="48">
        <v>0</v>
      </c>
      <c r="Q501" s="88">
        <v>0</v>
      </c>
      <c r="R501" s="52">
        <v>0</v>
      </c>
      <c r="S501" s="52"/>
      <c r="T501" s="52"/>
      <c r="U501" s="48">
        <v>0</v>
      </c>
      <c r="V501" s="48"/>
      <c r="W501" s="52"/>
      <c r="X501" s="52">
        <v>0</v>
      </c>
      <c r="Y501" s="48">
        <v>0</v>
      </c>
      <c r="Z501" s="52">
        <v>0</v>
      </c>
      <c r="AA501" s="52">
        <v>0</v>
      </c>
    </row>
    <row r="502" spans="5:27" x14ac:dyDescent="0.25">
      <c r="E502" s="52">
        <v>0</v>
      </c>
      <c r="F502" s="48">
        <v>0</v>
      </c>
      <c r="G502" s="52">
        <v>0</v>
      </c>
      <c r="H502" s="52">
        <v>0</v>
      </c>
      <c r="I502" s="48"/>
      <c r="J502" s="48">
        <v>0</v>
      </c>
      <c r="K502" s="52">
        <v>0</v>
      </c>
      <c r="L502" s="52">
        <v>0</v>
      </c>
      <c r="M502" s="48">
        <v>0</v>
      </c>
      <c r="N502" s="52">
        <v>0</v>
      </c>
      <c r="O502" s="52">
        <v>0</v>
      </c>
      <c r="P502" s="48">
        <v>0</v>
      </c>
      <c r="Q502" s="88">
        <v>0</v>
      </c>
      <c r="R502" s="52">
        <v>0</v>
      </c>
      <c r="S502" s="52"/>
      <c r="T502" s="52"/>
      <c r="U502" s="48">
        <v>0</v>
      </c>
      <c r="V502" s="48"/>
      <c r="W502" s="52"/>
      <c r="X502" s="52">
        <v>0</v>
      </c>
      <c r="Y502" s="48">
        <v>0</v>
      </c>
      <c r="Z502" s="52">
        <v>0</v>
      </c>
      <c r="AA502" s="52">
        <v>0</v>
      </c>
    </row>
    <row r="503" spans="5:27" x14ac:dyDescent="0.25">
      <c r="E503" s="52">
        <v>0</v>
      </c>
      <c r="F503" s="48">
        <v>0</v>
      </c>
      <c r="G503" s="52">
        <v>0</v>
      </c>
      <c r="H503" s="52">
        <v>0</v>
      </c>
      <c r="I503" s="48"/>
      <c r="J503" s="48">
        <v>0</v>
      </c>
      <c r="K503" s="52">
        <v>0</v>
      </c>
      <c r="L503" s="52">
        <v>0</v>
      </c>
      <c r="M503" s="48">
        <v>0</v>
      </c>
      <c r="N503" s="52">
        <v>0</v>
      </c>
      <c r="O503" s="52">
        <v>0</v>
      </c>
      <c r="P503" s="48">
        <v>0</v>
      </c>
      <c r="Q503" s="88">
        <v>0</v>
      </c>
      <c r="R503" s="52">
        <v>0</v>
      </c>
      <c r="S503" s="52"/>
      <c r="T503" s="52"/>
      <c r="U503" s="48">
        <v>0</v>
      </c>
      <c r="V503" s="48"/>
      <c r="W503" s="52"/>
      <c r="X503" s="52">
        <v>0</v>
      </c>
      <c r="Y503" s="48">
        <v>0</v>
      </c>
      <c r="Z503" s="52">
        <v>0</v>
      </c>
      <c r="AA503" s="52">
        <v>0</v>
      </c>
    </row>
    <row r="504" spans="5:27" x14ac:dyDescent="0.25">
      <c r="E504" s="52">
        <v>0</v>
      </c>
      <c r="F504" s="48">
        <v>0</v>
      </c>
      <c r="G504" s="52">
        <v>0</v>
      </c>
      <c r="H504" s="52">
        <v>0</v>
      </c>
      <c r="I504" s="48"/>
      <c r="J504" s="48">
        <v>0</v>
      </c>
      <c r="K504" s="52">
        <v>0</v>
      </c>
      <c r="L504" s="52">
        <v>0</v>
      </c>
      <c r="M504" s="48">
        <v>0</v>
      </c>
      <c r="N504" s="52">
        <v>0</v>
      </c>
      <c r="O504" s="52">
        <v>0</v>
      </c>
      <c r="P504" s="48">
        <v>0</v>
      </c>
      <c r="Q504" s="88">
        <v>0</v>
      </c>
      <c r="R504" s="52">
        <v>0</v>
      </c>
      <c r="S504" s="52"/>
      <c r="T504" s="52"/>
      <c r="U504" s="48">
        <v>0</v>
      </c>
      <c r="V504" s="48"/>
      <c r="W504" s="52"/>
      <c r="X504" s="52">
        <v>0</v>
      </c>
      <c r="Y504" s="48">
        <v>0</v>
      </c>
      <c r="Z504" s="52">
        <v>0</v>
      </c>
      <c r="AA504" s="52">
        <v>0</v>
      </c>
    </row>
    <row r="505" spans="5:27" x14ac:dyDescent="0.25">
      <c r="E505" s="52">
        <v>0</v>
      </c>
      <c r="F505" s="48">
        <v>0</v>
      </c>
      <c r="G505" s="52">
        <v>0</v>
      </c>
      <c r="H505" s="52">
        <v>0</v>
      </c>
      <c r="I505" s="48"/>
      <c r="J505" s="48">
        <v>0</v>
      </c>
      <c r="K505" s="52">
        <v>0</v>
      </c>
      <c r="L505" s="52">
        <v>0</v>
      </c>
      <c r="M505" s="48">
        <v>0</v>
      </c>
      <c r="N505" s="52">
        <v>0</v>
      </c>
      <c r="O505" s="52">
        <v>0</v>
      </c>
      <c r="P505" s="48">
        <v>0</v>
      </c>
      <c r="Q505" s="88">
        <v>0</v>
      </c>
      <c r="R505" s="52">
        <v>0</v>
      </c>
      <c r="S505" s="52"/>
      <c r="T505" s="52"/>
      <c r="U505" s="48">
        <v>0</v>
      </c>
      <c r="V505" s="48"/>
      <c r="W505" s="52"/>
      <c r="X505" s="52">
        <v>0</v>
      </c>
      <c r="Y505" s="48">
        <v>0</v>
      </c>
      <c r="Z505" s="52">
        <v>0</v>
      </c>
      <c r="AA505" s="52">
        <v>0</v>
      </c>
    </row>
    <row r="506" spans="5:27" x14ac:dyDescent="0.25">
      <c r="E506" s="52">
        <v>0</v>
      </c>
      <c r="F506" s="48">
        <v>0</v>
      </c>
      <c r="G506" s="52">
        <v>0</v>
      </c>
      <c r="H506" s="52">
        <v>0</v>
      </c>
      <c r="I506" s="48"/>
      <c r="J506" s="48">
        <v>0</v>
      </c>
      <c r="K506" s="52">
        <v>0</v>
      </c>
      <c r="L506" s="52">
        <v>0</v>
      </c>
      <c r="M506" s="48">
        <v>0</v>
      </c>
      <c r="N506" s="52">
        <v>0</v>
      </c>
      <c r="O506" s="52">
        <v>0</v>
      </c>
      <c r="P506" s="48">
        <v>0</v>
      </c>
      <c r="Q506" s="88">
        <v>0</v>
      </c>
      <c r="R506" s="52">
        <v>0</v>
      </c>
      <c r="S506" s="52"/>
      <c r="T506" s="52"/>
      <c r="U506" s="48">
        <v>0</v>
      </c>
      <c r="V506" s="48"/>
      <c r="W506" s="52"/>
      <c r="X506" s="52">
        <v>0</v>
      </c>
      <c r="Y506" s="48">
        <v>0</v>
      </c>
      <c r="Z506" s="52">
        <v>0</v>
      </c>
      <c r="AA506" s="52">
        <v>0</v>
      </c>
    </row>
    <row r="507" spans="5:27" x14ac:dyDescent="0.25">
      <c r="E507" s="52">
        <v>0</v>
      </c>
      <c r="F507" s="48">
        <v>0</v>
      </c>
      <c r="G507" s="52">
        <v>0</v>
      </c>
      <c r="H507" s="52">
        <v>0</v>
      </c>
      <c r="I507" s="48"/>
      <c r="J507" s="48">
        <v>0</v>
      </c>
      <c r="K507" s="52">
        <v>0</v>
      </c>
      <c r="L507" s="52">
        <v>0</v>
      </c>
      <c r="M507" s="48">
        <v>0</v>
      </c>
      <c r="N507" s="52">
        <v>0</v>
      </c>
      <c r="O507" s="52">
        <v>0</v>
      </c>
      <c r="P507" s="48">
        <v>0</v>
      </c>
      <c r="Q507" s="88">
        <v>0</v>
      </c>
      <c r="R507" s="52">
        <v>0</v>
      </c>
      <c r="S507" s="52"/>
      <c r="T507" s="52"/>
      <c r="U507" s="48">
        <v>0</v>
      </c>
      <c r="V507" s="48"/>
      <c r="W507" s="52"/>
      <c r="X507" s="52">
        <v>0</v>
      </c>
      <c r="Y507" s="48">
        <v>0</v>
      </c>
      <c r="Z507" s="52">
        <v>0</v>
      </c>
      <c r="AA507" s="52">
        <v>0</v>
      </c>
    </row>
    <row r="508" spans="5:27" x14ac:dyDescent="0.25">
      <c r="E508" s="52">
        <v>0</v>
      </c>
      <c r="F508" s="48">
        <v>0</v>
      </c>
      <c r="G508" s="52">
        <v>0</v>
      </c>
      <c r="H508" s="52">
        <v>0</v>
      </c>
      <c r="I508" s="52"/>
      <c r="J508" s="48">
        <v>0</v>
      </c>
      <c r="K508" s="52">
        <v>0</v>
      </c>
      <c r="L508" s="52">
        <v>0</v>
      </c>
      <c r="M508" s="48">
        <v>0</v>
      </c>
      <c r="N508" s="52">
        <v>0</v>
      </c>
      <c r="O508" s="52">
        <v>0</v>
      </c>
      <c r="P508" s="48">
        <v>0</v>
      </c>
      <c r="Q508" s="88">
        <v>0</v>
      </c>
      <c r="R508" s="52">
        <v>0</v>
      </c>
      <c r="S508" s="52"/>
      <c r="T508" s="52"/>
      <c r="U508" s="48">
        <v>0</v>
      </c>
      <c r="V508" s="48"/>
      <c r="W508" s="52"/>
      <c r="X508" s="52">
        <v>0</v>
      </c>
      <c r="Y508" s="48">
        <v>0</v>
      </c>
      <c r="Z508" s="52">
        <v>0</v>
      </c>
      <c r="AA508" s="52">
        <v>0</v>
      </c>
    </row>
    <row r="509" spans="5:27" x14ac:dyDescent="0.25">
      <c r="E509" s="52">
        <v>0</v>
      </c>
      <c r="F509" s="48">
        <v>0</v>
      </c>
      <c r="G509" s="52">
        <v>0</v>
      </c>
      <c r="H509" s="52">
        <v>0</v>
      </c>
      <c r="I509" s="52"/>
      <c r="J509" s="48">
        <v>0</v>
      </c>
      <c r="K509" s="52">
        <v>0</v>
      </c>
      <c r="L509" s="52">
        <v>0</v>
      </c>
      <c r="M509" s="48">
        <v>0</v>
      </c>
      <c r="N509" s="52">
        <v>0</v>
      </c>
      <c r="O509" s="52">
        <v>0</v>
      </c>
      <c r="P509" s="48">
        <v>0</v>
      </c>
      <c r="Q509" s="88">
        <v>0</v>
      </c>
      <c r="R509" s="52">
        <v>0</v>
      </c>
      <c r="S509" s="52"/>
      <c r="T509" s="52"/>
      <c r="U509" s="48">
        <v>0</v>
      </c>
      <c r="V509" s="48"/>
      <c r="W509" s="52"/>
      <c r="X509" s="52">
        <v>0</v>
      </c>
      <c r="Y509" s="48">
        <v>0</v>
      </c>
      <c r="Z509" s="52">
        <v>0</v>
      </c>
      <c r="AA509" s="52">
        <v>0</v>
      </c>
    </row>
    <row r="510" spans="5:27" x14ac:dyDescent="0.25">
      <c r="E510" s="52">
        <v>0</v>
      </c>
      <c r="F510" s="48">
        <v>0</v>
      </c>
      <c r="G510" s="52">
        <v>0</v>
      </c>
      <c r="H510" s="52">
        <v>0</v>
      </c>
      <c r="I510" s="52"/>
      <c r="J510" s="48">
        <v>0</v>
      </c>
      <c r="K510" s="52">
        <v>0</v>
      </c>
      <c r="L510" s="52">
        <v>0</v>
      </c>
      <c r="M510" s="48">
        <v>0</v>
      </c>
      <c r="N510" s="52">
        <v>0</v>
      </c>
      <c r="O510" s="52">
        <v>0</v>
      </c>
      <c r="P510" s="48">
        <v>0</v>
      </c>
      <c r="Q510" s="88">
        <v>0</v>
      </c>
      <c r="R510" s="52">
        <v>0</v>
      </c>
      <c r="S510" s="52"/>
      <c r="T510" s="52"/>
      <c r="U510" s="48">
        <v>0</v>
      </c>
      <c r="V510" s="48"/>
      <c r="W510" s="52"/>
      <c r="X510" s="52">
        <v>0</v>
      </c>
      <c r="Y510" s="48">
        <v>0</v>
      </c>
      <c r="Z510" s="52">
        <v>0</v>
      </c>
      <c r="AA510" s="52">
        <v>0</v>
      </c>
    </row>
    <row r="511" spans="5:27" x14ac:dyDescent="0.25">
      <c r="E511" s="52">
        <v>0</v>
      </c>
      <c r="F511" s="48">
        <v>0</v>
      </c>
      <c r="G511" s="52">
        <v>0</v>
      </c>
      <c r="H511" s="52">
        <v>0</v>
      </c>
      <c r="I511" s="52"/>
      <c r="J511" s="48">
        <v>0</v>
      </c>
      <c r="K511" s="52">
        <v>0</v>
      </c>
      <c r="L511" s="52">
        <v>0</v>
      </c>
      <c r="M511" s="48">
        <v>0</v>
      </c>
      <c r="N511" s="52">
        <v>0</v>
      </c>
      <c r="O511" s="52">
        <v>0</v>
      </c>
      <c r="P511" s="48">
        <v>0</v>
      </c>
      <c r="Q511" s="88">
        <v>0</v>
      </c>
      <c r="R511" s="52">
        <v>0</v>
      </c>
      <c r="S511" s="52"/>
      <c r="T511" s="52"/>
      <c r="U511" s="48">
        <v>0</v>
      </c>
      <c r="V511" s="48"/>
      <c r="W511" s="52"/>
      <c r="X511" s="52">
        <v>0</v>
      </c>
      <c r="Y511" s="48">
        <v>0</v>
      </c>
      <c r="Z511" s="52">
        <v>0</v>
      </c>
      <c r="AA511" s="52">
        <v>0</v>
      </c>
    </row>
    <row r="512" spans="5:27" x14ac:dyDescent="0.25">
      <c r="E512" s="52">
        <v>0</v>
      </c>
      <c r="F512" s="48">
        <v>0</v>
      </c>
      <c r="G512" s="52">
        <v>0</v>
      </c>
      <c r="H512" s="52">
        <v>0</v>
      </c>
      <c r="I512" s="52"/>
      <c r="J512" s="48">
        <v>0</v>
      </c>
      <c r="K512" s="52">
        <v>0</v>
      </c>
      <c r="L512" s="52">
        <v>0</v>
      </c>
      <c r="M512" s="48">
        <v>0</v>
      </c>
      <c r="N512" s="52">
        <v>0</v>
      </c>
      <c r="O512" s="52">
        <v>0</v>
      </c>
      <c r="P512" s="48">
        <v>0</v>
      </c>
      <c r="Q512" s="88">
        <v>0</v>
      </c>
      <c r="R512" s="52">
        <v>0</v>
      </c>
      <c r="S512" s="52"/>
      <c r="T512" s="52"/>
      <c r="U512" s="48">
        <v>0</v>
      </c>
      <c r="V512" s="48"/>
      <c r="W512" s="52"/>
      <c r="X512" s="52">
        <v>0</v>
      </c>
      <c r="Y512" s="48">
        <v>0</v>
      </c>
      <c r="Z512" s="52">
        <v>0</v>
      </c>
      <c r="AA512" s="52">
        <v>0</v>
      </c>
    </row>
    <row r="513" spans="5:27" x14ac:dyDescent="0.25">
      <c r="E513" s="52">
        <v>0</v>
      </c>
      <c r="F513" s="48">
        <v>0</v>
      </c>
      <c r="G513" s="52">
        <v>0</v>
      </c>
      <c r="H513" s="52">
        <v>0</v>
      </c>
      <c r="I513" s="52"/>
      <c r="J513" s="48">
        <v>0</v>
      </c>
      <c r="K513" s="52">
        <v>0</v>
      </c>
      <c r="L513" s="52">
        <v>0</v>
      </c>
      <c r="M513" s="48">
        <v>0</v>
      </c>
      <c r="N513" s="52">
        <v>0</v>
      </c>
      <c r="O513" s="52">
        <v>0</v>
      </c>
      <c r="P513" s="48">
        <v>0</v>
      </c>
      <c r="Q513" s="88">
        <v>0</v>
      </c>
      <c r="R513" s="52">
        <v>0</v>
      </c>
      <c r="S513" s="52"/>
      <c r="T513" s="52"/>
      <c r="U513" s="48">
        <v>0</v>
      </c>
      <c r="V513" s="48"/>
      <c r="W513" s="52"/>
      <c r="X513" s="52">
        <v>0</v>
      </c>
      <c r="Y513" s="48">
        <v>0</v>
      </c>
      <c r="Z513" s="52">
        <v>0</v>
      </c>
      <c r="AA513" s="52">
        <v>0</v>
      </c>
    </row>
    <row r="514" spans="5:27" x14ac:dyDescent="0.25">
      <c r="E514" s="52">
        <v>0</v>
      </c>
      <c r="F514" s="48">
        <v>0</v>
      </c>
      <c r="G514" s="52">
        <v>0</v>
      </c>
      <c r="H514" s="52">
        <v>0</v>
      </c>
      <c r="I514" s="52"/>
      <c r="J514" s="48">
        <v>0</v>
      </c>
      <c r="K514" s="52">
        <v>0</v>
      </c>
      <c r="L514" s="52">
        <v>0</v>
      </c>
      <c r="M514" s="48">
        <v>0</v>
      </c>
      <c r="N514" s="52">
        <v>0</v>
      </c>
      <c r="O514" s="52">
        <v>0</v>
      </c>
      <c r="P514" s="48">
        <v>0</v>
      </c>
      <c r="Q514" s="88">
        <v>0</v>
      </c>
      <c r="R514" s="52">
        <v>0</v>
      </c>
      <c r="S514" s="52"/>
      <c r="T514" s="52"/>
      <c r="U514" s="48">
        <v>0</v>
      </c>
      <c r="V514" s="48"/>
      <c r="W514" s="52"/>
      <c r="X514" s="52">
        <v>0</v>
      </c>
      <c r="Y514" s="48">
        <v>0</v>
      </c>
      <c r="Z514" s="52">
        <v>0</v>
      </c>
      <c r="AA514" s="52">
        <v>0</v>
      </c>
    </row>
  </sheetData>
  <autoFilter ref="A6:B514" xr:uid="{00000000-0009-0000-0000-000002000000}"/>
  <sortState xmlns:xlrd2="http://schemas.microsoft.com/office/spreadsheetml/2017/richdata2" ref="E231:N238">
    <sortCondition ref="E231"/>
  </sortState>
  <mergeCells count="1">
    <mergeCell ref="C5:AA5"/>
  </mergeCells>
  <conditionalFormatting sqref="A2">
    <cfRule type="expression" dxfId="55" priority="264">
      <formula>IF(AND(A2&gt;0,ISEVEN(A2)),TRUE,FALSE)</formula>
    </cfRule>
  </conditionalFormatting>
  <conditionalFormatting sqref="A7:B1000">
    <cfRule type="expression" dxfId="54" priority="19">
      <formula>IF($B7="total",TRUE,FALSE)</formula>
    </cfRule>
    <cfRule type="expression" dxfId="53" priority="20">
      <formula>IF(AND($A7&gt;0,ISEVEN($A7)),TRUE,FALSE)</formula>
    </cfRule>
    <cfRule type="expression" dxfId="52" priority="21">
      <formula>IF(AND($A7&gt;0,ISODD($A7)),TRUE,FALSE)</formula>
    </cfRule>
  </conditionalFormatting>
  <conditionalFormatting sqref="A7:AA1000">
    <cfRule type="cellIs" dxfId="51" priority="1" operator="equal">
      <formula>0</formula>
    </cfRule>
    <cfRule type="expression" dxfId="50" priority="14">
      <formula>IF($B7="total",TRUE,FALSE)</formula>
    </cfRule>
  </conditionalFormatting>
  <conditionalFormatting sqref="C7:AA1000">
    <cfRule type="cellIs" dxfId="49" priority="3" operator="between">
      <formula>0.0000000000001</formula>
      <formula>0.499999999999</formula>
    </cfRule>
    <cfRule type="cellIs" dxfId="48" priority="4" operator="between">
      <formula>-0.0000000000000001</formula>
      <formula>-0.49999999999999</formula>
    </cfRule>
  </conditionalFormatting>
  <conditionalFormatting sqref="I7:I209">
    <cfRule type="expression" dxfId="47" priority="2">
      <formula>IF($B7="total",TRUE,FALSE)</formula>
    </cfRule>
  </conditionalFormatting>
  <conditionalFormatting sqref="Y7:Y1000">
    <cfRule type="expression" dxfId="45" priority="24">
      <formula>IF(AND($A7&gt;0,ISEVEN($A7)),TRUE,FALSE)</formula>
    </cfRule>
    <cfRule type="expression" dxfId="44" priority="25">
      <formula>IF(AND($A7&gt;0,ISODD($A7)),TRUE,FALSE)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B84A42AA-F414-4773-A65E-855A82068F99}">
            <xm:f>IF(Todos!$B210="total",TRUE,FALSE)</xm:f>
            <x14:dxf>
              <font>
                <b/>
                <i val="0"/>
              </font>
              <border>
                <bottom style="thin">
                  <color auto="1"/>
                </bottom>
              </border>
            </x14:dxf>
          </x14:cfRule>
          <xm:sqref>I210:I1000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9" tint="0.39997558519241921"/>
  </sheetPr>
  <dimension ref="A2:BG557"/>
  <sheetViews>
    <sheetView zoomScaleNormal="100" workbookViewId="0">
      <pane xSplit="2" ySplit="6" topLeftCell="C267" activePane="bottomRight" state="frozen"/>
      <selection activeCell="A280" sqref="A280"/>
      <selection pane="topRight" activeCell="A280" sqref="A280"/>
      <selection pane="bottomLeft" activeCell="A280" sqref="A280"/>
      <selection pane="bottomRight" activeCell="A293" sqref="A293"/>
    </sheetView>
  </sheetViews>
  <sheetFormatPr baseColWidth="10" defaultRowHeight="15" x14ac:dyDescent="0.25"/>
  <cols>
    <col min="1" max="2" width="10.85546875" customWidth="1"/>
    <col min="3" max="3" width="8.42578125" customWidth="1"/>
    <col min="4" max="11" width="9.140625" customWidth="1"/>
    <col min="12" max="12" width="11.140625" bestFit="1" customWidth="1"/>
  </cols>
  <sheetData>
    <row r="2" spans="1:59" ht="22.5" customHeight="1" x14ac:dyDescent="0.25"/>
    <row r="3" spans="1:59" ht="24.6" customHeight="1" x14ac:dyDescent="0.25">
      <c r="B3" s="35"/>
      <c r="C3" s="39" t="str">
        <f>Inicio!C4</f>
        <v>Importaciones de gas natural por áreas geográficas y países</v>
      </c>
      <c r="D3" s="39"/>
      <c r="E3" s="39"/>
      <c r="F3" s="39"/>
      <c r="G3" s="39"/>
      <c r="H3" s="39"/>
      <c r="I3" s="39"/>
      <c r="J3" s="39"/>
    </row>
    <row r="4" spans="1:59" ht="15" customHeight="1" x14ac:dyDescent="0.25">
      <c r="A4" s="23" t="str">
        <f>Inicio!$A$16</f>
        <v>Actualizado el 14-09-2026</v>
      </c>
      <c r="B4" s="2"/>
      <c r="G4" s="14" t="s">
        <v>30</v>
      </c>
    </row>
    <row r="5" spans="1:59" ht="18.75" customHeight="1" thickBot="1" x14ac:dyDescent="0.3">
      <c r="A5" s="20"/>
      <c r="B5" s="19"/>
      <c r="C5" s="112" t="s">
        <v>22</v>
      </c>
      <c r="D5" s="112"/>
      <c r="E5" s="112"/>
      <c r="F5" s="112"/>
      <c r="G5" s="112"/>
    </row>
    <row r="6" spans="1:59" ht="27.75" customHeight="1" thickTop="1" x14ac:dyDescent="0.25">
      <c r="A6" s="21" t="s">
        <v>1</v>
      </c>
      <c r="B6" s="22" t="s">
        <v>2</v>
      </c>
      <c r="C6" s="15" t="s">
        <v>39</v>
      </c>
      <c r="D6" s="15" t="s">
        <v>40</v>
      </c>
      <c r="E6" s="15" t="s">
        <v>41</v>
      </c>
      <c r="F6" s="15" t="s">
        <v>42</v>
      </c>
      <c r="G6" s="11" t="s">
        <v>55</v>
      </c>
    </row>
    <row r="7" spans="1:59" ht="12" customHeight="1" x14ac:dyDescent="0.25">
      <c r="A7" s="55">
        <v>2004</v>
      </c>
      <c r="B7" s="55" t="s">
        <v>3</v>
      </c>
      <c r="C7" s="73"/>
      <c r="D7" s="57"/>
      <c r="E7" s="57">
        <v>3079.5712919999996</v>
      </c>
      <c r="F7" s="57"/>
      <c r="G7" s="57">
        <v>3079.5712919999996</v>
      </c>
      <c r="H7" s="57"/>
      <c r="I7" s="57"/>
      <c r="J7" s="57"/>
      <c r="K7" s="57"/>
      <c r="L7" s="57"/>
      <c r="M7" s="57"/>
      <c r="N7" s="73"/>
      <c r="O7" s="57"/>
      <c r="P7" s="57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</row>
    <row r="8" spans="1:59" ht="12" customHeight="1" x14ac:dyDescent="0.25">
      <c r="A8" s="55">
        <v>2004</v>
      </c>
      <c r="B8" s="55" t="s">
        <v>4</v>
      </c>
      <c r="C8" s="57"/>
      <c r="D8" s="57">
        <v>922.02128400000004</v>
      </c>
      <c r="E8" s="57">
        <v>2474.5892760000002</v>
      </c>
      <c r="F8" s="57"/>
      <c r="G8" s="57">
        <v>3396.6105600000001</v>
      </c>
      <c r="H8" s="57"/>
      <c r="I8" s="57"/>
      <c r="J8" s="57"/>
      <c r="K8" s="57"/>
      <c r="L8" s="57"/>
      <c r="M8" s="57"/>
      <c r="N8" s="73"/>
      <c r="O8" s="57"/>
      <c r="P8" s="57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</row>
    <row r="9" spans="1:59" ht="12" customHeight="1" x14ac:dyDescent="0.25">
      <c r="A9" s="55">
        <v>2004</v>
      </c>
      <c r="B9" s="55" t="s">
        <v>5</v>
      </c>
      <c r="C9" s="57">
        <v>930.76396699999998</v>
      </c>
      <c r="D9" s="57"/>
      <c r="E9" s="57">
        <v>1772.866986</v>
      </c>
      <c r="F9" s="57"/>
      <c r="G9" s="57">
        <v>2703.6309529999999</v>
      </c>
      <c r="H9" s="57"/>
      <c r="I9" s="57"/>
      <c r="J9" s="57"/>
      <c r="K9" s="57"/>
      <c r="L9" s="57"/>
      <c r="M9" s="57"/>
      <c r="N9" s="73"/>
      <c r="O9" s="57"/>
      <c r="P9" s="57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</row>
    <row r="10" spans="1:59" ht="12" customHeight="1" x14ac:dyDescent="0.25">
      <c r="A10" s="55">
        <v>2004</v>
      </c>
      <c r="B10" s="55" t="s">
        <v>6</v>
      </c>
      <c r="C10" s="57"/>
      <c r="D10" s="57">
        <v>937.25585043000001</v>
      </c>
      <c r="E10" s="57">
        <v>3229.7107099999998</v>
      </c>
      <c r="F10" s="57"/>
      <c r="G10" s="57">
        <v>4166.9665604299998</v>
      </c>
      <c r="H10" s="57"/>
      <c r="I10" s="57"/>
      <c r="J10" s="57"/>
      <c r="K10" s="57"/>
      <c r="L10" s="57"/>
      <c r="M10" s="57"/>
      <c r="N10" s="73"/>
      <c r="O10" s="57"/>
      <c r="P10" s="57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</row>
    <row r="11" spans="1:59" ht="12" customHeight="1" x14ac:dyDescent="0.25">
      <c r="A11" s="55">
        <v>2004</v>
      </c>
      <c r="B11" s="55" t="s">
        <v>7</v>
      </c>
      <c r="C11" s="57">
        <v>919.43697499999996</v>
      </c>
      <c r="D11" s="57">
        <v>1442.4968679999999</v>
      </c>
      <c r="E11" s="57">
        <v>5032.2866520000007</v>
      </c>
      <c r="F11" s="57"/>
      <c r="G11" s="57">
        <v>7394.2204950000005</v>
      </c>
      <c r="H11" s="57"/>
      <c r="I11" s="57"/>
      <c r="J11" s="57"/>
      <c r="K11" s="57"/>
      <c r="L11" s="57"/>
      <c r="M11" s="57"/>
      <c r="N11" s="73"/>
      <c r="O11" s="57"/>
      <c r="P11" s="57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</row>
    <row r="12" spans="1:59" ht="12" customHeight="1" x14ac:dyDescent="0.25">
      <c r="A12" s="55">
        <v>2004</v>
      </c>
      <c r="B12" s="55" t="s">
        <v>8</v>
      </c>
      <c r="C12" s="57"/>
      <c r="D12" s="57">
        <v>2704.8190080000004</v>
      </c>
      <c r="E12" s="57">
        <v>4276.6913249999998</v>
      </c>
      <c r="F12" s="57"/>
      <c r="G12" s="57">
        <v>6981.5103330000002</v>
      </c>
      <c r="H12" s="57"/>
      <c r="I12" s="57"/>
      <c r="J12" s="57"/>
      <c r="K12" s="57"/>
      <c r="L12" s="57"/>
      <c r="M12" s="57"/>
      <c r="N12" s="73"/>
      <c r="O12" s="57"/>
      <c r="P12" s="57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</row>
    <row r="13" spans="1:59" ht="12" customHeight="1" x14ac:dyDescent="0.25">
      <c r="A13" s="55">
        <v>2004</v>
      </c>
      <c r="B13" s="55" t="s">
        <v>9</v>
      </c>
      <c r="C13" s="57"/>
      <c r="D13" s="57">
        <v>909.43</v>
      </c>
      <c r="E13" s="57">
        <v>6227.5385980000001</v>
      </c>
      <c r="F13" s="57"/>
      <c r="G13" s="57">
        <v>7136.9685980000004</v>
      </c>
      <c r="H13" s="57"/>
      <c r="I13" s="57"/>
      <c r="J13" s="57"/>
      <c r="K13" s="57"/>
      <c r="L13" s="57"/>
      <c r="M13" s="57"/>
      <c r="N13" s="73"/>
      <c r="O13" s="57"/>
      <c r="P13" s="57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</row>
    <row r="14" spans="1:59" ht="12" customHeight="1" x14ac:dyDescent="0.25">
      <c r="A14" s="55">
        <v>2004</v>
      </c>
      <c r="B14" s="55" t="s">
        <v>10</v>
      </c>
      <c r="C14" s="57">
        <v>914.37989875400012</v>
      </c>
      <c r="D14" s="57">
        <v>971.7672778939999</v>
      </c>
      <c r="E14" s="57">
        <v>4378.9525380000005</v>
      </c>
      <c r="F14" s="57"/>
      <c r="G14" s="57">
        <v>6265.0997146480004</v>
      </c>
      <c r="H14" s="57"/>
      <c r="I14" s="57"/>
      <c r="J14" s="57"/>
      <c r="K14" s="57"/>
      <c r="L14" s="57"/>
      <c r="M14" s="57"/>
      <c r="N14" s="73"/>
      <c r="O14" s="57"/>
      <c r="P14" s="57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</row>
    <row r="15" spans="1:59" ht="12" customHeight="1" x14ac:dyDescent="0.25">
      <c r="A15" s="55">
        <v>2004</v>
      </c>
      <c r="B15" s="55" t="s">
        <v>11</v>
      </c>
      <c r="C15" s="57"/>
      <c r="D15" s="57">
        <v>1836.029384356</v>
      </c>
      <c r="E15" s="57">
        <v>4385.8423969999994</v>
      </c>
      <c r="F15" s="57"/>
      <c r="G15" s="57">
        <v>6221.8717813559997</v>
      </c>
      <c r="H15" s="57"/>
      <c r="I15" s="57"/>
      <c r="J15" s="57"/>
      <c r="K15" s="57"/>
      <c r="L15" s="57"/>
      <c r="M15" s="57"/>
      <c r="N15" s="73"/>
      <c r="O15" s="57"/>
      <c r="P15" s="57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</row>
    <row r="16" spans="1:59" ht="12" customHeight="1" x14ac:dyDescent="0.25">
      <c r="A16" s="55">
        <v>2004</v>
      </c>
      <c r="B16" s="55" t="s">
        <v>12</v>
      </c>
      <c r="C16" s="57"/>
      <c r="D16" s="57"/>
      <c r="E16" s="57">
        <v>3201.5102000000002</v>
      </c>
      <c r="F16" s="57"/>
      <c r="G16" s="57">
        <v>3201.5102000000002</v>
      </c>
      <c r="H16" s="57"/>
      <c r="I16" s="57"/>
      <c r="J16" s="57"/>
      <c r="K16" s="57"/>
      <c r="L16" s="57"/>
      <c r="M16" s="57"/>
      <c r="N16" s="73"/>
      <c r="O16" s="57"/>
      <c r="P16" s="57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</row>
    <row r="17" spans="1:7" ht="12" customHeight="1" x14ac:dyDescent="0.25">
      <c r="A17" s="55">
        <v>2004</v>
      </c>
      <c r="B17" s="55" t="s">
        <v>13</v>
      </c>
      <c r="C17" s="57"/>
      <c r="D17" s="57">
        <v>2718.3028549999999</v>
      </c>
      <c r="E17" s="57">
        <v>4074.5100520000001</v>
      </c>
      <c r="F17" s="57"/>
      <c r="G17" s="57">
        <v>6792.8129069999995</v>
      </c>
    </row>
    <row r="18" spans="1:7" ht="12" customHeight="1" x14ac:dyDescent="0.25">
      <c r="A18" s="55">
        <v>2004</v>
      </c>
      <c r="B18" s="55" t="s">
        <v>14</v>
      </c>
      <c r="C18" s="57">
        <v>907.844517</v>
      </c>
      <c r="D18" s="57">
        <v>1845.7955659510001</v>
      </c>
      <c r="E18" s="57">
        <v>2549.5411079999999</v>
      </c>
      <c r="F18" s="57"/>
      <c r="G18" s="57">
        <v>5303.1811909509997</v>
      </c>
    </row>
    <row r="19" spans="1:7" ht="12" customHeight="1" x14ac:dyDescent="0.25">
      <c r="A19" s="55">
        <v>2004</v>
      </c>
      <c r="B19" s="55" t="s">
        <v>15</v>
      </c>
      <c r="C19" s="57">
        <v>3672.4253577539998</v>
      </c>
      <c r="D19" s="57">
        <v>14287.918093631</v>
      </c>
      <c r="E19" s="57">
        <v>44683.611133999992</v>
      </c>
      <c r="F19" s="57"/>
      <c r="G19" s="57">
        <v>62643.954585385</v>
      </c>
    </row>
    <row r="20" spans="1:7" ht="12" customHeight="1" x14ac:dyDescent="0.25">
      <c r="A20" s="55">
        <v>2005</v>
      </c>
      <c r="B20" s="55" t="s">
        <v>3</v>
      </c>
      <c r="C20" s="57">
        <v>929.00524699999994</v>
      </c>
      <c r="D20" s="57">
        <v>1823.5206446930003</v>
      </c>
      <c r="E20" s="57">
        <v>4301.9348830000017</v>
      </c>
      <c r="F20" s="57"/>
      <c r="G20" s="57">
        <v>7054.4607746930023</v>
      </c>
    </row>
    <row r="21" spans="1:7" ht="12" customHeight="1" x14ac:dyDescent="0.25">
      <c r="A21" s="55">
        <v>2005</v>
      </c>
      <c r="B21" s="55" t="s">
        <v>4</v>
      </c>
      <c r="C21" s="57">
        <v>908.65110699999991</v>
      </c>
      <c r="D21" s="57">
        <v>1748.2217846630001</v>
      </c>
      <c r="E21" s="57">
        <v>3711.8447809999998</v>
      </c>
      <c r="F21" s="57"/>
      <c r="G21" s="57">
        <v>6368.7176726629996</v>
      </c>
    </row>
    <row r="22" spans="1:7" ht="12" customHeight="1" x14ac:dyDescent="0.25">
      <c r="A22" s="55">
        <v>2005</v>
      </c>
      <c r="B22" s="55" t="s">
        <v>5</v>
      </c>
      <c r="C22" s="57">
        <v>920.90714900000012</v>
      </c>
      <c r="D22" s="57">
        <v>1627.5263425000001</v>
      </c>
      <c r="E22" s="57">
        <v>3436.9731299999999</v>
      </c>
      <c r="F22" s="57"/>
      <c r="G22" s="57">
        <v>5985.4066215000003</v>
      </c>
    </row>
    <row r="23" spans="1:7" ht="12" customHeight="1" x14ac:dyDescent="0.25">
      <c r="A23" s="55">
        <v>2005</v>
      </c>
      <c r="B23" s="55" t="s">
        <v>6</v>
      </c>
      <c r="C23" s="57"/>
      <c r="D23" s="57">
        <v>1776.8264513999998</v>
      </c>
      <c r="E23" s="57">
        <v>5294.2199709999995</v>
      </c>
      <c r="F23" s="57"/>
      <c r="G23" s="57">
        <v>7071.0464223999988</v>
      </c>
    </row>
    <row r="24" spans="1:7" ht="12" customHeight="1" x14ac:dyDescent="0.25">
      <c r="A24" s="55">
        <v>2005</v>
      </c>
      <c r="B24" s="55" t="s">
        <v>7</v>
      </c>
      <c r="C24" s="57"/>
      <c r="D24" s="57">
        <v>376.78073000000006</v>
      </c>
      <c r="E24" s="57">
        <v>5468.7581899999996</v>
      </c>
      <c r="F24" s="57"/>
      <c r="G24" s="57">
        <v>5845.53892</v>
      </c>
    </row>
    <row r="25" spans="1:7" ht="12" customHeight="1" x14ac:dyDescent="0.25">
      <c r="A25" s="55">
        <v>2005</v>
      </c>
      <c r="B25" s="55" t="s">
        <v>8</v>
      </c>
      <c r="C25" s="57"/>
      <c r="D25" s="57">
        <v>1917.0831599799997</v>
      </c>
      <c r="E25" s="57">
        <v>5036.7294840000004</v>
      </c>
      <c r="F25" s="57"/>
      <c r="G25" s="57">
        <v>6953.8126439799998</v>
      </c>
    </row>
    <row r="26" spans="1:7" ht="12" customHeight="1" x14ac:dyDescent="0.25">
      <c r="A26" s="55">
        <v>2005</v>
      </c>
      <c r="B26" s="55" t="s">
        <v>9</v>
      </c>
      <c r="C26" s="57"/>
      <c r="D26" s="57">
        <v>2399.8330860000001</v>
      </c>
      <c r="E26" s="57">
        <v>4892.8305281259991</v>
      </c>
      <c r="F26" s="57"/>
      <c r="G26" s="57">
        <v>7292.6636141259987</v>
      </c>
    </row>
    <row r="27" spans="1:7" ht="12" customHeight="1" x14ac:dyDescent="0.25">
      <c r="A27" s="55">
        <v>2005</v>
      </c>
      <c r="B27" s="55" t="s">
        <v>10</v>
      </c>
      <c r="C27" s="57"/>
      <c r="D27" s="57">
        <v>924.67048999999997</v>
      </c>
      <c r="E27" s="57">
        <v>5760.9630189999998</v>
      </c>
      <c r="F27" s="57"/>
      <c r="G27" s="57">
        <v>6685.6335089999993</v>
      </c>
    </row>
    <row r="28" spans="1:7" ht="12" customHeight="1" x14ac:dyDescent="0.25">
      <c r="A28" s="55">
        <v>2005</v>
      </c>
      <c r="B28" s="55" t="s">
        <v>11</v>
      </c>
      <c r="C28" s="57"/>
      <c r="D28" s="57">
        <v>1851.372633</v>
      </c>
      <c r="E28" s="57">
        <v>6212.8715769999999</v>
      </c>
      <c r="F28" s="57"/>
      <c r="G28" s="57">
        <v>8064.2442099999998</v>
      </c>
    </row>
    <row r="29" spans="1:7" ht="12" customHeight="1" x14ac:dyDescent="0.25">
      <c r="A29" s="55">
        <v>2005</v>
      </c>
      <c r="B29" s="55" t="s">
        <v>12</v>
      </c>
      <c r="C29" s="57"/>
      <c r="D29" s="57">
        <v>2499.509325</v>
      </c>
      <c r="E29" s="57">
        <v>3941.1336979999992</v>
      </c>
      <c r="F29" s="57"/>
      <c r="G29" s="57">
        <v>6440.6430229999987</v>
      </c>
    </row>
    <row r="30" spans="1:7" ht="12" customHeight="1" x14ac:dyDescent="0.25">
      <c r="A30" s="55">
        <v>2005</v>
      </c>
      <c r="B30" s="55" t="s">
        <v>13</v>
      </c>
      <c r="C30" s="57"/>
      <c r="D30" s="57">
        <v>289.999999</v>
      </c>
      <c r="E30" s="57">
        <v>3733.4382420000002</v>
      </c>
      <c r="F30" s="57"/>
      <c r="G30" s="57">
        <v>4023.4382410000003</v>
      </c>
    </row>
    <row r="31" spans="1:7" ht="12" customHeight="1" x14ac:dyDescent="0.25">
      <c r="A31" s="55">
        <v>2005</v>
      </c>
      <c r="B31" s="55" t="s">
        <v>14</v>
      </c>
      <c r="C31" s="57"/>
      <c r="D31" s="57">
        <v>2588.7174519999999</v>
      </c>
      <c r="E31" s="57">
        <v>2563.2696559999999</v>
      </c>
      <c r="F31" s="57"/>
      <c r="G31" s="57">
        <v>5151.9871079999994</v>
      </c>
    </row>
    <row r="32" spans="1:7" ht="12" customHeight="1" x14ac:dyDescent="0.25">
      <c r="A32" s="55">
        <v>2005</v>
      </c>
      <c r="B32" s="55" t="s">
        <v>15</v>
      </c>
      <c r="C32" s="57">
        <v>2758.5635029999999</v>
      </c>
      <c r="D32" s="57">
        <v>19824.062098236001</v>
      </c>
      <c r="E32" s="57">
        <v>54354.96715912599</v>
      </c>
      <c r="F32" s="57"/>
      <c r="G32" s="57">
        <v>76937.592760361993</v>
      </c>
    </row>
    <row r="33" spans="1:7" ht="12" customHeight="1" x14ac:dyDescent="0.25">
      <c r="A33" s="55">
        <v>2006</v>
      </c>
      <c r="B33" s="55" t="s">
        <v>3</v>
      </c>
      <c r="C33" s="57"/>
      <c r="D33" s="57">
        <v>993.9039939999999</v>
      </c>
      <c r="E33" s="57">
        <v>4338.5477215339997</v>
      </c>
      <c r="F33" s="57"/>
      <c r="G33" s="57">
        <v>5332.451715534</v>
      </c>
    </row>
    <row r="34" spans="1:7" ht="12" customHeight="1" x14ac:dyDescent="0.25">
      <c r="A34" s="55">
        <v>2006</v>
      </c>
      <c r="B34" s="55" t="s">
        <v>4</v>
      </c>
      <c r="C34" s="57"/>
      <c r="D34" s="57">
        <v>1893.2640779999999</v>
      </c>
      <c r="E34" s="57">
        <v>3087.1557000000003</v>
      </c>
      <c r="F34" s="57"/>
      <c r="G34" s="57">
        <v>4980.4197780000004</v>
      </c>
    </row>
    <row r="35" spans="1:7" ht="12" customHeight="1" x14ac:dyDescent="0.25">
      <c r="A35" s="55">
        <v>2006</v>
      </c>
      <c r="B35" s="55" t="s">
        <v>5</v>
      </c>
      <c r="C35" s="57"/>
      <c r="D35" s="57">
        <v>990.11776499999996</v>
      </c>
      <c r="E35" s="57">
        <v>3443.8571609999999</v>
      </c>
      <c r="F35" s="57"/>
      <c r="G35" s="57">
        <v>4433.9749259999999</v>
      </c>
    </row>
    <row r="36" spans="1:7" ht="12" customHeight="1" x14ac:dyDescent="0.25">
      <c r="A36" s="55">
        <v>2006</v>
      </c>
      <c r="B36" s="55" t="s">
        <v>6</v>
      </c>
      <c r="C36" s="57"/>
      <c r="D36" s="57">
        <v>801.37447699999996</v>
      </c>
      <c r="E36" s="57">
        <v>5534.1147870000004</v>
      </c>
      <c r="F36" s="57"/>
      <c r="G36" s="57">
        <v>6335.4892640000007</v>
      </c>
    </row>
    <row r="37" spans="1:7" ht="12" customHeight="1" x14ac:dyDescent="0.25">
      <c r="A37" s="55">
        <v>2006</v>
      </c>
      <c r="B37" s="55" t="s">
        <v>7</v>
      </c>
      <c r="C37" s="57"/>
      <c r="D37" s="57"/>
      <c r="E37" s="57">
        <v>5872.1050482460005</v>
      </c>
      <c r="F37" s="57"/>
      <c r="G37" s="57">
        <v>5872.1050482460005</v>
      </c>
    </row>
    <row r="38" spans="1:7" ht="12" customHeight="1" x14ac:dyDescent="0.25">
      <c r="A38" s="55">
        <v>2006</v>
      </c>
      <c r="B38" s="55" t="s">
        <v>8</v>
      </c>
      <c r="C38" s="57"/>
      <c r="D38" s="57"/>
      <c r="E38" s="57">
        <v>6269.1371390000004</v>
      </c>
      <c r="F38" s="57"/>
      <c r="G38" s="57">
        <v>6269.1371390000004</v>
      </c>
    </row>
    <row r="39" spans="1:7" ht="12" customHeight="1" x14ac:dyDescent="0.25">
      <c r="A39" s="55">
        <v>2006</v>
      </c>
      <c r="B39" s="55" t="s">
        <v>9</v>
      </c>
      <c r="C39" s="57"/>
      <c r="D39" s="57">
        <v>1904.6399739999999</v>
      </c>
      <c r="E39" s="57">
        <v>8427.6069790000001</v>
      </c>
      <c r="F39" s="57"/>
      <c r="G39" s="57">
        <v>10332.246953</v>
      </c>
    </row>
    <row r="40" spans="1:7" ht="12" customHeight="1" x14ac:dyDescent="0.25">
      <c r="A40" s="55">
        <v>2006</v>
      </c>
      <c r="B40" s="55" t="s">
        <v>10</v>
      </c>
      <c r="C40" s="57"/>
      <c r="D40" s="57"/>
      <c r="E40" s="57">
        <v>6404.3791919999994</v>
      </c>
      <c r="F40" s="57"/>
      <c r="G40" s="57">
        <v>6404.3791919999994</v>
      </c>
    </row>
    <row r="41" spans="1:7" ht="12" customHeight="1" x14ac:dyDescent="0.25">
      <c r="A41" s="55">
        <v>2006</v>
      </c>
      <c r="B41" s="55" t="s">
        <v>11</v>
      </c>
      <c r="C41" s="57"/>
      <c r="D41" s="57"/>
      <c r="E41" s="57">
        <v>4467.2735939999993</v>
      </c>
      <c r="F41" s="57"/>
      <c r="G41" s="57">
        <v>4467.2735939999993</v>
      </c>
    </row>
    <row r="42" spans="1:7" ht="12" customHeight="1" x14ac:dyDescent="0.25">
      <c r="A42" s="55">
        <v>2006</v>
      </c>
      <c r="B42" s="55" t="s">
        <v>12</v>
      </c>
      <c r="C42" s="57"/>
      <c r="D42" s="57">
        <v>1470.6379339999999</v>
      </c>
      <c r="E42" s="57">
        <v>4947.1735410000001</v>
      </c>
      <c r="F42" s="57"/>
      <c r="G42" s="57">
        <v>6417.8114750000004</v>
      </c>
    </row>
    <row r="43" spans="1:7" ht="12" customHeight="1" x14ac:dyDescent="0.25">
      <c r="A43" s="55">
        <v>2006</v>
      </c>
      <c r="B43" s="55" t="s">
        <v>13</v>
      </c>
      <c r="C43" s="57"/>
      <c r="D43" s="57">
        <v>1620.9016079999999</v>
      </c>
      <c r="E43" s="57">
        <v>3652.6698480000005</v>
      </c>
      <c r="F43" s="57"/>
      <c r="G43" s="57">
        <v>5273.5714560000006</v>
      </c>
    </row>
    <row r="44" spans="1:7" ht="12" customHeight="1" x14ac:dyDescent="0.25">
      <c r="A44" s="55">
        <v>2006</v>
      </c>
      <c r="B44" s="55" t="s">
        <v>14</v>
      </c>
      <c r="C44" s="57"/>
      <c r="D44" s="57"/>
      <c r="E44" s="57">
        <v>6158.4472589999996</v>
      </c>
      <c r="F44" s="57"/>
      <c r="G44" s="57">
        <v>6158.4472589999996</v>
      </c>
    </row>
    <row r="45" spans="1:7" ht="12" customHeight="1" x14ac:dyDescent="0.25">
      <c r="A45" s="55">
        <v>2006</v>
      </c>
      <c r="B45" s="55" t="s">
        <v>15</v>
      </c>
      <c r="C45" s="57"/>
      <c r="D45" s="57">
        <v>9674.839829999999</v>
      </c>
      <c r="E45" s="57">
        <v>62602.467969780002</v>
      </c>
      <c r="F45" s="57"/>
      <c r="G45" s="57">
        <v>72277.307799779999</v>
      </c>
    </row>
    <row r="46" spans="1:7" ht="12" customHeight="1" x14ac:dyDescent="0.25">
      <c r="A46" s="55">
        <v>2007</v>
      </c>
      <c r="B46" s="55" t="s">
        <v>3</v>
      </c>
      <c r="C46" s="57"/>
      <c r="D46" s="57"/>
      <c r="E46" s="57">
        <v>5546.1738210000003</v>
      </c>
      <c r="F46" s="57"/>
      <c r="G46" s="57">
        <v>5546.1738210000003</v>
      </c>
    </row>
    <row r="47" spans="1:7" ht="12" customHeight="1" x14ac:dyDescent="0.25">
      <c r="A47" s="55">
        <v>2007</v>
      </c>
      <c r="B47" s="55" t="s">
        <v>4</v>
      </c>
      <c r="C47" s="57"/>
      <c r="D47" s="57"/>
      <c r="E47" s="57">
        <v>4010.3649359999999</v>
      </c>
      <c r="F47" s="57"/>
      <c r="G47" s="57">
        <v>4010.3649359999999</v>
      </c>
    </row>
    <row r="48" spans="1:7" ht="12" customHeight="1" x14ac:dyDescent="0.25">
      <c r="A48" s="55">
        <v>2007</v>
      </c>
      <c r="B48" s="55" t="s">
        <v>5</v>
      </c>
      <c r="C48" s="57"/>
      <c r="D48" s="57"/>
      <c r="E48" s="57">
        <v>4281.8116900000005</v>
      </c>
      <c r="F48" s="57"/>
      <c r="G48" s="57">
        <v>4281.8116900000005</v>
      </c>
    </row>
    <row r="49" spans="1:7" ht="12" customHeight="1" x14ac:dyDescent="0.25">
      <c r="A49" s="55">
        <v>2007</v>
      </c>
      <c r="B49" s="55" t="s">
        <v>6</v>
      </c>
      <c r="C49" s="57"/>
      <c r="D49" s="57"/>
      <c r="E49" s="57">
        <v>3010.1185699999996</v>
      </c>
      <c r="F49" s="57"/>
      <c r="G49" s="57">
        <v>3010.1185699999996</v>
      </c>
    </row>
    <row r="50" spans="1:7" ht="12" customHeight="1" x14ac:dyDescent="0.25">
      <c r="A50" s="55">
        <v>2007</v>
      </c>
      <c r="B50" s="55" t="s">
        <v>7</v>
      </c>
      <c r="C50" s="57"/>
      <c r="D50" s="57"/>
      <c r="E50" s="57">
        <v>5305.6965089999994</v>
      </c>
      <c r="F50" s="57"/>
      <c r="G50" s="57">
        <v>5305.6965089999994</v>
      </c>
    </row>
    <row r="51" spans="1:7" ht="12" customHeight="1" x14ac:dyDescent="0.25">
      <c r="A51" s="55">
        <v>2007</v>
      </c>
      <c r="B51" s="55" t="s">
        <v>8</v>
      </c>
      <c r="C51" s="57"/>
      <c r="D51" s="57"/>
      <c r="E51" s="57">
        <v>4126.5587869999999</v>
      </c>
      <c r="F51" s="57"/>
      <c r="G51" s="57">
        <v>4126.5587869999999</v>
      </c>
    </row>
    <row r="52" spans="1:7" ht="12" customHeight="1" x14ac:dyDescent="0.25">
      <c r="A52" s="55">
        <v>2007</v>
      </c>
      <c r="B52" s="55" t="s">
        <v>9</v>
      </c>
      <c r="C52" s="57"/>
      <c r="D52" s="57">
        <v>952.76199999999994</v>
      </c>
      <c r="E52" s="57">
        <v>4585.3485710000004</v>
      </c>
      <c r="F52" s="57"/>
      <c r="G52" s="57">
        <v>5538.1105710000002</v>
      </c>
    </row>
    <row r="53" spans="1:7" ht="12" customHeight="1" x14ac:dyDescent="0.25">
      <c r="A53" s="55">
        <v>2007</v>
      </c>
      <c r="B53" s="55" t="s">
        <v>10</v>
      </c>
      <c r="C53" s="57"/>
      <c r="D53" s="57"/>
      <c r="E53" s="57">
        <v>3383.231902</v>
      </c>
      <c r="F53" s="57"/>
      <c r="G53" s="57">
        <v>3383.231902</v>
      </c>
    </row>
    <row r="54" spans="1:7" ht="12" customHeight="1" x14ac:dyDescent="0.25">
      <c r="A54" s="55">
        <v>2007</v>
      </c>
      <c r="B54" s="55" t="s">
        <v>11</v>
      </c>
      <c r="C54" s="57"/>
      <c r="D54" s="57"/>
      <c r="E54" s="57">
        <v>4337.5326569999997</v>
      </c>
      <c r="F54" s="57"/>
      <c r="G54" s="57">
        <v>4337.5326569999997</v>
      </c>
    </row>
    <row r="55" spans="1:7" ht="12" customHeight="1" x14ac:dyDescent="0.25">
      <c r="A55" s="55">
        <v>2007</v>
      </c>
      <c r="B55" s="55" t="s">
        <v>12</v>
      </c>
      <c r="C55" s="57"/>
      <c r="D55" s="57"/>
      <c r="E55" s="57">
        <v>3478.5929860000006</v>
      </c>
      <c r="F55" s="57"/>
      <c r="G55" s="57">
        <v>3478.5929860000006</v>
      </c>
    </row>
    <row r="56" spans="1:7" ht="12" customHeight="1" x14ac:dyDescent="0.25">
      <c r="A56" s="55">
        <v>2007</v>
      </c>
      <c r="B56" s="55" t="s">
        <v>13</v>
      </c>
      <c r="C56" s="57"/>
      <c r="D56" s="57"/>
      <c r="E56" s="57">
        <v>5484.9376950000005</v>
      </c>
      <c r="F56" s="57"/>
      <c r="G56" s="57">
        <v>5484.9376950000005</v>
      </c>
    </row>
    <row r="57" spans="1:7" ht="12" customHeight="1" x14ac:dyDescent="0.25">
      <c r="A57" s="55">
        <v>2007</v>
      </c>
      <c r="B57" s="55" t="s">
        <v>14</v>
      </c>
      <c r="C57" s="57"/>
      <c r="D57" s="57"/>
      <c r="E57" s="57">
        <v>5123.0936600000005</v>
      </c>
      <c r="F57" s="57"/>
      <c r="G57" s="57">
        <v>5123.0936600000005</v>
      </c>
    </row>
    <row r="58" spans="1:7" ht="12" customHeight="1" x14ac:dyDescent="0.25">
      <c r="A58" s="55">
        <v>2007</v>
      </c>
      <c r="B58" s="55" t="s">
        <v>15</v>
      </c>
      <c r="C58" s="57"/>
      <c r="D58" s="57">
        <v>952.76199999999994</v>
      </c>
      <c r="E58" s="57">
        <v>52673.461783999999</v>
      </c>
      <c r="F58" s="57"/>
      <c r="G58" s="57">
        <v>53626.223784000002</v>
      </c>
    </row>
    <row r="59" spans="1:7" ht="12" customHeight="1" x14ac:dyDescent="0.25">
      <c r="A59" s="55">
        <v>2008</v>
      </c>
      <c r="B59" s="55" t="s">
        <v>3</v>
      </c>
      <c r="C59" s="57"/>
      <c r="D59" s="57"/>
      <c r="E59" s="57">
        <v>6537.3267000000005</v>
      </c>
      <c r="F59" s="57"/>
      <c r="G59" s="57">
        <v>6537.3267000000005</v>
      </c>
    </row>
    <row r="60" spans="1:7" ht="12" customHeight="1" x14ac:dyDescent="0.25">
      <c r="A60" s="55">
        <v>2008</v>
      </c>
      <c r="B60" s="55" t="s">
        <v>4</v>
      </c>
      <c r="C60" s="57"/>
      <c r="D60" s="57"/>
      <c r="E60" s="57">
        <v>4519.6157300000004</v>
      </c>
      <c r="F60" s="57"/>
      <c r="G60" s="57">
        <v>4519.6157300000004</v>
      </c>
    </row>
    <row r="61" spans="1:7" ht="12" customHeight="1" x14ac:dyDescent="0.25">
      <c r="A61" s="55">
        <v>2008</v>
      </c>
      <c r="B61" s="55" t="s">
        <v>5</v>
      </c>
      <c r="C61" s="57"/>
      <c r="D61" s="57"/>
      <c r="E61" s="57">
        <v>5237.6455849999993</v>
      </c>
      <c r="F61" s="57"/>
      <c r="G61" s="57">
        <v>5237.6455849999993</v>
      </c>
    </row>
    <row r="62" spans="1:7" ht="12" customHeight="1" x14ac:dyDescent="0.25">
      <c r="A62" s="55">
        <v>2008</v>
      </c>
      <c r="B62" s="55" t="s">
        <v>6</v>
      </c>
      <c r="C62" s="57"/>
      <c r="D62" s="57"/>
      <c r="E62" s="57">
        <v>3949.2482</v>
      </c>
      <c r="F62" s="57"/>
      <c r="G62" s="57">
        <v>3949.2482</v>
      </c>
    </row>
    <row r="63" spans="1:7" ht="12" customHeight="1" x14ac:dyDescent="0.25">
      <c r="A63" s="55">
        <v>2008</v>
      </c>
      <c r="B63" s="55" t="s">
        <v>7</v>
      </c>
      <c r="C63" s="57"/>
      <c r="D63" s="57"/>
      <c r="E63" s="57">
        <v>4558.5508609999997</v>
      </c>
      <c r="F63" s="57"/>
      <c r="G63" s="57">
        <v>4558.5508609999997</v>
      </c>
    </row>
    <row r="64" spans="1:7" ht="12" customHeight="1" x14ac:dyDescent="0.25">
      <c r="A64" s="55">
        <v>2008</v>
      </c>
      <c r="B64" s="55" t="s">
        <v>8</v>
      </c>
      <c r="C64" s="57"/>
      <c r="D64" s="57"/>
      <c r="E64" s="57">
        <v>4790.6225839999997</v>
      </c>
      <c r="F64" s="57"/>
      <c r="G64" s="57">
        <v>4790.6225839999997</v>
      </c>
    </row>
    <row r="65" spans="1:7" ht="12" customHeight="1" x14ac:dyDescent="0.25">
      <c r="A65" s="55">
        <v>2008</v>
      </c>
      <c r="B65" s="55" t="s">
        <v>9</v>
      </c>
      <c r="C65" s="57"/>
      <c r="D65" s="57"/>
      <c r="E65" s="57">
        <v>4494.3366999999998</v>
      </c>
      <c r="F65" s="57"/>
      <c r="G65" s="57">
        <v>4494.3366999999998</v>
      </c>
    </row>
    <row r="66" spans="1:7" ht="12" customHeight="1" x14ac:dyDescent="0.25">
      <c r="A66" s="55">
        <v>2008</v>
      </c>
      <c r="B66" s="55" t="s">
        <v>10</v>
      </c>
      <c r="C66" s="57"/>
      <c r="D66" s="57"/>
      <c r="E66" s="57">
        <v>3511.631093</v>
      </c>
      <c r="F66" s="57"/>
      <c r="G66" s="57">
        <v>3511.631093</v>
      </c>
    </row>
    <row r="67" spans="1:7" ht="12" customHeight="1" x14ac:dyDescent="0.25">
      <c r="A67" s="55">
        <v>2008</v>
      </c>
      <c r="B67" s="55" t="s">
        <v>11</v>
      </c>
      <c r="C67" s="57"/>
      <c r="D67" s="57"/>
      <c r="E67" s="57">
        <v>4316.9013900000009</v>
      </c>
      <c r="F67" s="57"/>
      <c r="G67" s="57">
        <v>4316.9013900000009</v>
      </c>
    </row>
    <row r="68" spans="1:7" ht="12" customHeight="1" x14ac:dyDescent="0.25">
      <c r="A68" s="55">
        <v>2008</v>
      </c>
      <c r="B68" s="55" t="s">
        <v>12</v>
      </c>
      <c r="C68" s="57"/>
      <c r="D68" s="57">
        <v>959.38056400000005</v>
      </c>
      <c r="E68" s="57">
        <v>5404.6244539999998</v>
      </c>
      <c r="F68" s="57"/>
      <c r="G68" s="57">
        <v>6364.0050179999998</v>
      </c>
    </row>
    <row r="69" spans="1:7" ht="12" customHeight="1" x14ac:dyDescent="0.25">
      <c r="A69" s="55">
        <v>2008</v>
      </c>
      <c r="B69" s="55" t="s">
        <v>13</v>
      </c>
      <c r="C69" s="57"/>
      <c r="D69" s="57">
        <v>956.39201700000001</v>
      </c>
      <c r="E69" s="57">
        <v>5569.0085090000002</v>
      </c>
      <c r="F69" s="57"/>
      <c r="G69" s="57">
        <v>6525.4005260000004</v>
      </c>
    </row>
    <row r="70" spans="1:7" ht="12" customHeight="1" x14ac:dyDescent="0.25">
      <c r="A70" s="55">
        <v>2008</v>
      </c>
      <c r="B70" s="55" t="s">
        <v>14</v>
      </c>
      <c r="C70" s="57"/>
      <c r="D70" s="57"/>
      <c r="E70" s="57">
        <v>4437.7753599999996</v>
      </c>
      <c r="F70" s="57"/>
      <c r="G70" s="57">
        <v>4437.7753599999996</v>
      </c>
    </row>
    <row r="71" spans="1:7" ht="12" customHeight="1" x14ac:dyDescent="0.25">
      <c r="A71" s="55">
        <v>2008</v>
      </c>
      <c r="B71" s="55" t="s">
        <v>15</v>
      </c>
      <c r="C71" s="57"/>
      <c r="D71" s="57">
        <v>1915.7725810000002</v>
      </c>
      <c r="E71" s="57">
        <v>57327.287165999995</v>
      </c>
      <c r="F71" s="57"/>
      <c r="G71" s="57">
        <v>59243.059746999992</v>
      </c>
    </row>
    <row r="72" spans="1:7" ht="12" customHeight="1" x14ac:dyDescent="0.25">
      <c r="A72" s="55">
        <v>2009</v>
      </c>
      <c r="B72" s="55" t="s">
        <v>3</v>
      </c>
      <c r="C72" s="57"/>
      <c r="D72" s="57"/>
      <c r="E72" s="57">
        <v>4825.1204299999999</v>
      </c>
      <c r="F72" s="57"/>
      <c r="G72" s="57">
        <v>4825.1204299999999</v>
      </c>
    </row>
    <row r="73" spans="1:7" ht="12" customHeight="1" x14ac:dyDescent="0.25">
      <c r="A73" s="55">
        <v>2009</v>
      </c>
      <c r="B73" s="55" t="s">
        <v>4</v>
      </c>
      <c r="C73" s="57"/>
      <c r="D73" s="57">
        <v>1896.7746000000002</v>
      </c>
      <c r="E73" s="57">
        <v>2321.3197999999998</v>
      </c>
      <c r="F73" s="57"/>
      <c r="G73" s="57">
        <v>4218.0944</v>
      </c>
    </row>
    <row r="74" spans="1:7" ht="12" customHeight="1" x14ac:dyDescent="0.25">
      <c r="A74" s="55">
        <v>2009</v>
      </c>
      <c r="B74" s="55" t="s">
        <v>5</v>
      </c>
      <c r="C74" s="57"/>
      <c r="D74" s="57">
        <v>982.31070000000011</v>
      </c>
      <c r="E74" s="57">
        <v>4799.0290999999997</v>
      </c>
      <c r="F74" s="57"/>
      <c r="G74" s="57">
        <v>5781.3397999999997</v>
      </c>
    </row>
    <row r="75" spans="1:7" ht="12" customHeight="1" x14ac:dyDescent="0.25">
      <c r="A75" s="55">
        <v>2009</v>
      </c>
      <c r="B75" s="55" t="s">
        <v>6</v>
      </c>
      <c r="C75" s="57"/>
      <c r="D75" s="57">
        <v>1856.99872</v>
      </c>
      <c r="E75" s="57">
        <v>4880.5925699999998</v>
      </c>
      <c r="F75" s="57"/>
      <c r="G75" s="57">
        <v>6737.5912900000003</v>
      </c>
    </row>
    <row r="76" spans="1:7" ht="12" customHeight="1" x14ac:dyDescent="0.25">
      <c r="A76" s="55">
        <v>2009</v>
      </c>
      <c r="B76" s="55" t="s">
        <v>7</v>
      </c>
      <c r="C76" s="57"/>
      <c r="D76" s="57">
        <v>1940.94686</v>
      </c>
      <c r="E76" s="57">
        <v>4037.1550400000001</v>
      </c>
      <c r="F76" s="57"/>
      <c r="G76" s="57">
        <v>5978.1018999999997</v>
      </c>
    </row>
    <row r="77" spans="1:7" ht="12" customHeight="1" x14ac:dyDescent="0.25">
      <c r="A77" s="55">
        <v>2009</v>
      </c>
      <c r="B77" s="55" t="s">
        <v>8</v>
      </c>
      <c r="C77" s="57"/>
      <c r="D77" s="57">
        <v>1872.7990300000001</v>
      </c>
      <c r="E77" s="57">
        <v>4000.6720700000001</v>
      </c>
      <c r="F77" s="57"/>
      <c r="G77" s="57">
        <v>5873.4711000000007</v>
      </c>
    </row>
    <row r="78" spans="1:7" ht="12" customHeight="1" x14ac:dyDescent="0.25">
      <c r="A78" s="55">
        <v>2009</v>
      </c>
      <c r="B78" s="55" t="s">
        <v>9</v>
      </c>
      <c r="C78" s="57"/>
      <c r="D78" s="57">
        <v>961.7360799999999</v>
      </c>
      <c r="E78" s="57">
        <v>5413.23225</v>
      </c>
      <c r="F78" s="57"/>
      <c r="G78" s="57">
        <v>6374.9683299999997</v>
      </c>
    </row>
    <row r="79" spans="1:7" ht="12" customHeight="1" x14ac:dyDescent="0.25">
      <c r="A79" s="55">
        <v>2009</v>
      </c>
      <c r="B79" s="55" t="s">
        <v>10</v>
      </c>
      <c r="C79" s="57"/>
      <c r="D79" s="57">
        <v>2876.7647099999999</v>
      </c>
      <c r="E79" s="57">
        <v>3655.0659500000002</v>
      </c>
      <c r="F79" s="57"/>
      <c r="G79" s="57">
        <v>6531.8306599999996</v>
      </c>
    </row>
    <row r="80" spans="1:7" ht="12" customHeight="1" x14ac:dyDescent="0.25">
      <c r="A80" s="55">
        <v>2009</v>
      </c>
      <c r="B80" s="55" t="s">
        <v>11</v>
      </c>
      <c r="C80" s="57"/>
      <c r="D80" s="57">
        <v>1824.72567</v>
      </c>
      <c r="E80" s="57">
        <v>3662.5491699999998</v>
      </c>
      <c r="F80" s="57"/>
      <c r="G80" s="57">
        <v>5487.27484</v>
      </c>
    </row>
    <row r="81" spans="1:7" ht="12" customHeight="1" x14ac:dyDescent="0.25">
      <c r="A81" s="55">
        <v>2009</v>
      </c>
      <c r="B81" s="55" t="s">
        <v>12</v>
      </c>
      <c r="C81" s="57"/>
      <c r="D81" s="57">
        <v>911.94597999999996</v>
      </c>
      <c r="E81" s="57">
        <v>5520.7908499999994</v>
      </c>
      <c r="F81" s="57"/>
      <c r="G81" s="57">
        <v>6432.7368299999998</v>
      </c>
    </row>
    <row r="82" spans="1:7" ht="12" customHeight="1" x14ac:dyDescent="0.25">
      <c r="A82" s="55">
        <v>2009</v>
      </c>
      <c r="B82" s="55" t="s">
        <v>13</v>
      </c>
      <c r="C82" s="57"/>
      <c r="D82" s="57"/>
      <c r="E82" s="57">
        <v>3633.3804399999995</v>
      </c>
      <c r="F82" s="57"/>
      <c r="G82" s="57">
        <v>3633.3804399999995</v>
      </c>
    </row>
    <row r="83" spans="1:7" ht="12" customHeight="1" x14ac:dyDescent="0.25">
      <c r="A83" s="55">
        <v>2009</v>
      </c>
      <c r="B83" s="55" t="s">
        <v>14</v>
      </c>
      <c r="C83" s="57"/>
      <c r="D83" s="57"/>
      <c r="E83" s="57">
        <v>4895.8173499999994</v>
      </c>
      <c r="F83" s="57">
        <v>1047.5001299999999</v>
      </c>
      <c r="G83" s="57">
        <v>5943.3174799999997</v>
      </c>
    </row>
    <row r="84" spans="1:7" ht="12" customHeight="1" x14ac:dyDescent="0.25">
      <c r="A84" s="55">
        <v>2009</v>
      </c>
      <c r="B84" s="55" t="s">
        <v>15</v>
      </c>
      <c r="C84" s="57"/>
      <c r="D84" s="57">
        <v>15125.002350000001</v>
      </c>
      <c r="E84" s="57">
        <v>51644.725019999998</v>
      </c>
      <c r="F84" s="57">
        <v>1047.5001299999999</v>
      </c>
      <c r="G84" s="57">
        <v>67817.227500000008</v>
      </c>
    </row>
    <row r="85" spans="1:7" ht="12" customHeight="1" x14ac:dyDescent="0.25">
      <c r="A85" s="55">
        <v>2010</v>
      </c>
      <c r="B85" s="55" t="s">
        <v>3</v>
      </c>
      <c r="C85" s="57"/>
      <c r="D85" s="57"/>
      <c r="E85" s="57">
        <v>4756.7622299999994</v>
      </c>
      <c r="F85" s="57"/>
      <c r="G85" s="57">
        <v>4756.7622299999994</v>
      </c>
    </row>
    <row r="86" spans="1:7" ht="12" customHeight="1" x14ac:dyDescent="0.25">
      <c r="A86" s="55">
        <v>2010</v>
      </c>
      <c r="B86" s="55" t="s">
        <v>4</v>
      </c>
      <c r="C86" s="57"/>
      <c r="D86" s="57"/>
      <c r="E86" s="57">
        <v>3963.2062100000003</v>
      </c>
      <c r="F86" s="57"/>
      <c r="G86" s="57">
        <v>3963.2062100000003</v>
      </c>
    </row>
    <row r="87" spans="1:7" ht="12" customHeight="1" x14ac:dyDescent="0.25">
      <c r="A87" s="55">
        <v>2010</v>
      </c>
      <c r="B87" s="55" t="s">
        <v>5</v>
      </c>
      <c r="C87" s="57"/>
      <c r="D87" s="57"/>
      <c r="E87" s="57">
        <v>4032.9585300000003</v>
      </c>
      <c r="F87" s="57"/>
      <c r="G87" s="57">
        <v>4032.9585300000003</v>
      </c>
    </row>
    <row r="88" spans="1:7" ht="12" customHeight="1" x14ac:dyDescent="0.25">
      <c r="A88" s="55">
        <v>2010</v>
      </c>
      <c r="B88" s="55" t="s">
        <v>6</v>
      </c>
      <c r="C88" s="57"/>
      <c r="D88" s="57"/>
      <c r="E88" s="57">
        <v>6014.0084299999999</v>
      </c>
      <c r="F88" s="57">
        <v>949.18809999999996</v>
      </c>
      <c r="G88" s="57">
        <v>6963.1965300000002</v>
      </c>
    </row>
    <row r="89" spans="1:7" ht="12" customHeight="1" x14ac:dyDescent="0.25">
      <c r="A89" s="55">
        <v>2010</v>
      </c>
      <c r="B89" s="55" t="s">
        <v>7</v>
      </c>
      <c r="C89" s="57"/>
      <c r="D89" s="57"/>
      <c r="E89" s="57">
        <v>6186.8732200000004</v>
      </c>
      <c r="F89" s="57">
        <v>949.99716000000001</v>
      </c>
      <c r="G89" s="57">
        <v>7136.8703800000003</v>
      </c>
    </row>
    <row r="90" spans="1:7" ht="12" customHeight="1" x14ac:dyDescent="0.25">
      <c r="A90" s="55">
        <v>2010</v>
      </c>
      <c r="B90" s="55" t="s">
        <v>8</v>
      </c>
      <c r="C90" s="57"/>
      <c r="D90" s="57"/>
      <c r="E90" s="57">
        <v>5640.3672100000013</v>
      </c>
      <c r="F90" s="57"/>
      <c r="G90" s="57">
        <v>5640.3672100000013</v>
      </c>
    </row>
    <row r="91" spans="1:7" ht="12" customHeight="1" x14ac:dyDescent="0.25">
      <c r="A91" s="55">
        <v>2010</v>
      </c>
      <c r="B91" s="55" t="s">
        <v>9</v>
      </c>
      <c r="C91" s="57"/>
      <c r="D91" s="57"/>
      <c r="E91" s="57">
        <v>5007.7611999999999</v>
      </c>
      <c r="F91" s="57"/>
      <c r="G91" s="57">
        <v>5007.7611999999999</v>
      </c>
    </row>
    <row r="92" spans="1:7" ht="12" customHeight="1" x14ac:dyDescent="0.25">
      <c r="A92" s="55">
        <v>2010</v>
      </c>
      <c r="B92" s="55" t="s">
        <v>10</v>
      </c>
      <c r="C92" s="57"/>
      <c r="D92" s="57"/>
      <c r="E92" s="57">
        <v>6410.2311500000005</v>
      </c>
      <c r="F92" s="57"/>
      <c r="G92" s="57">
        <v>6410.2311500000005</v>
      </c>
    </row>
    <row r="93" spans="1:7" ht="12" customHeight="1" x14ac:dyDescent="0.25">
      <c r="A93" s="55">
        <v>2010</v>
      </c>
      <c r="B93" s="55" t="s">
        <v>11</v>
      </c>
      <c r="C93" s="57"/>
      <c r="D93" s="57"/>
      <c r="E93" s="57">
        <v>7930.9480899999999</v>
      </c>
      <c r="F93" s="57">
        <v>1068.3671100000001</v>
      </c>
      <c r="G93" s="57">
        <v>8999.3152000000009</v>
      </c>
    </row>
    <row r="94" spans="1:7" ht="12" customHeight="1" x14ac:dyDescent="0.25">
      <c r="A94" s="55">
        <v>2010</v>
      </c>
      <c r="B94" s="55" t="s">
        <v>12</v>
      </c>
      <c r="C94" s="57"/>
      <c r="D94" s="57"/>
      <c r="E94" s="57">
        <v>7169.6090200000008</v>
      </c>
      <c r="F94" s="57"/>
      <c r="G94" s="57">
        <v>7169.6090200000008</v>
      </c>
    </row>
    <row r="95" spans="1:7" ht="12" customHeight="1" x14ac:dyDescent="0.25">
      <c r="A95" s="55">
        <v>2010</v>
      </c>
      <c r="B95" s="55" t="s">
        <v>13</v>
      </c>
      <c r="C95" s="57"/>
      <c r="D95" s="57"/>
      <c r="E95" s="57">
        <v>4771.1997999999994</v>
      </c>
      <c r="F95" s="57"/>
      <c r="G95" s="57">
        <v>4771.1997999999994</v>
      </c>
    </row>
    <row r="96" spans="1:7" ht="12" customHeight="1" x14ac:dyDescent="0.25">
      <c r="A96" s="55">
        <v>2010</v>
      </c>
      <c r="B96" s="55" t="s">
        <v>14</v>
      </c>
      <c r="C96" s="57"/>
      <c r="D96" s="57">
        <v>1931.1225499999998</v>
      </c>
      <c r="E96" s="57">
        <v>3648.62905</v>
      </c>
      <c r="F96" s="57"/>
      <c r="G96" s="57">
        <v>5579.7515999999996</v>
      </c>
    </row>
    <row r="97" spans="1:7" ht="12" customHeight="1" x14ac:dyDescent="0.25">
      <c r="A97" s="55">
        <v>2010</v>
      </c>
      <c r="B97" s="55" t="s">
        <v>15</v>
      </c>
      <c r="C97" s="57"/>
      <c r="D97" s="57">
        <v>1931.1225499999998</v>
      </c>
      <c r="E97" s="57">
        <v>65532.554140000007</v>
      </c>
      <c r="F97" s="57">
        <v>2967.5523700000003</v>
      </c>
      <c r="G97" s="57">
        <v>70431.229060000012</v>
      </c>
    </row>
    <row r="98" spans="1:7" ht="12" customHeight="1" x14ac:dyDescent="0.25">
      <c r="A98" s="55">
        <v>2011</v>
      </c>
      <c r="B98" s="55" t="s">
        <v>3</v>
      </c>
      <c r="C98" s="57"/>
      <c r="D98" s="57"/>
      <c r="E98" s="57">
        <v>5452.3165499999996</v>
      </c>
      <c r="F98" s="57"/>
      <c r="G98" s="57">
        <v>5452.3165499999996</v>
      </c>
    </row>
    <row r="99" spans="1:7" ht="12" customHeight="1" x14ac:dyDescent="0.25">
      <c r="A99" s="55">
        <v>2011</v>
      </c>
      <c r="B99" s="55" t="s">
        <v>4</v>
      </c>
      <c r="C99" s="57"/>
      <c r="D99" s="57"/>
      <c r="E99" s="57">
        <v>3973.6406100000004</v>
      </c>
      <c r="F99" s="57"/>
      <c r="G99" s="57">
        <v>3973.6406100000004</v>
      </c>
    </row>
    <row r="100" spans="1:7" ht="12" customHeight="1" x14ac:dyDescent="0.25">
      <c r="A100" s="55">
        <v>2011</v>
      </c>
      <c r="B100" s="55" t="s">
        <v>5</v>
      </c>
      <c r="C100" s="57"/>
      <c r="D100" s="57"/>
      <c r="E100" s="57">
        <v>3577.4951900000001</v>
      </c>
      <c r="F100" s="57"/>
      <c r="G100" s="57">
        <v>3577.4951900000001</v>
      </c>
    </row>
    <row r="101" spans="1:7" ht="12" customHeight="1" x14ac:dyDescent="0.25">
      <c r="A101" s="55">
        <v>2011</v>
      </c>
      <c r="B101" s="55" t="s">
        <v>6</v>
      </c>
      <c r="C101" s="57"/>
      <c r="D101" s="57"/>
      <c r="E101" s="57">
        <v>4402.2981500000005</v>
      </c>
      <c r="F101" s="57"/>
      <c r="G101" s="57">
        <v>4402.2981500000005</v>
      </c>
    </row>
    <row r="102" spans="1:7" ht="12" customHeight="1" x14ac:dyDescent="0.25">
      <c r="A102" s="55">
        <v>2011</v>
      </c>
      <c r="B102" s="55" t="s">
        <v>7</v>
      </c>
      <c r="C102" s="57"/>
      <c r="D102" s="57"/>
      <c r="E102" s="57">
        <v>4407.3749100000005</v>
      </c>
      <c r="F102" s="57"/>
      <c r="G102" s="57">
        <v>4407.3749100000005</v>
      </c>
    </row>
    <row r="103" spans="1:7" ht="12" customHeight="1" x14ac:dyDescent="0.25">
      <c r="A103" s="55">
        <v>2011</v>
      </c>
      <c r="B103" s="55" t="s">
        <v>8</v>
      </c>
      <c r="C103" s="57"/>
      <c r="D103" s="57"/>
      <c r="E103" s="57">
        <v>5773.0922600000004</v>
      </c>
      <c r="F103" s="57"/>
      <c r="G103" s="57">
        <v>5773.0922600000004</v>
      </c>
    </row>
    <row r="104" spans="1:7" ht="12" customHeight="1" x14ac:dyDescent="0.25">
      <c r="A104" s="55">
        <v>2011</v>
      </c>
      <c r="B104" s="55" t="s">
        <v>9</v>
      </c>
      <c r="C104" s="57"/>
      <c r="D104" s="57"/>
      <c r="E104" s="57">
        <v>4508.0266200000005</v>
      </c>
      <c r="F104" s="57"/>
      <c r="G104" s="57">
        <v>4508.0266200000005</v>
      </c>
    </row>
    <row r="105" spans="1:7" ht="12" customHeight="1" x14ac:dyDescent="0.25">
      <c r="A105" s="55">
        <v>2011</v>
      </c>
      <c r="B105" s="55" t="s">
        <v>10</v>
      </c>
      <c r="C105" s="57"/>
      <c r="D105" s="57"/>
      <c r="E105" s="57">
        <v>5317.6210700000001</v>
      </c>
      <c r="F105" s="57"/>
      <c r="G105" s="57">
        <v>5317.6210700000001</v>
      </c>
    </row>
    <row r="106" spans="1:7" ht="12" customHeight="1" x14ac:dyDescent="0.25">
      <c r="A106" s="55">
        <v>2011</v>
      </c>
      <c r="B106" s="55" t="s">
        <v>11</v>
      </c>
      <c r="C106" s="57"/>
      <c r="D106" s="57"/>
      <c r="E106" s="57">
        <v>4924.2156699999996</v>
      </c>
      <c r="F106" s="57"/>
      <c r="G106" s="57">
        <v>4924.2156699999996</v>
      </c>
    </row>
    <row r="107" spans="1:7" ht="12" customHeight="1" x14ac:dyDescent="0.25">
      <c r="A107" s="55">
        <v>2011</v>
      </c>
      <c r="B107" s="55" t="s">
        <v>12</v>
      </c>
      <c r="C107" s="57"/>
      <c r="D107" s="57"/>
      <c r="E107" s="57">
        <v>3017.8157999999999</v>
      </c>
      <c r="F107" s="57"/>
      <c r="G107" s="57">
        <v>3017.8157999999999</v>
      </c>
    </row>
    <row r="108" spans="1:7" ht="12" customHeight="1" x14ac:dyDescent="0.25">
      <c r="A108" s="55">
        <v>2011</v>
      </c>
      <c r="B108" s="55" t="s">
        <v>13</v>
      </c>
      <c r="C108" s="57"/>
      <c r="D108" s="57">
        <v>1917.63471</v>
      </c>
      <c r="E108" s="57">
        <v>3497.6349899999996</v>
      </c>
      <c r="F108" s="57"/>
      <c r="G108" s="57">
        <v>5415.2696999999998</v>
      </c>
    </row>
    <row r="109" spans="1:7" ht="12" customHeight="1" x14ac:dyDescent="0.25">
      <c r="A109" s="55">
        <v>2011</v>
      </c>
      <c r="B109" s="55" t="s">
        <v>14</v>
      </c>
      <c r="C109" s="57"/>
      <c r="D109" s="57"/>
      <c r="E109" s="57">
        <v>4450.5446500000007</v>
      </c>
      <c r="F109" s="57"/>
      <c r="G109" s="57">
        <v>4450.5446500000007</v>
      </c>
    </row>
    <row r="110" spans="1:7" ht="12" customHeight="1" x14ac:dyDescent="0.25">
      <c r="A110" s="55">
        <v>2011</v>
      </c>
      <c r="B110" s="55" t="s">
        <v>15</v>
      </c>
      <c r="C110" s="57"/>
      <c r="D110" s="57">
        <v>1917.63471</v>
      </c>
      <c r="E110" s="57">
        <v>53302.07647</v>
      </c>
      <c r="F110" s="57"/>
      <c r="G110" s="57">
        <v>55219.711179999998</v>
      </c>
    </row>
    <row r="111" spans="1:7" ht="12" customHeight="1" x14ac:dyDescent="0.25">
      <c r="A111" s="55">
        <v>2012</v>
      </c>
      <c r="B111" s="55" t="s">
        <v>3</v>
      </c>
      <c r="C111" s="57"/>
      <c r="D111" s="57"/>
      <c r="E111" s="57">
        <v>4458.7379600000004</v>
      </c>
      <c r="F111" s="57"/>
      <c r="G111" s="57">
        <v>4458.7379600000004</v>
      </c>
    </row>
    <row r="112" spans="1:7" ht="12" customHeight="1" x14ac:dyDescent="0.25">
      <c r="A112" s="55">
        <v>2012</v>
      </c>
      <c r="B112" s="55" t="s">
        <v>4</v>
      </c>
      <c r="C112" s="57"/>
      <c r="D112" s="57"/>
      <c r="E112" s="57">
        <v>3520.8821899999998</v>
      </c>
      <c r="F112" s="57"/>
      <c r="G112" s="57">
        <v>3520.8821899999998</v>
      </c>
    </row>
    <row r="113" spans="1:7" ht="12" customHeight="1" x14ac:dyDescent="0.25">
      <c r="A113" s="55">
        <v>2012</v>
      </c>
      <c r="B113" s="55" t="s">
        <v>5</v>
      </c>
      <c r="C113" s="57"/>
      <c r="D113" s="57"/>
      <c r="E113" s="57">
        <v>4970.47156</v>
      </c>
      <c r="F113" s="57"/>
      <c r="G113" s="57">
        <v>4970.47156</v>
      </c>
    </row>
    <row r="114" spans="1:7" ht="12" customHeight="1" x14ac:dyDescent="0.25">
      <c r="A114" s="55">
        <v>2012</v>
      </c>
      <c r="B114" s="55" t="s">
        <v>6</v>
      </c>
      <c r="C114" s="57"/>
      <c r="D114" s="57"/>
      <c r="E114" s="57">
        <v>4227.4067699999996</v>
      </c>
      <c r="F114" s="57"/>
      <c r="G114" s="57">
        <v>4227.4067699999996</v>
      </c>
    </row>
    <row r="115" spans="1:7" ht="12" customHeight="1" x14ac:dyDescent="0.25">
      <c r="A115" s="55">
        <v>2012</v>
      </c>
      <c r="B115" s="55" t="s">
        <v>7</v>
      </c>
      <c r="C115" s="57"/>
      <c r="D115" s="57"/>
      <c r="E115" s="57">
        <v>4210.2981500000005</v>
      </c>
      <c r="F115" s="57"/>
      <c r="G115" s="57">
        <v>4210.2981500000005</v>
      </c>
    </row>
    <row r="116" spans="1:7" ht="12" customHeight="1" x14ac:dyDescent="0.25">
      <c r="A116" s="55">
        <v>2012</v>
      </c>
      <c r="B116" s="55" t="s">
        <v>8</v>
      </c>
      <c r="C116" s="57"/>
      <c r="D116" s="57"/>
      <c r="E116" s="57">
        <v>5372.2148200000001</v>
      </c>
      <c r="F116" s="57"/>
      <c r="G116" s="57">
        <v>5372.2148200000001</v>
      </c>
    </row>
    <row r="117" spans="1:7" ht="12" customHeight="1" x14ac:dyDescent="0.25">
      <c r="A117" s="55">
        <v>2012</v>
      </c>
      <c r="B117" s="55" t="s">
        <v>9</v>
      </c>
      <c r="C117" s="57"/>
      <c r="D117" s="57"/>
      <c r="E117" s="57">
        <v>3376.7879700000003</v>
      </c>
      <c r="F117" s="57"/>
      <c r="G117" s="57">
        <v>3376.7879700000003</v>
      </c>
    </row>
    <row r="118" spans="1:7" ht="12" customHeight="1" x14ac:dyDescent="0.25">
      <c r="A118" s="55">
        <v>2012</v>
      </c>
      <c r="B118" s="55" t="s">
        <v>10</v>
      </c>
      <c r="C118" s="57"/>
      <c r="D118" s="57"/>
      <c r="E118" s="57">
        <v>2659.1039299999998</v>
      </c>
      <c r="F118" s="57"/>
      <c r="G118" s="57">
        <v>2659.1039299999998</v>
      </c>
    </row>
    <row r="119" spans="1:7" ht="12" customHeight="1" x14ac:dyDescent="0.25">
      <c r="A119" s="55">
        <v>2012</v>
      </c>
      <c r="B119" s="55" t="s">
        <v>11</v>
      </c>
      <c r="C119" s="57"/>
      <c r="D119" s="57"/>
      <c r="E119" s="57">
        <v>4380.22721</v>
      </c>
      <c r="F119" s="57"/>
      <c r="G119" s="57">
        <v>4380.22721</v>
      </c>
    </row>
    <row r="120" spans="1:7" ht="12" customHeight="1" x14ac:dyDescent="0.25">
      <c r="A120" s="55">
        <v>2012</v>
      </c>
      <c r="B120" s="55" t="s">
        <v>12</v>
      </c>
      <c r="C120" s="57"/>
      <c r="D120" s="57"/>
      <c r="E120" s="57">
        <v>3218.2714000000001</v>
      </c>
      <c r="F120" s="57"/>
      <c r="G120" s="57">
        <v>3218.2714000000001</v>
      </c>
    </row>
    <row r="121" spans="1:7" ht="12" customHeight="1" x14ac:dyDescent="0.25">
      <c r="A121" s="55">
        <v>2012</v>
      </c>
      <c r="B121" s="55" t="s">
        <v>13</v>
      </c>
      <c r="C121" s="57"/>
      <c r="D121" s="57"/>
      <c r="E121" s="57">
        <v>2680.1118900000001</v>
      </c>
      <c r="F121" s="57"/>
      <c r="G121" s="57">
        <v>2680.1118900000001</v>
      </c>
    </row>
    <row r="122" spans="1:7" ht="12" customHeight="1" x14ac:dyDescent="0.25">
      <c r="A122" s="55">
        <v>2012</v>
      </c>
      <c r="B122" s="55" t="s">
        <v>14</v>
      </c>
      <c r="C122" s="57"/>
      <c r="D122" s="57"/>
      <c r="E122" s="57">
        <v>2687.8165700000004</v>
      </c>
      <c r="F122" s="57"/>
      <c r="G122" s="57">
        <v>2687.8165700000004</v>
      </c>
    </row>
    <row r="123" spans="1:7" ht="12" customHeight="1" x14ac:dyDescent="0.25">
      <c r="A123" s="55">
        <v>2012</v>
      </c>
      <c r="B123" s="55" t="s">
        <v>15</v>
      </c>
      <c r="C123" s="57"/>
      <c r="D123" s="57"/>
      <c r="E123" s="57">
        <v>45762.330420000006</v>
      </c>
      <c r="F123" s="57"/>
      <c r="G123" s="57">
        <v>45762.330420000006</v>
      </c>
    </row>
    <row r="124" spans="1:7" ht="12" customHeight="1" x14ac:dyDescent="0.25">
      <c r="A124" s="55">
        <v>2013</v>
      </c>
      <c r="B124" s="55" t="s">
        <v>3</v>
      </c>
      <c r="C124" s="57"/>
      <c r="D124" s="57"/>
      <c r="E124" s="57">
        <v>2672.9617000000003</v>
      </c>
      <c r="F124" s="57"/>
      <c r="G124" s="57">
        <v>2672.9617000000003</v>
      </c>
    </row>
    <row r="125" spans="1:7" ht="12" customHeight="1" x14ac:dyDescent="0.25">
      <c r="A125" s="55">
        <v>2013</v>
      </c>
      <c r="B125" s="55" t="s">
        <v>4</v>
      </c>
      <c r="C125" s="57"/>
      <c r="D125" s="57"/>
      <c r="E125" s="57">
        <v>2681.9734600000002</v>
      </c>
      <c r="F125" s="57"/>
      <c r="G125" s="57">
        <v>2681.9734600000002</v>
      </c>
    </row>
    <row r="126" spans="1:7" ht="12" customHeight="1" x14ac:dyDescent="0.25">
      <c r="A126" s="55">
        <v>2013</v>
      </c>
      <c r="B126" s="55" t="s">
        <v>5</v>
      </c>
      <c r="C126" s="57"/>
      <c r="D126" s="57">
        <v>969.0493100000001</v>
      </c>
      <c r="E126" s="57">
        <v>4466.3211200000005</v>
      </c>
      <c r="F126" s="57"/>
      <c r="G126" s="57">
        <v>5435.3704300000009</v>
      </c>
    </row>
    <row r="127" spans="1:7" ht="12" customHeight="1" x14ac:dyDescent="0.25">
      <c r="A127" s="55">
        <v>2013</v>
      </c>
      <c r="B127" s="55" t="s">
        <v>6</v>
      </c>
      <c r="C127" s="57"/>
      <c r="D127" s="57">
        <v>523.40258000000006</v>
      </c>
      <c r="E127" s="57">
        <v>1815.9646799999996</v>
      </c>
      <c r="F127" s="57"/>
      <c r="G127" s="57">
        <v>2339.3672599999995</v>
      </c>
    </row>
    <row r="128" spans="1:7" ht="12" customHeight="1" x14ac:dyDescent="0.25">
      <c r="A128" s="55">
        <v>2013</v>
      </c>
      <c r="B128" s="55" t="s">
        <v>7</v>
      </c>
      <c r="C128" s="57"/>
      <c r="D128" s="57">
        <v>424.92662000000001</v>
      </c>
      <c r="E128" s="57">
        <v>3628.9831400000003</v>
      </c>
      <c r="F128" s="57"/>
      <c r="G128" s="57">
        <v>4053.9097600000005</v>
      </c>
    </row>
    <row r="129" spans="1:7" ht="12" customHeight="1" x14ac:dyDescent="0.25">
      <c r="A129" s="55">
        <v>2013</v>
      </c>
      <c r="B129" s="55" t="s">
        <v>8</v>
      </c>
      <c r="C129" s="57"/>
      <c r="D129" s="57"/>
      <c r="E129" s="57">
        <v>3608.5168100000005</v>
      </c>
      <c r="F129" s="57"/>
      <c r="G129" s="57">
        <v>3608.5168100000005</v>
      </c>
    </row>
    <row r="130" spans="1:7" ht="12" customHeight="1" x14ac:dyDescent="0.25">
      <c r="A130" s="55">
        <v>2013</v>
      </c>
      <c r="B130" s="55" t="s">
        <v>9</v>
      </c>
      <c r="C130" s="57"/>
      <c r="D130" s="57"/>
      <c r="E130" s="57">
        <v>2667.29765</v>
      </c>
      <c r="F130" s="57"/>
      <c r="G130" s="57">
        <v>2667.29765</v>
      </c>
    </row>
    <row r="131" spans="1:7" ht="12" customHeight="1" x14ac:dyDescent="0.25">
      <c r="A131" s="55">
        <v>2013</v>
      </c>
      <c r="B131" s="55" t="s">
        <v>10</v>
      </c>
      <c r="C131" s="57"/>
      <c r="D131" s="57"/>
      <c r="E131" s="57">
        <v>5444.74172</v>
      </c>
      <c r="F131" s="57"/>
      <c r="G131" s="57">
        <v>5444.74172</v>
      </c>
    </row>
    <row r="132" spans="1:7" ht="12" customHeight="1" x14ac:dyDescent="0.25">
      <c r="A132" s="55">
        <v>2013</v>
      </c>
      <c r="B132" s="55" t="s">
        <v>11</v>
      </c>
      <c r="C132" s="57"/>
      <c r="D132" s="57"/>
      <c r="E132" s="57">
        <v>4099.4613799999997</v>
      </c>
      <c r="F132" s="57"/>
      <c r="G132" s="57">
        <v>4099.4613799999997</v>
      </c>
    </row>
    <row r="133" spans="1:7" ht="12" customHeight="1" x14ac:dyDescent="0.25">
      <c r="A133" s="55">
        <v>2013</v>
      </c>
      <c r="B133" s="55" t="s">
        <v>12</v>
      </c>
      <c r="C133" s="57"/>
      <c r="D133" s="57"/>
      <c r="E133" s="57">
        <v>3218.5651599999997</v>
      </c>
      <c r="F133" s="57"/>
      <c r="G133" s="57">
        <v>3218.5651599999997</v>
      </c>
    </row>
    <row r="134" spans="1:7" ht="12" customHeight="1" x14ac:dyDescent="0.25">
      <c r="A134" s="55">
        <v>2013</v>
      </c>
      <c r="B134" s="55" t="s">
        <v>13</v>
      </c>
      <c r="C134" s="57"/>
      <c r="D134" s="57"/>
      <c r="E134" s="57">
        <v>3646.1662000000001</v>
      </c>
      <c r="F134" s="57"/>
      <c r="G134" s="57">
        <v>3646.1662000000001</v>
      </c>
    </row>
    <row r="135" spans="1:7" ht="12" customHeight="1" x14ac:dyDescent="0.25">
      <c r="A135" s="55">
        <v>2013</v>
      </c>
      <c r="B135" s="55" t="s">
        <v>14</v>
      </c>
      <c r="C135" s="57"/>
      <c r="D135" s="57"/>
      <c r="E135" s="57">
        <v>2657.8717299999998</v>
      </c>
      <c r="F135" s="57"/>
      <c r="G135" s="57">
        <v>2657.8717299999998</v>
      </c>
    </row>
    <row r="136" spans="1:7" ht="12" customHeight="1" x14ac:dyDescent="0.25">
      <c r="A136" s="55">
        <v>2013</v>
      </c>
      <c r="B136" s="55" t="s">
        <v>15</v>
      </c>
      <c r="C136" s="57"/>
      <c r="D136" s="57">
        <v>1917.3785100000002</v>
      </c>
      <c r="E136" s="57">
        <v>40608.824590000004</v>
      </c>
      <c r="F136" s="57"/>
      <c r="G136" s="57">
        <v>42526.203100000006</v>
      </c>
    </row>
    <row r="137" spans="1:7" ht="12" customHeight="1" x14ac:dyDescent="0.25">
      <c r="A137" s="55">
        <v>2014</v>
      </c>
      <c r="B137" s="55" t="s">
        <v>3</v>
      </c>
      <c r="C137" s="57">
        <v>0</v>
      </c>
      <c r="D137" s="57">
        <v>0</v>
      </c>
      <c r="E137" s="57">
        <v>2674.2854900000002</v>
      </c>
      <c r="F137" s="57">
        <v>0</v>
      </c>
      <c r="G137" s="57">
        <v>2674.2854900000002</v>
      </c>
    </row>
    <row r="138" spans="1:7" ht="12" customHeight="1" x14ac:dyDescent="0.25">
      <c r="A138" s="55">
        <v>2014</v>
      </c>
      <c r="B138" s="55" t="s">
        <v>4</v>
      </c>
      <c r="C138" s="57">
        <v>0</v>
      </c>
      <c r="D138" s="57">
        <v>0</v>
      </c>
      <c r="E138" s="57">
        <v>3535.7342899999999</v>
      </c>
      <c r="F138" s="57">
        <v>0</v>
      </c>
      <c r="G138" s="57">
        <v>3535.7342899999999</v>
      </c>
    </row>
    <row r="139" spans="1:7" ht="12" customHeight="1" x14ac:dyDescent="0.25">
      <c r="A139" s="55">
        <v>2014</v>
      </c>
      <c r="B139" s="55" t="s">
        <v>5</v>
      </c>
      <c r="C139" s="57">
        <v>0</v>
      </c>
      <c r="D139" s="57">
        <v>0</v>
      </c>
      <c r="E139" s="57">
        <v>2772.1874600000001</v>
      </c>
      <c r="F139" s="57">
        <v>0</v>
      </c>
      <c r="G139" s="57">
        <v>2772.1874600000001</v>
      </c>
    </row>
    <row r="140" spans="1:7" ht="12" customHeight="1" x14ac:dyDescent="0.25">
      <c r="A140" s="55">
        <v>2014</v>
      </c>
      <c r="B140" s="55" t="s">
        <v>6</v>
      </c>
      <c r="C140" s="57">
        <v>0</v>
      </c>
      <c r="D140" s="57">
        <v>0</v>
      </c>
      <c r="E140" s="57">
        <v>2715.8817899999999</v>
      </c>
      <c r="F140" s="57">
        <v>0</v>
      </c>
      <c r="G140" s="57">
        <v>2715.8817899999999</v>
      </c>
    </row>
    <row r="141" spans="1:7" ht="12" customHeight="1" x14ac:dyDescent="0.25">
      <c r="A141" s="55">
        <v>2014</v>
      </c>
      <c r="B141" s="55" t="s">
        <v>7</v>
      </c>
      <c r="C141" s="57">
        <v>0</v>
      </c>
      <c r="D141" s="57">
        <v>0</v>
      </c>
      <c r="E141" s="57">
        <v>3204.26593</v>
      </c>
      <c r="F141" s="57">
        <v>0</v>
      </c>
      <c r="G141" s="57">
        <v>3204.26593</v>
      </c>
    </row>
    <row r="142" spans="1:7" ht="12" customHeight="1" x14ac:dyDescent="0.25">
      <c r="A142" s="55">
        <v>2014</v>
      </c>
      <c r="B142" s="55" t="s">
        <v>8</v>
      </c>
      <c r="C142" s="57">
        <v>0</v>
      </c>
      <c r="D142" s="57">
        <v>0</v>
      </c>
      <c r="E142" s="57">
        <v>2670.7048799999998</v>
      </c>
      <c r="F142" s="57">
        <v>0</v>
      </c>
      <c r="G142" s="57">
        <v>2670.7048799999998</v>
      </c>
    </row>
    <row r="143" spans="1:7" ht="12" customHeight="1" x14ac:dyDescent="0.25">
      <c r="A143" s="55">
        <v>2014</v>
      </c>
      <c r="B143" s="55" t="s">
        <v>9</v>
      </c>
      <c r="C143" s="57">
        <v>0</v>
      </c>
      <c r="D143" s="57">
        <v>0</v>
      </c>
      <c r="E143" s="57">
        <v>2669.5612600000004</v>
      </c>
      <c r="F143" s="57">
        <v>0</v>
      </c>
      <c r="G143" s="57">
        <v>2669.5612600000004</v>
      </c>
    </row>
    <row r="144" spans="1:7" ht="12" customHeight="1" x14ac:dyDescent="0.25">
      <c r="A144" s="55">
        <v>2014</v>
      </c>
      <c r="B144" s="55" t="s">
        <v>10</v>
      </c>
      <c r="C144" s="57">
        <v>0</v>
      </c>
      <c r="D144" s="57">
        <v>0</v>
      </c>
      <c r="E144" s="57">
        <v>2959.0977900000003</v>
      </c>
      <c r="F144" s="57">
        <v>0</v>
      </c>
      <c r="G144" s="57">
        <v>2959.0977900000003</v>
      </c>
    </row>
    <row r="145" spans="1:7" ht="12" customHeight="1" x14ac:dyDescent="0.25">
      <c r="A145" s="55">
        <v>2014</v>
      </c>
      <c r="B145" s="55" t="s">
        <v>11</v>
      </c>
      <c r="C145" s="57">
        <v>0</v>
      </c>
      <c r="D145" s="57">
        <v>0</v>
      </c>
      <c r="E145" s="57">
        <v>2427.10583</v>
      </c>
      <c r="F145" s="57">
        <v>0</v>
      </c>
      <c r="G145" s="57">
        <v>2427.10583</v>
      </c>
    </row>
    <row r="146" spans="1:7" ht="12" customHeight="1" x14ac:dyDescent="0.25">
      <c r="A146" s="55">
        <v>2014</v>
      </c>
      <c r="B146" s="55" t="s">
        <v>12</v>
      </c>
      <c r="C146" s="57">
        <v>0</v>
      </c>
      <c r="D146" s="57">
        <v>0</v>
      </c>
      <c r="E146" s="57">
        <v>4087.89986</v>
      </c>
      <c r="F146" s="57">
        <v>0</v>
      </c>
      <c r="G146" s="57">
        <v>4087.89986</v>
      </c>
    </row>
    <row r="147" spans="1:7" ht="12" customHeight="1" x14ac:dyDescent="0.25">
      <c r="A147" s="55">
        <v>2014</v>
      </c>
      <c r="B147" s="55" t="s">
        <v>13</v>
      </c>
      <c r="C147" s="57">
        <v>0</v>
      </c>
      <c r="D147" s="57">
        <v>967.36575000000005</v>
      </c>
      <c r="E147" s="57">
        <v>2647.1121200000002</v>
      </c>
      <c r="F147" s="57">
        <v>0</v>
      </c>
      <c r="G147" s="57">
        <v>3614.4778700000002</v>
      </c>
    </row>
    <row r="148" spans="1:7" ht="12" customHeight="1" x14ac:dyDescent="0.25">
      <c r="A148" s="55">
        <v>2014</v>
      </c>
      <c r="B148" s="55" t="s">
        <v>14</v>
      </c>
      <c r="C148" s="57">
        <v>0</v>
      </c>
      <c r="D148" s="57">
        <v>865.38320999999996</v>
      </c>
      <c r="E148" s="57">
        <v>2675.5026200000002</v>
      </c>
      <c r="F148" s="57">
        <v>0</v>
      </c>
      <c r="G148" s="57">
        <v>3540.8858300000002</v>
      </c>
    </row>
    <row r="149" spans="1:7" ht="12" customHeight="1" x14ac:dyDescent="0.25">
      <c r="A149" s="55">
        <v>2014</v>
      </c>
      <c r="B149" s="55" t="s">
        <v>15</v>
      </c>
      <c r="C149" s="57">
        <v>0</v>
      </c>
      <c r="D149" s="57">
        <v>1832.7489599999999</v>
      </c>
      <c r="E149" s="57">
        <v>35039.339319999999</v>
      </c>
      <c r="F149" s="57">
        <v>0</v>
      </c>
      <c r="G149" s="57">
        <v>36872.088279999996</v>
      </c>
    </row>
    <row r="150" spans="1:7" ht="12" customHeight="1" x14ac:dyDescent="0.25">
      <c r="A150" s="55">
        <v>2015</v>
      </c>
      <c r="B150" s="55" t="s">
        <v>3</v>
      </c>
      <c r="C150" s="57">
        <v>0</v>
      </c>
      <c r="D150" s="57">
        <v>0</v>
      </c>
      <c r="E150" s="57">
        <v>2661.30989</v>
      </c>
      <c r="F150" s="57">
        <v>0</v>
      </c>
      <c r="G150" s="57">
        <v>2661.30989</v>
      </c>
    </row>
    <row r="151" spans="1:7" ht="12" customHeight="1" x14ac:dyDescent="0.25">
      <c r="A151" s="55">
        <v>2015</v>
      </c>
      <c r="B151" s="55" t="s">
        <v>4</v>
      </c>
      <c r="C151" s="57">
        <v>0</v>
      </c>
      <c r="D151" s="57">
        <v>963.51452000000006</v>
      </c>
      <c r="E151" s="57">
        <v>3550.3961300000005</v>
      </c>
      <c r="F151" s="57">
        <v>0</v>
      </c>
      <c r="G151" s="57">
        <v>4513.9106500000007</v>
      </c>
    </row>
    <row r="152" spans="1:7" ht="12" customHeight="1" x14ac:dyDescent="0.25">
      <c r="A152" s="55">
        <v>2015</v>
      </c>
      <c r="B152" s="55" t="s">
        <v>5</v>
      </c>
      <c r="C152" s="57">
        <v>0</v>
      </c>
      <c r="D152" s="57">
        <v>0</v>
      </c>
      <c r="E152" s="57">
        <v>3563.6487700000002</v>
      </c>
      <c r="F152" s="57">
        <v>0</v>
      </c>
      <c r="G152" s="57">
        <v>3563.6487700000002</v>
      </c>
    </row>
    <row r="153" spans="1:7" ht="12" customHeight="1" x14ac:dyDescent="0.25">
      <c r="A153" s="55">
        <v>2015</v>
      </c>
      <c r="B153" s="55" t="s">
        <v>6</v>
      </c>
      <c r="C153" s="57">
        <v>0</v>
      </c>
      <c r="D153" s="57">
        <v>0</v>
      </c>
      <c r="E153" s="57">
        <v>2680.2737099999999</v>
      </c>
      <c r="F153" s="57">
        <v>0</v>
      </c>
      <c r="G153" s="57">
        <v>2680.2737099999999</v>
      </c>
    </row>
    <row r="154" spans="1:7" ht="12" customHeight="1" x14ac:dyDescent="0.25">
      <c r="A154" s="55">
        <v>2015</v>
      </c>
      <c r="B154" s="55" t="s">
        <v>7</v>
      </c>
      <c r="C154" s="57">
        <v>0</v>
      </c>
      <c r="D154" s="57">
        <v>0</v>
      </c>
      <c r="E154" s="57">
        <v>2756.2633700000001</v>
      </c>
      <c r="F154" s="57">
        <v>0</v>
      </c>
      <c r="G154" s="57">
        <v>2756.2633700000001</v>
      </c>
    </row>
    <row r="155" spans="1:7" ht="12" customHeight="1" x14ac:dyDescent="0.25">
      <c r="A155" s="55">
        <v>2015</v>
      </c>
      <c r="B155" s="55" t="s">
        <v>8</v>
      </c>
      <c r="C155" s="57">
        <v>0</v>
      </c>
      <c r="D155" s="57">
        <v>0</v>
      </c>
      <c r="E155" s="57">
        <v>2682.4011600000003</v>
      </c>
      <c r="F155" s="57">
        <v>0</v>
      </c>
      <c r="G155" s="57">
        <v>2682.4011600000003</v>
      </c>
    </row>
    <row r="156" spans="1:7" ht="12" customHeight="1" x14ac:dyDescent="0.25">
      <c r="A156" s="55">
        <v>2015</v>
      </c>
      <c r="B156" s="55" t="s">
        <v>9</v>
      </c>
      <c r="C156" s="57">
        <v>0</v>
      </c>
      <c r="D156" s="57">
        <v>0</v>
      </c>
      <c r="E156" s="57">
        <v>2729.3287400000004</v>
      </c>
      <c r="F156" s="57">
        <v>0</v>
      </c>
      <c r="G156" s="57">
        <v>2729.3287400000004</v>
      </c>
    </row>
    <row r="157" spans="1:7" ht="12" customHeight="1" x14ac:dyDescent="0.25">
      <c r="A157" s="55">
        <v>2015</v>
      </c>
      <c r="B157" s="55" t="s">
        <v>10</v>
      </c>
      <c r="C157" s="57">
        <v>0</v>
      </c>
      <c r="D157" s="57">
        <v>0</v>
      </c>
      <c r="E157" s="57">
        <v>1790.6894199999999</v>
      </c>
      <c r="F157" s="57">
        <v>0</v>
      </c>
      <c r="G157" s="57">
        <v>1790.6894199999999</v>
      </c>
    </row>
    <row r="158" spans="1:7" ht="12" customHeight="1" x14ac:dyDescent="0.25">
      <c r="A158" s="55">
        <v>2015</v>
      </c>
      <c r="B158" s="55" t="s">
        <v>11</v>
      </c>
      <c r="C158" s="57">
        <v>0</v>
      </c>
      <c r="D158" s="57">
        <v>0</v>
      </c>
      <c r="E158" s="57">
        <v>2671.8011099999999</v>
      </c>
      <c r="F158" s="57">
        <v>0</v>
      </c>
      <c r="G158" s="57">
        <v>2671.8011099999999</v>
      </c>
    </row>
    <row r="159" spans="1:7" ht="12" customHeight="1" x14ac:dyDescent="0.25">
      <c r="A159" s="55">
        <v>2015</v>
      </c>
      <c r="B159" s="55" t="s">
        <v>12</v>
      </c>
      <c r="C159" s="57">
        <v>0</v>
      </c>
      <c r="D159" s="57">
        <v>0</v>
      </c>
      <c r="E159" s="57">
        <v>1773.7987900000001</v>
      </c>
      <c r="F159" s="57">
        <v>0</v>
      </c>
      <c r="G159" s="57">
        <v>1773.7987900000001</v>
      </c>
    </row>
    <row r="160" spans="1:7" ht="12" customHeight="1" x14ac:dyDescent="0.25">
      <c r="A160" s="55">
        <v>2015</v>
      </c>
      <c r="B160" s="55" t="s">
        <v>13</v>
      </c>
      <c r="C160" s="57">
        <v>0</v>
      </c>
      <c r="D160" s="57">
        <v>0</v>
      </c>
      <c r="E160" s="57">
        <v>4483.8844100000006</v>
      </c>
      <c r="F160" s="57">
        <v>0</v>
      </c>
      <c r="G160" s="57">
        <v>4483.8844100000006</v>
      </c>
    </row>
    <row r="161" spans="1:7" ht="12" customHeight="1" x14ac:dyDescent="0.25">
      <c r="A161" s="55">
        <v>2015</v>
      </c>
      <c r="B161" s="55" t="s">
        <v>14</v>
      </c>
      <c r="C161" s="57">
        <v>0</v>
      </c>
      <c r="D161" s="57">
        <v>0</v>
      </c>
      <c r="E161" s="57">
        <v>2678.1196400000003</v>
      </c>
      <c r="F161" s="57">
        <v>0</v>
      </c>
      <c r="G161" s="57">
        <v>2678.1196400000003</v>
      </c>
    </row>
    <row r="162" spans="1:7" ht="12" customHeight="1" x14ac:dyDescent="0.25">
      <c r="A162" s="55">
        <v>2015</v>
      </c>
      <c r="B162" s="55" t="s">
        <v>15</v>
      </c>
      <c r="C162" s="57">
        <v>0</v>
      </c>
      <c r="D162" s="57">
        <v>963.51452000000006</v>
      </c>
      <c r="E162" s="57">
        <v>34021.915139999997</v>
      </c>
      <c r="F162" s="57">
        <v>0</v>
      </c>
      <c r="G162" s="57">
        <v>34985.429660000002</v>
      </c>
    </row>
    <row r="163" spans="1:7" ht="12" customHeight="1" x14ac:dyDescent="0.25">
      <c r="A163" s="55">
        <v>2016</v>
      </c>
      <c r="B163" s="55" t="s">
        <v>3</v>
      </c>
      <c r="C163" s="57">
        <v>0</v>
      </c>
      <c r="D163" s="57">
        <v>0</v>
      </c>
      <c r="E163" s="57">
        <v>3621.5112899999999</v>
      </c>
      <c r="F163" s="57">
        <v>0</v>
      </c>
      <c r="G163" s="57">
        <v>3621.5112899999999</v>
      </c>
    </row>
    <row r="164" spans="1:7" ht="12" customHeight="1" x14ac:dyDescent="0.25">
      <c r="A164" s="55">
        <v>2016</v>
      </c>
      <c r="B164" s="55" t="s">
        <v>4</v>
      </c>
      <c r="C164" s="57">
        <v>0</v>
      </c>
      <c r="D164" s="57">
        <v>0</v>
      </c>
      <c r="E164" s="57">
        <v>2679.89176</v>
      </c>
      <c r="F164" s="57">
        <v>0</v>
      </c>
      <c r="G164" s="57">
        <v>2679.89176</v>
      </c>
    </row>
    <row r="165" spans="1:7" ht="12" customHeight="1" x14ac:dyDescent="0.25">
      <c r="A165" s="55">
        <v>2016</v>
      </c>
      <c r="B165" s="55" t="s">
        <v>5</v>
      </c>
      <c r="C165" s="57">
        <v>0</v>
      </c>
      <c r="D165" s="57">
        <v>0</v>
      </c>
      <c r="E165" s="57">
        <v>2685.2613799999999</v>
      </c>
      <c r="F165" s="57">
        <v>0</v>
      </c>
      <c r="G165" s="57">
        <v>2685.2613799999999</v>
      </c>
    </row>
    <row r="166" spans="1:7" ht="12" customHeight="1" x14ac:dyDescent="0.25">
      <c r="A166" s="55">
        <v>2016</v>
      </c>
      <c r="B166" s="55" t="s">
        <v>6</v>
      </c>
      <c r="C166" s="57">
        <v>0</v>
      </c>
      <c r="D166" s="57">
        <v>0</v>
      </c>
      <c r="E166" s="57">
        <v>2675.1763700000001</v>
      </c>
      <c r="F166" s="57">
        <v>0</v>
      </c>
      <c r="G166" s="57">
        <v>2675.1763700000001</v>
      </c>
    </row>
    <row r="167" spans="1:7" ht="12" customHeight="1" x14ac:dyDescent="0.25">
      <c r="A167" s="55">
        <v>2016</v>
      </c>
      <c r="B167" s="55" t="s">
        <v>7</v>
      </c>
      <c r="C167" s="57">
        <v>0</v>
      </c>
      <c r="D167" s="57">
        <v>0</v>
      </c>
      <c r="E167" s="57">
        <v>2846.5744900000004</v>
      </c>
      <c r="F167" s="57">
        <v>0</v>
      </c>
      <c r="G167" s="57">
        <v>2846.5744900000004</v>
      </c>
    </row>
    <row r="168" spans="1:7" ht="12" customHeight="1" x14ac:dyDescent="0.25">
      <c r="A168" s="55">
        <v>2016</v>
      </c>
      <c r="B168" s="55" t="s">
        <v>8</v>
      </c>
      <c r="C168" s="57">
        <v>0</v>
      </c>
      <c r="D168" s="57">
        <v>0</v>
      </c>
      <c r="E168" s="57">
        <v>2677.8106899999998</v>
      </c>
      <c r="F168" s="57">
        <v>0</v>
      </c>
      <c r="G168" s="57">
        <v>2677.8106899999998</v>
      </c>
    </row>
    <row r="169" spans="1:7" ht="12" customHeight="1" x14ac:dyDescent="0.25">
      <c r="A169" s="55">
        <v>2016</v>
      </c>
      <c r="B169" s="55" t="s">
        <v>9</v>
      </c>
      <c r="C169" s="57">
        <v>0</v>
      </c>
      <c r="D169" s="57">
        <v>0</v>
      </c>
      <c r="E169" s="57">
        <v>2728.09339</v>
      </c>
      <c r="F169" s="57">
        <v>0</v>
      </c>
      <c r="G169" s="57">
        <v>2728.09339</v>
      </c>
    </row>
    <row r="170" spans="1:7" ht="12" customHeight="1" x14ac:dyDescent="0.25">
      <c r="A170" s="55">
        <v>2016</v>
      </c>
      <c r="B170" s="55" t="s">
        <v>10</v>
      </c>
      <c r="C170" s="57">
        <v>0</v>
      </c>
      <c r="D170" s="57">
        <v>0</v>
      </c>
      <c r="E170" s="57">
        <v>900.40719999999999</v>
      </c>
      <c r="F170" s="57">
        <v>0</v>
      </c>
      <c r="G170" s="57">
        <v>900.40719999999999</v>
      </c>
    </row>
    <row r="171" spans="1:7" ht="12" customHeight="1" x14ac:dyDescent="0.25">
      <c r="A171" s="55">
        <v>2016</v>
      </c>
      <c r="B171" s="55" t="s">
        <v>11</v>
      </c>
      <c r="C171" s="57">
        <v>0</v>
      </c>
      <c r="D171" s="57">
        <v>0</v>
      </c>
      <c r="E171" s="57">
        <v>905.40291999999999</v>
      </c>
      <c r="F171" s="57">
        <v>0</v>
      </c>
      <c r="G171" s="57">
        <v>905.40291999999999</v>
      </c>
    </row>
    <row r="172" spans="1:7" ht="12" customHeight="1" x14ac:dyDescent="0.25">
      <c r="A172" s="55">
        <v>2016</v>
      </c>
      <c r="B172" s="55" t="s">
        <v>12</v>
      </c>
      <c r="C172" s="57">
        <v>0</v>
      </c>
      <c r="D172" s="57">
        <v>0</v>
      </c>
      <c r="E172" s="57">
        <v>1774.9793</v>
      </c>
      <c r="F172" s="57">
        <v>0</v>
      </c>
      <c r="G172" s="57">
        <v>1774.9793</v>
      </c>
    </row>
    <row r="173" spans="1:7" ht="12" customHeight="1" x14ac:dyDescent="0.25">
      <c r="A173" s="55">
        <v>2016</v>
      </c>
      <c r="B173" s="55" t="s">
        <v>13</v>
      </c>
      <c r="C173" s="57">
        <v>0</v>
      </c>
      <c r="D173" s="57">
        <v>0</v>
      </c>
      <c r="E173" s="57">
        <v>1845.74395</v>
      </c>
      <c r="F173" s="57">
        <v>0</v>
      </c>
      <c r="G173" s="57">
        <v>1845.74395</v>
      </c>
    </row>
    <row r="174" spans="1:7" ht="12" customHeight="1" x14ac:dyDescent="0.25">
      <c r="A174" s="55">
        <v>2016</v>
      </c>
      <c r="B174" s="55" t="s">
        <v>14</v>
      </c>
      <c r="C174" s="57">
        <v>0</v>
      </c>
      <c r="D174" s="57">
        <v>0</v>
      </c>
      <c r="E174" s="57">
        <v>3601.8640499999997</v>
      </c>
      <c r="F174" s="57">
        <v>0</v>
      </c>
      <c r="G174" s="57">
        <v>3601.8640499999997</v>
      </c>
    </row>
    <row r="175" spans="1:7" ht="12" customHeight="1" x14ac:dyDescent="0.25">
      <c r="A175" s="55">
        <v>2016</v>
      </c>
      <c r="B175" s="55" t="s">
        <v>15</v>
      </c>
      <c r="C175" s="57">
        <v>0</v>
      </c>
      <c r="D175" s="57">
        <v>0</v>
      </c>
      <c r="E175" s="57">
        <v>28942.716790000006</v>
      </c>
      <c r="F175" s="57">
        <v>0</v>
      </c>
      <c r="G175" s="57">
        <v>28942.716790000006</v>
      </c>
    </row>
    <row r="176" spans="1:7" ht="12" customHeight="1" x14ac:dyDescent="0.25">
      <c r="A176" s="55">
        <v>2017</v>
      </c>
      <c r="B176" s="55" t="s">
        <v>3</v>
      </c>
      <c r="C176" s="57">
        <v>0</v>
      </c>
      <c r="D176" s="57">
        <v>0</v>
      </c>
      <c r="E176" s="57">
        <v>1788.0844399999999</v>
      </c>
      <c r="F176" s="57">
        <v>0</v>
      </c>
      <c r="G176" s="57">
        <v>1788.0844399999999</v>
      </c>
    </row>
    <row r="177" spans="1:7" ht="12" customHeight="1" x14ac:dyDescent="0.25">
      <c r="A177" s="55">
        <v>2017</v>
      </c>
      <c r="B177" s="55" t="s">
        <v>4</v>
      </c>
      <c r="C177" s="57">
        <v>0</v>
      </c>
      <c r="D177" s="57">
        <v>0</v>
      </c>
      <c r="E177" s="57">
        <v>3585.4291600000001</v>
      </c>
      <c r="F177" s="57">
        <v>0</v>
      </c>
      <c r="G177" s="57">
        <v>3585.4291600000001</v>
      </c>
    </row>
    <row r="178" spans="1:7" ht="12" customHeight="1" x14ac:dyDescent="0.25">
      <c r="A178" s="55">
        <v>2017</v>
      </c>
      <c r="B178" s="55" t="s">
        <v>5</v>
      </c>
      <c r="C178" s="57">
        <v>0</v>
      </c>
      <c r="D178" s="57">
        <v>0</v>
      </c>
      <c r="E178" s="57">
        <v>897.87617</v>
      </c>
      <c r="F178" s="57">
        <v>0</v>
      </c>
      <c r="G178" s="57">
        <v>897.87617</v>
      </c>
    </row>
    <row r="179" spans="1:7" ht="12" customHeight="1" x14ac:dyDescent="0.25">
      <c r="A179" s="55">
        <v>2017</v>
      </c>
      <c r="B179" s="55" t="s">
        <v>6</v>
      </c>
      <c r="C179" s="57">
        <v>0</v>
      </c>
      <c r="D179" s="57">
        <v>0</v>
      </c>
      <c r="E179" s="57">
        <v>1840.9191000000001</v>
      </c>
      <c r="F179" s="57">
        <v>0</v>
      </c>
      <c r="G179" s="57">
        <v>1840.9191000000001</v>
      </c>
    </row>
    <row r="180" spans="1:7" ht="12" customHeight="1" x14ac:dyDescent="0.25">
      <c r="A180" s="55">
        <v>2017</v>
      </c>
      <c r="B180" s="55" t="s">
        <v>7</v>
      </c>
      <c r="C180" s="57">
        <v>0</v>
      </c>
      <c r="D180" s="57">
        <v>0</v>
      </c>
      <c r="E180" s="57">
        <v>4111.9586900000004</v>
      </c>
      <c r="F180" s="57">
        <v>0</v>
      </c>
      <c r="G180" s="57">
        <v>4111.9586900000004</v>
      </c>
    </row>
    <row r="181" spans="1:7" ht="12" customHeight="1" x14ac:dyDescent="0.25">
      <c r="A181" s="55">
        <v>2017</v>
      </c>
      <c r="B181" s="55" t="s">
        <v>8</v>
      </c>
      <c r="C181" s="57">
        <v>0</v>
      </c>
      <c r="D181" s="57">
        <v>0</v>
      </c>
      <c r="E181" s="57">
        <v>923.30458999999996</v>
      </c>
      <c r="F181" s="57">
        <v>0</v>
      </c>
      <c r="G181" s="57">
        <v>923.30458999999996</v>
      </c>
    </row>
    <row r="182" spans="1:7" ht="12" customHeight="1" x14ac:dyDescent="0.25">
      <c r="A182" s="55">
        <v>2017</v>
      </c>
      <c r="B182" s="55" t="s">
        <v>9</v>
      </c>
      <c r="C182" s="57">
        <v>0</v>
      </c>
      <c r="D182" s="57">
        <v>0</v>
      </c>
      <c r="E182" s="57">
        <v>4566.436850000001</v>
      </c>
      <c r="F182" s="57">
        <v>0</v>
      </c>
      <c r="G182" s="57">
        <v>4566.436850000001</v>
      </c>
    </row>
    <row r="183" spans="1:7" s="69" customFormat="1" ht="12" customHeight="1" x14ac:dyDescent="0.2">
      <c r="A183" s="55">
        <v>2017</v>
      </c>
      <c r="B183" s="55" t="s">
        <v>10</v>
      </c>
      <c r="C183" s="57">
        <v>0</v>
      </c>
      <c r="D183" s="57">
        <v>0</v>
      </c>
      <c r="E183" s="57">
        <v>9055.4970499999999</v>
      </c>
      <c r="F183" s="57">
        <v>0</v>
      </c>
      <c r="G183" s="57">
        <v>9055.4970499999999</v>
      </c>
    </row>
    <row r="184" spans="1:7" s="69" customFormat="1" ht="12" customHeight="1" x14ac:dyDescent="0.2">
      <c r="A184" s="55">
        <v>2017</v>
      </c>
      <c r="B184" s="55" t="s">
        <v>11</v>
      </c>
      <c r="C184" s="57">
        <v>0</v>
      </c>
      <c r="D184" s="57">
        <v>0</v>
      </c>
      <c r="E184" s="57">
        <v>1772.6406899999999</v>
      </c>
      <c r="F184" s="57">
        <v>0</v>
      </c>
      <c r="G184" s="57">
        <v>1772.6406899999999</v>
      </c>
    </row>
    <row r="185" spans="1:7" s="69" customFormat="1" ht="12" customHeight="1" x14ac:dyDescent="0.2">
      <c r="A185" s="55">
        <v>2017</v>
      </c>
      <c r="B185" s="55" t="s">
        <v>12</v>
      </c>
      <c r="C185" s="57">
        <v>0</v>
      </c>
      <c r="D185" s="57">
        <v>0</v>
      </c>
      <c r="E185" s="57">
        <v>1795.2280899999998</v>
      </c>
      <c r="F185" s="57">
        <v>0</v>
      </c>
      <c r="G185" s="57">
        <v>1795.2280899999998</v>
      </c>
    </row>
    <row r="186" spans="1:7" s="69" customFormat="1" ht="12" customHeight="1" x14ac:dyDescent="0.2">
      <c r="A186" s="55">
        <v>2017</v>
      </c>
      <c r="B186" s="55" t="s">
        <v>13</v>
      </c>
      <c r="C186" s="57">
        <v>0</v>
      </c>
      <c r="D186" s="57">
        <v>0</v>
      </c>
      <c r="E186" s="57">
        <v>3632.7443199999998</v>
      </c>
      <c r="F186" s="57">
        <v>0</v>
      </c>
      <c r="G186" s="57">
        <v>3632.7443199999998</v>
      </c>
    </row>
    <row r="187" spans="1:7" ht="12" customHeight="1" x14ac:dyDescent="0.25">
      <c r="A187" s="55">
        <v>2017</v>
      </c>
      <c r="B187" s="55" t="s">
        <v>14</v>
      </c>
      <c r="C187" s="57">
        <v>0</v>
      </c>
      <c r="D187" s="57">
        <v>0</v>
      </c>
      <c r="E187" s="57">
        <v>5007.0875900000001</v>
      </c>
      <c r="F187" s="57">
        <v>0</v>
      </c>
      <c r="G187" s="57">
        <v>5007.0875900000001</v>
      </c>
    </row>
    <row r="188" spans="1:7" ht="12" customHeight="1" x14ac:dyDescent="0.25">
      <c r="A188" s="55">
        <v>2017</v>
      </c>
      <c r="B188" s="55" t="s">
        <v>15</v>
      </c>
      <c r="C188" s="57">
        <v>0</v>
      </c>
      <c r="D188" s="57">
        <v>0</v>
      </c>
      <c r="E188" s="57">
        <v>38977.206740000009</v>
      </c>
      <c r="F188" s="57">
        <v>0</v>
      </c>
      <c r="G188" s="57">
        <v>38977.206740000009</v>
      </c>
    </row>
    <row r="189" spans="1:7" ht="12" customHeight="1" x14ac:dyDescent="0.25">
      <c r="A189" s="55">
        <v>2018</v>
      </c>
      <c r="B189" s="55" t="s">
        <v>3</v>
      </c>
      <c r="C189" s="57">
        <v>0</v>
      </c>
      <c r="D189" s="57">
        <v>0</v>
      </c>
      <c r="E189" s="57">
        <v>1775.5540800000001</v>
      </c>
      <c r="F189" s="57">
        <v>0</v>
      </c>
      <c r="G189" s="57">
        <v>1775.5540800000001</v>
      </c>
    </row>
    <row r="190" spans="1:7" ht="12" customHeight="1" x14ac:dyDescent="0.25">
      <c r="A190" s="55">
        <v>2018</v>
      </c>
      <c r="B190" s="55" t="s">
        <v>4</v>
      </c>
      <c r="C190" s="57">
        <v>0</v>
      </c>
      <c r="D190" s="57">
        <v>0</v>
      </c>
      <c r="E190" s="57">
        <v>2703.7692900000002</v>
      </c>
      <c r="F190" s="57">
        <v>0</v>
      </c>
      <c r="G190" s="57">
        <v>2703.7692900000002</v>
      </c>
    </row>
    <row r="191" spans="1:7" ht="12" customHeight="1" x14ac:dyDescent="0.25">
      <c r="A191" s="55">
        <v>2018</v>
      </c>
      <c r="B191" s="55" t="s">
        <v>5</v>
      </c>
      <c r="C191" s="57">
        <v>0</v>
      </c>
      <c r="D191" s="57">
        <v>0</v>
      </c>
      <c r="E191" s="57">
        <v>2694.5844999999999</v>
      </c>
      <c r="F191" s="57">
        <v>0</v>
      </c>
      <c r="G191" s="57">
        <v>2694.5844999999999</v>
      </c>
    </row>
    <row r="192" spans="1:7" ht="12" customHeight="1" x14ac:dyDescent="0.25">
      <c r="A192" s="55">
        <v>2018</v>
      </c>
      <c r="B192" s="55" t="s">
        <v>6</v>
      </c>
      <c r="C192" s="57">
        <v>0</v>
      </c>
      <c r="D192" s="57">
        <v>0</v>
      </c>
      <c r="E192" s="57">
        <v>4581.33554</v>
      </c>
      <c r="F192" s="57">
        <v>0</v>
      </c>
      <c r="G192" s="57">
        <v>4581.33554</v>
      </c>
    </row>
    <row r="193" spans="1:7" ht="12" customHeight="1" x14ac:dyDescent="0.25">
      <c r="A193" s="55">
        <v>2018</v>
      </c>
      <c r="B193" s="55" t="s">
        <v>7</v>
      </c>
      <c r="C193" s="57">
        <v>0</v>
      </c>
      <c r="D193" s="57">
        <v>0</v>
      </c>
      <c r="E193" s="57">
        <v>5054.7746399999996</v>
      </c>
      <c r="F193" s="57">
        <v>0</v>
      </c>
      <c r="G193" s="57">
        <v>5054.7746399999996</v>
      </c>
    </row>
    <row r="194" spans="1:7" ht="12" customHeight="1" x14ac:dyDescent="0.25">
      <c r="A194" s="55">
        <v>2018</v>
      </c>
      <c r="B194" s="55" t="s">
        <v>8</v>
      </c>
      <c r="C194" s="57">
        <v>0</v>
      </c>
      <c r="D194" s="57">
        <v>0</v>
      </c>
      <c r="E194" s="57">
        <v>1815.71819</v>
      </c>
      <c r="F194" s="57">
        <v>0</v>
      </c>
      <c r="G194" s="57">
        <v>1815.71819</v>
      </c>
    </row>
    <row r="195" spans="1:7" ht="12" customHeight="1" x14ac:dyDescent="0.25">
      <c r="A195" s="55">
        <v>2018</v>
      </c>
      <c r="B195" s="55" t="s">
        <v>9</v>
      </c>
      <c r="C195" s="57">
        <v>0</v>
      </c>
      <c r="D195" s="57">
        <v>0</v>
      </c>
      <c r="E195" s="57">
        <v>2699.2071900000001</v>
      </c>
      <c r="F195" s="57">
        <v>0</v>
      </c>
      <c r="G195" s="57">
        <v>2699.2071900000001</v>
      </c>
    </row>
    <row r="196" spans="1:7" ht="12" customHeight="1" x14ac:dyDescent="0.25">
      <c r="A196" s="55">
        <v>2018</v>
      </c>
      <c r="B196" s="55" t="s">
        <v>10</v>
      </c>
      <c r="C196" s="57">
        <v>0</v>
      </c>
      <c r="D196" s="57">
        <v>0</v>
      </c>
      <c r="E196" s="57">
        <v>3181.8080500000001</v>
      </c>
      <c r="F196" s="57">
        <v>0</v>
      </c>
      <c r="G196" s="57">
        <v>3181.8080500000001</v>
      </c>
    </row>
    <row r="197" spans="1:7" ht="12" customHeight="1" x14ac:dyDescent="0.25">
      <c r="A197" s="55">
        <v>2018</v>
      </c>
      <c r="B197" s="55" t="s">
        <v>11</v>
      </c>
      <c r="C197" s="57">
        <v>0</v>
      </c>
      <c r="D197" s="57">
        <v>0</v>
      </c>
      <c r="E197" s="57">
        <v>5028.3926500000007</v>
      </c>
      <c r="F197" s="57">
        <v>0</v>
      </c>
      <c r="G197" s="57">
        <v>5028.3926500000007</v>
      </c>
    </row>
    <row r="198" spans="1:7" ht="12" customHeight="1" x14ac:dyDescent="0.25">
      <c r="A198" s="55">
        <v>2018</v>
      </c>
      <c r="B198" s="55" t="s">
        <v>12</v>
      </c>
      <c r="C198" s="57">
        <v>0</v>
      </c>
      <c r="D198" s="57">
        <v>0</v>
      </c>
      <c r="E198" s="57">
        <v>3668.4227800000003</v>
      </c>
      <c r="F198" s="57">
        <v>0</v>
      </c>
      <c r="G198" s="57">
        <v>3668.4227800000003</v>
      </c>
    </row>
    <row r="199" spans="1:7" ht="12" customHeight="1" x14ac:dyDescent="0.25">
      <c r="A199" s="55">
        <v>2018</v>
      </c>
      <c r="B199" s="55" t="s">
        <v>13</v>
      </c>
      <c r="C199" s="57">
        <v>0</v>
      </c>
      <c r="D199" s="57">
        <v>0</v>
      </c>
      <c r="E199" s="57">
        <v>1756.2041200000001</v>
      </c>
      <c r="F199" s="57">
        <v>0</v>
      </c>
      <c r="G199" s="57">
        <v>1756.2041200000001</v>
      </c>
    </row>
    <row r="200" spans="1:7" ht="12" customHeight="1" x14ac:dyDescent="0.25">
      <c r="A200" s="55">
        <v>2018</v>
      </c>
      <c r="B200" s="55" t="s">
        <v>14</v>
      </c>
      <c r="C200" s="57">
        <v>0</v>
      </c>
      <c r="D200" s="57">
        <v>0</v>
      </c>
      <c r="E200" s="57">
        <v>2726.8158100000001</v>
      </c>
      <c r="F200" s="57">
        <v>0</v>
      </c>
      <c r="G200" s="57">
        <v>2726.8158100000001</v>
      </c>
    </row>
    <row r="201" spans="1:7" ht="12" customHeight="1" x14ac:dyDescent="0.25">
      <c r="A201" s="55">
        <v>2018</v>
      </c>
      <c r="B201" s="55" t="s">
        <v>15</v>
      </c>
      <c r="C201" s="57">
        <v>0</v>
      </c>
      <c r="D201" s="57">
        <v>0</v>
      </c>
      <c r="E201" s="57">
        <v>37686.586840000004</v>
      </c>
      <c r="F201" s="57">
        <v>0</v>
      </c>
      <c r="G201" s="57">
        <v>37686.586840000004</v>
      </c>
    </row>
    <row r="202" spans="1:7" ht="12" customHeight="1" x14ac:dyDescent="0.25">
      <c r="A202" s="55">
        <v>2019</v>
      </c>
      <c r="B202" s="55" t="s">
        <v>3</v>
      </c>
      <c r="C202" s="57">
        <v>0</v>
      </c>
      <c r="D202" s="57">
        <v>0</v>
      </c>
      <c r="E202" s="57">
        <v>1798.8741699999998</v>
      </c>
      <c r="F202" s="57">
        <v>0</v>
      </c>
      <c r="G202" s="57">
        <v>1798.8741699999998</v>
      </c>
    </row>
    <row r="203" spans="1:7" ht="12" customHeight="1" x14ac:dyDescent="0.25">
      <c r="A203" s="55">
        <v>2019</v>
      </c>
      <c r="B203" s="55" t="s">
        <v>4</v>
      </c>
      <c r="C203" s="57">
        <v>0</v>
      </c>
      <c r="D203" s="57">
        <v>0</v>
      </c>
      <c r="E203" s="57">
        <v>1786.3921800000003</v>
      </c>
      <c r="F203" s="57">
        <v>0</v>
      </c>
      <c r="G203" s="57">
        <v>1786.3921800000003</v>
      </c>
    </row>
    <row r="204" spans="1:7" ht="12" customHeight="1" x14ac:dyDescent="0.25">
      <c r="A204" s="55">
        <v>2019</v>
      </c>
      <c r="B204" s="55" t="s">
        <v>5</v>
      </c>
      <c r="C204" s="57">
        <v>0</v>
      </c>
      <c r="D204" s="57">
        <v>0</v>
      </c>
      <c r="E204" s="57">
        <v>2692.7581099999998</v>
      </c>
      <c r="F204" s="57">
        <v>0</v>
      </c>
      <c r="G204" s="57">
        <v>2692.7581099999998</v>
      </c>
    </row>
    <row r="205" spans="1:7" ht="12" customHeight="1" x14ac:dyDescent="0.25">
      <c r="A205" s="55">
        <v>2019</v>
      </c>
      <c r="B205" s="55" t="s">
        <v>6</v>
      </c>
      <c r="C205" s="57">
        <v>0</v>
      </c>
      <c r="D205" s="57">
        <v>0</v>
      </c>
      <c r="E205" s="57">
        <v>2733.07744</v>
      </c>
      <c r="F205" s="57">
        <v>0</v>
      </c>
      <c r="G205" s="57">
        <v>2733.07744</v>
      </c>
    </row>
    <row r="206" spans="1:7" ht="12" customHeight="1" x14ac:dyDescent="0.25">
      <c r="A206" s="55">
        <v>2019</v>
      </c>
      <c r="B206" s="55" t="s">
        <v>7</v>
      </c>
      <c r="C206" s="57">
        <v>0</v>
      </c>
      <c r="D206" s="57">
        <v>0</v>
      </c>
      <c r="E206" s="57">
        <v>4500.2843199999998</v>
      </c>
      <c r="F206" s="57">
        <v>0</v>
      </c>
      <c r="G206" s="57">
        <v>4500.2843199999998</v>
      </c>
    </row>
    <row r="207" spans="1:7" ht="12" customHeight="1" x14ac:dyDescent="0.25">
      <c r="A207" s="55">
        <v>2019</v>
      </c>
      <c r="B207" s="55" t="s">
        <v>8</v>
      </c>
      <c r="C207" s="57">
        <v>0</v>
      </c>
      <c r="D207" s="57">
        <v>0</v>
      </c>
      <c r="E207" s="57">
        <v>4892.5967799999999</v>
      </c>
      <c r="F207" s="57">
        <v>0</v>
      </c>
      <c r="G207" s="57">
        <v>4892.5967799999999</v>
      </c>
    </row>
    <row r="208" spans="1:7" ht="12" customHeight="1" x14ac:dyDescent="0.25">
      <c r="A208" s="55">
        <v>2019</v>
      </c>
      <c r="B208" s="55" t="s">
        <v>9</v>
      </c>
      <c r="C208" s="57">
        <v>0</v>
      </c>
      <c r="D208" s="57">
        <v>0</v>
      </c>
      <c r="E208" s="57">
        <v>9643.6965600000003</v>
      </c>
      <c r="F208" s="57">
        <v>0</v>
      </c>
      <c r="G208" s="57">
        <v>9643.6965600000003</v>
      </c>
    </row>
    <row r="209" spans="1:7" ht="12" customHeight="1" x14ac:dyDescent="0.25">
      <c r="A209" s="55">
        <v>2019</v>
      </c>
      <c r="B209" s="55" t="s">
        <v>10</v>
      </c>
      <c r="C209" s="57">
        <v>0</v>
      </c>
      <c r="D209" s="57">
        <v>0</v>
      </c>
      <c r="E209" s="57">
        <v>7278.5019900000007</v>
      </c>
      <c r="F209" s="57">
        <v>0</v>
      </c>
      <c r="G209" s="57">
        <v>7278.5019900000007</v>
      </c>
    </row>
    <row r="210" spans="1:7" ht="12" customHeight="1" x14ac:dyDescent="0.25">
      <c r="A210" s="55">
        <v>2019</v>
      </c>
      <c r="B210" s="55" t="s">
        <v>11</v>
      </c>
      <c r="C210" s="57">
        <v>0</v>
      </c>
      <c r="D210" s="57">
        <v>0</v>
      </c>
      <c r="E210" s="57">
        <v>5060.7275599999994</v>
      </c>
      <c r="F210" s="57">
        <v>0</v>
      </c>
      <c r="G210" s="57">
        <v>5060.7275599999994</v>
      </c>
    </row>
    <row r="211" spans="1:7" ht="12" customHeight="1" x14ac:dyDescent="0.25">
      <c r="A211" s="55">
        <v>2019</v>
      </c>
      <c r="B211" s="55" t="s">
        <v>12</v>
      </c>
      <c r="C211" s="57">
        <v>0</v>
      </c>
      <c r="D211" s="57">
        <v>0</v>
      </c>
      <c r="E211" s="57">
        <v>2155.4549300000003</v>
      </c>
      <c r="F211" s="57">
        <v>0</v>
      </c>
      <c r="G211" s="57">
        <v>2155.4549300000003</v>
      </c>
    </row>
    <row r="212" spans="1:7" ht="12" customHeight="1" x14ac:dyDescent="0.25">
      <c r="A212" s="55">
        <v>2019</v>
      </c>
      <c r="B212" s="55" t="s">
        <v>13</v>
      </c>
      <c r="C212" s="57">
        <v>0</v>
      </c>
      <c r="D212" s="57">
        <v>0</v>
      </c>
      <c r="E212" s="57">
        <v>2656.4397100000001</v>
      </c>
      <c r="F212" s="57">
        <v>0</v>
      </c>
      <c r="G212" s="57">
        <v>2656.4397100000001</v>
      </c>
    </row>
    <row r="213" spans="1:7" ht="12" customHeight="1" x14ac:dyDescent="0.25">
      <c r="A213" s="55">
        <v>2019</v>
      </c>
      <c r="B213" s="55" t="s">
        <v>14</v>
      </c>
      <c r="C213" s="57">
        <v>0</v>
      </c>
      <c r="D213" s="57">
        <v>0</v>
      </c>
      <c r="E213" s="57">
        <v>2710.97937</v>
      </c>
      <c r="F213" s="57">
        <v>0</v>
      </c>
      <c r="G213" s="57">
        <v>2710.97937</v>
      </c>
    </row>
    <row r="214" spans="1:7" ht="12" customHeight="1" x14ac:dyDescent="0.25">
      <c r="A214" s="55">
        <v>2019</v>
      </c>
      <c r="B214" s="55" t="s">
        <v>15</v>
      </c>
      <c r="C214" s="57">
        <v>0</v>
      </c>
      <c r="D214" s="57">
        <v>0</v>
      </c>
      <c r="E214" s="57">
        <v>47909.78312</v>
      </c>
      <c r="F214" s="57">
        <v>0</v>
      </c>
      <c r="G214" s="57">
        <v>47909.78312</v>
      </c>
    </row>
    <row r="215" spans="1:7" ht="12" customHeight="1" x14ac:dyDescent="0.25">
      <c r="A215" s="55">
        <v>2020</v>
      </c>
      <c r="B215" s="55" t="s">
        <v>3</v>
      </c>
      <c r="C215" s="57">
        <v>0</v>
      </c>
      <c r="D215" s="57">
        <v>0</v>
      </c>
      <c r="E215" s="57">
        <v>3639.8984700000001</v>
      </c>
      <c r="F215" s="57">
        <v>0</v>
      </c>
      <c r="G215" s="57">
        <v>3639.8984700000001</v>
      </c>
    </row>
    <row r="216" spans="1:7" ht="12" customHeight="1" x14ac:dyDescent="0.25">
      <c r="A216" s="55">
        <v>2020</v>
      </c>
      <c r="B216" s="55" t="s">
        <v>4</v>
      </c>
      <c r="C216" s="57">
        <v>0</v>
      </c>
      <c r="D216" s="57">
        <v>0</v>
      </c>
      <c r="E216" s="57">
        <v>1438.11635</v>
      </c>
      <c r="F216" s="57">
        <v>0</v>
      </c>
      <c r="G216" s="57">
        <v>1438.11635</v>
      </c>
    </row>
    <row r="217" spans="1:7" ht="12" customHeight="1" x14ac:dyDescent="0.25">
      <c r="A217" s="55">
        <v>2020</v>
      </c>
      <c r="B217" s="55" t="s">
        <v>5</v>
      </c>
      <c r="C217" s="57">
        <v>0</v>
      </c>
      <c r="D217" s="57">
        <v>0</v>
      </c>
      <c r="E217" s="57">
        <v>1632.4167399999999</v>
      </c>
      <c r="F217" s="57">
        <v>0</v>
      </c>
      <c r="G217" s="57">
        <v>1632.4167399999999</v>
      </c>
    </row>
    <row r="218" spans="1:7" ht="12" customHeight="1" x14ac:dyDescent="0.25">
      <c r="A218" s="55">
        <v>2020</v>
      </c>
      <c r="B218" s="55" t="s">
        <v>6</v>
      </c>
      <c r="C218" s="57">
        <v>0</v>
      </c>
      <c r="D218" s="57">
        <v>0</v>
      </c>
      <c r="E218" s="57">
        <v>879.99762999999996</v>
      </c>
      <c r="F218" s="57">
        <v>0</v>
      </c>
      <c r="G218" s="57">
        <v>879.99762999999996</v>
      </c>
    </row>
    <row r="219" spans="1:7" ht="12" customHeight="1" x14ac:dyDescent="0.25">
      <c r="A219" s="55">
        <v>2020</v>
      </c>
      <c r="B219" s="55" t="s">
        <v>7</v>
      </c>
      <c r="C219" s="57">
        <v>0</v>
      </c>
      <c r="D219" s="57">
        <v>0</v>
      </c>
      <c r="E219" s="57">
        <v>1813.13283</v>
      </c>
      <c r="F219" s="57">
        <v>0</v>
      </c>
      <c r="G219" s="57">
        <v>1813.13283</v>
      </c>
    </row>
    <row r="220" spans="1:7" ht="12" customHeight="1" x14ac:dyDescent="0.25">
      <c r="A220" s="55">
        <v>2020</v>
      </c>
      <c r="B220" s="55" t="s">
        <v>8</v>
      </c>
      <c r="C220" s="57">
        <v>0</v>
      </c>
      <c r="D220" s="57">
        <v>0</v>
      </c>
      <c r="E220" s="57">
        <v>3851.4565400000001</v>
      </c>
      <c r="F220" s="57">
        <v>0</v>
      </c>
      <c r="G220" s="57">
        <v>3851.4565400000001</v>
      </c>
    </row>
    <row r="221" spans="1:7" ht="12" customHeight="1" x14ac:dyDescent="0.25">
      <c r="A221" s="55">
        <v>2020</v>
      </c>
      <c r="B221" s="55" t="s">
        <v>9</v>
      </c>
      <c r="C221" s="57">
        <v>0</v>
      </c>
      <c r="D221" s="57">
        <v>0</v>
      </c>
      <c r="E221" s="57">
        <v>8145.9006600000002</v>
      </c>
      <c r="F221" s="57">
        <v>0</v>
      </c>
      <c r="G221" s="57">
        <v>8145.9006600000002</v>
      </c>
    </row>
    <row r="222" spans="1:7" ht="12" customHeight="1" x14ac:dyDescent="0.25">
      <c r="A222" s="55">
        <v>2020</v>
      </c>
      <c r="B222" s="55" t="s">
        <v>10</v>
      </c>
      <c r="C222" s="57">
        <v>0</v>
      </c>
      <c r="D222" s="57">
        <v>0</v>
      </c>
      <c r="E222" s="57">
        <v>6454.8497100000004</v>
      </c>
      <c r="F222" s="57">
        <v>0</v>
      </c>
      <c r="G222" s="57">
        <v>6454.8497100000004</v>
      </c>
    </row>
    <row r="223" spans="1:7" ht="12" customHeight="1" x14ac:dyDescent="0.25">
      <c r="A223" s="55">
        <v>2020</v>
      </c>
      <c r="B223" s="55" t="s">
        <v>11</v>
      </c>
      <c r="C223" s="57">
        <v>0</v>
      </c>
      <c r="D223" s="57">
        <v>0</v>
      </c>
      <c r="E223" s="57">
        <v>1757.1615200000001</v>
      </c>
      <c r="F223" s="57">
        <v>0</v>
      </c>
      <c r="G223" s="57">
        <v>1757.1615200000001</v>
      </c>
    </row>
    <row r="224" spans="1:7" ht="12" customHeight="1" x14ac:dyDescent="0.25">
      <c r="A224" s="55">
        <v>2020</v>
      </c>
      <c r="B224" s="55" t="s">
        <v>12</v>
      </c>
      <c r="C224" s="57">
        <v>0</v>
      </c>
      <c r="D224" s="57">
        <v>0</v>
      </c>
      <c r="E224" s="57">
        <v>879.65721999999994</v>
      </c>
      <c r="F224" s="57">
        <v>0</v>
      </c>
      <c r="G224" s="57">
        <v>879.65721999999994</v>
      </c>
    </row>
    <row r="225" spans="1:7" ht="12" customHeight="1" x14ac:dyDescent="0.25">
      <c r="A225" s="55">
        <v>2020</v>
      </c>
      <c r="B225" s="55" t="s">
        <v>13</v>
      </c>
      <c r="C225" s="57">
        <v>0</v>
      </c>
      <c r="D225" s="57">
        <v>0</v>
      </c>
      <c r="E225" s="57">
        <v>875.99482</v>
      </c>
      <c r="F225" s="57">
        <v>0</v>
      </c>
      <c r="G225" s="57">
        <v>875.99482</v>
      </c>
    </row>
    <row r="226" spans="1:7" ht="12" customHeight="1" x14ac:dyDescent="0.25">
      <c r="A226" s="55">
        <v>2020</v>
      </c>
      <c r="B226" s="55" t="s">
        <v>14</v>
      </c>
      <c r="C226" s="57">
        <v>0</v>
      </c>
      <c r="D226" s="57">
        <v>0</v>
      </c>
      <c r="E226" s="57">
        <v>879.56299000000001</v>
      </c>
      <c r="F226" s="57">
        <v>0</v>
      </c>
      <c r="G226" s="57">
        <v>879.56299000000001</v>
      </c>
    </row>
    <row r="227" spans="1:7" ht="12" customHeight="1" x14ac:dyDescent="0.25">
      <c r="A227" s="55">
        <v>2020</v>
      </c>
      <c r="B227" s="55" t="s">
        <v>15</v>
      </c>
      <c r="C227" s="57">
        <v>0</v>
      </c>
      <c r="D227" s="57">
        <v>0</v>
      </c>
      <c r="E227" s="57">
        <v>32248.145479999999</v>
      </c>
      <c r="F227" s="57">
        <v>0</v>
      </c>
      <c r="G227" s="57">
        <v>32248.145479999999</v>
      </c>
    </row>
    <row r="228" spans="1:7" ht="12" customHeight="1" x14ac:dyDescent="0.25">
      <c r="A228" s="55">
        <v>2021</v>
      </c>
      <c r="B228" s="55" t="s">
        <v>3</v>
      </c>
      <c r="C228" s="57">
        <v>0</v>
      </c>
      <c r="D228" s="57">
        <v>0</v>
      </c>
      <c r="E228" s="57">
        <v>1799.52054</v>
      </c>
      <c r="F228" s="57">
        <v>0</v>
      </c>
      <c r="G228" s="57">
        <v>1799.52054</v>
      </c>
    </row>
    <row r="229" spans="1:7" ht="12" customHeight="1" x14ac:dyDescent="0.25">
      <c r="A229" s="55">
        <v>2021</v>
      </c>
      <c r="B229" s="55" t="s">
        <v>4</v>
      </c>
      <c r="C229" s="57">
        <v>0</v>
      </c>
      <c r="D229" s="57">
        <v>0</v>
      </c>
      <c r="E229" s="57">
        <v>1788.3342600000001</v>
      </c>
      <c r="F229" s="57">
        <v>0</v>
      </c>
      <c r="G229" s="57">
        <v>1788.3342600000001</v>
      </c>
    </row>
    <row r="230" spans="1:7" ht="12" customHeight="1" x14ac:dyDescent="0.25">
      <c r="A230" s="55">
        <v>2021</v>
      </c>
      <c r="B230" s="55" t="s">
        <v>5</v>
      </c>
      <c r="C230" s="57">
        <v>0</v>
      </c>
      <c r="D230" s="57">
        <v>0</v>
      </c>
      <c r="E230" s="57">
        <v>1790.2098900000001</v>
      </c>
      <c r="F230" s="57">
        <v>0</v>
      </c>
      <c r="G230" s="57">
        <v>1790.2098900000001</v>
      </c>
    </row>
    <row r="231" spans="1:7" ht="12" customHeight="1" x14ac:dyDescent="0.25">
      <c r="A231" s="55">
        <v>2021</v>
      </c>
      <c r="B231" s="55" t="s">
        <v>6</v>
      </c>
      <c r="C231" s="57">
        <v>0</v>
      </c>
      <c r="D231" s="57">
        <v>0</v>
      </c>
      <c r="E231" s="57">
        <v>1803.5341299999998</v>
      </c>
      <c r="F231" s="57">
        <v>0</v>
      </c>
      <c r="G231" s="57">
        <v>1803.5341299999998</v>
      </c>
    </row>
    <row r="232" spans="1:7" ht="12" customHeight="1" x14ac:dyDescent="0.25">
      <c r="A232" s="55">
        <v>2021</v>
      </c>
      <c r="B232" s="55" t="s">
        <v>7</v>
      </c>
      <c r="C232" s="57">
        <v>0</v>
      </c>
      <c r="D232" s="57">
        <v>0</v>
      </c>
      <c r="E232" s="57">
        <v>1825.4810899999998</v>
      </c>
      <c r="F232" s="57">
        <v>0</v>
      </c>
      <c r="G232" s="57">
        <v>1825.4810899999998</v>
      </c>
    </row>
    <row r="233" spans="1:7" ht="12" customHeight="1" x14ac:dyDescent="0.25">
      <c r="A233" s="55">
        <v>2021</v>
      </c>
      <c r="B233" s="55" t="s">
        <v>8</v>
      </c>
      <c r="C233" s="57">
        <v>0</v>
      </c>
      <c r="D233" s="57">
        <v>0</v>
      </c>
      <c r="E233" s="57">
        <v>3132.9316600000002</v>
      </c>
      <c r="F233" s="57">
        <v>0</v>
      </c>
      <c r="G233" s="57">
        <v>3132.9316600000002</v>
      </c>
    </row>
    <row r="234" spans="1:7" ht="12" customHeight="1" x14ac:dyDescent="0.25">
      <c r="A234" s="55">
        <v>2021</v>
      </c>
      <c r="B234" s="55" t="s">
        <v>9</v>
      </c>
      <c r="C234" s="57">
        <v>0</v>
      </c>
      <c r="D234" s="57">
        <v>0</v>
      </c>
      <c r="E234" s="57">
        <v>1794.9865500000001</v>
      </c>
      <c r="F234" s="57">
        <v>0</v>
      </c>
      <c r="G234" s="57">
        <v>1794.9865500000001</v>
      </c>
    </row>
    <row r="235" spans="1:7" ht="12" customHeight="1" x14ac:dyDescent="0.25">
      <c r="A235" s="55">
        <v>2021</v>
      </c>
      <c r="B235" s="55" t="s">
        <v>10</v>
      </c>
      <c r="C235" s="57">
        <v>0</v>
      </c>
      <c r="D235" s="57">
        <v>0</v>
      </c>
      <c r="E235" s="57">
        <v>2523.4420800000003</v>
      </c>
      <c r="F235" s="57">
        <v>0</v>
      </c>
      <c r="G235" s="57">
        <v>2523.4420800000003</v>
      </c>
    </row>
    <row r="236" spans="1:7" ht="12" customHeight="1" x14ac:dyDescent="0.25">
      <c r="A236" s="55">
        <v>2021</v>
      </c>
      <c r="B236" s="55" t="s">
        <v>11</v>
      </c>
      <c r="C236" s="57">
        <v>0</v>
      </c>
      <c r="D236" s="57">
        <v>0</v>
      </c>
      <c r="E236" s="57">
        <v>4322.4406899999994</v>
      </c>
      <c r="F236" s="57">
        <v>0</v>
      </c>
      <c r="G236" s="57">
        <v>4322.4406899999994</v>
      </c>
    </row>
    <row r="237" spans="1:7" ht="12" customHeight="1" x14ac:dyDescent="0.25">
      <c r="A237" s="55">
        <v>2021</v>
      </c>
      <c r="B237" s="55" t="s">
        <v>12</v>
      </c>
      <c r="C237" s="57">
        <v>0</v>
      </c>
      <c r="D237" s="57">
        <v>0</v>
      </c>
      <c r="E237" s="57">
        <v>2732.7794800000001</v>
      </c>
      <c r="F237" s="57">
        <v>0</v>
      </c>
      <c r="G237" s="57">
        <v>2732.7794800000001</v>
      </c>
    </row>
    <row r="238" spans="1:7" ht="12" customHeight="1" x14ac:dyDescent="0.25">
      <c r="A238" s="55">
        <v>2021</v>
      </c>
      <c r="B238" s="55" t="s">
        <v>13</v>
      </c>
      <c r="C238" s="57">
        <v>0</v>
      </c>
      <c r="D238" s="57">
        <v>0</v>
      </c>
      <c r="E238" s="57">
        <v>1778.7995899999999</v>
      </c>
      <c r="F238" s="57">
        <v>0</v>
      </c>
      <c r="G238" s="57">
        <v>1778.7995899999999</v>
      </c>
    </row>
    <row r="239" spans="1:7" ht="12" customHeight="1" x14ac:dyDescent="0.25">
      <c r="A239" s="55">
        <v>2021</v>
      </c>
      <c r="B239" s="55" t="s">
        <v>14</v>
      </c>
      <c r="C239" s="57">
        <v>0</v>
      </c>
      <c r="D239" s="57">
        <v>0</v>
      </c>
      <c r="E239" s="57">
        <v>876.75381000000004</v>
      </c>
      <c r="F239" s="57">
        <v>0</v>
      </c>
      <c r="G239" s="57">
        <v>876.75381000000004</v>
      </c>
    </row>
    <row r="240" spans="1:7" ht="12" customHeight="1" x14ac:dyDescent="0.25">
      <c r="A240" s="55">
        <v>2021</v>
      </c>
      <c r="B240" s="55" t="s">
        <v>15</v>
      </c>
      <c r="C240" s="57">
        <v>0</v>
      </c>
      <c r="D240" s="57">
        <v>0</v>
      </c>
      <c r="E240" s="57">
        <v>26169.213769999998</v>
      </c>
      <c r="F240" s="57">
        <v>0</v>
      </c>
      <c r="G240" s="57">
        <v>26169.213769999998</v>
      </c>
    </row>
    <row r="241" spans="1:7" ht="12" customHeight="1" x14ac:dyDescent="0.25">
      <c r="A241" s="55">
        <v>2022</v>
      </c>
      <c r="B241" s="55" t="s">
        <v>3</v>
      </c>
      <c r="C241" s="57">
        <v>0</v>
      </c>
      <c r="D241" s="57">
        <v>1925.0312799999999</v>
      </c>
      <c r="E241" s="57">
        <v>876.17562999999996</v>
      </c>
      <c r="F241" s="57">
        <v>0</v>
      </c>
      <c r="G241" s="57">
        <v>2801.2069099999999</v>
      </c>
    </row>
    <row r="242" spans="1:7" ht="12" customHeight="1" x14ac:dyDescent="0.25">
      <c r="A242" s="55">
        <v>2022</v>
      </c>
      <c r="B242" s="55" t="s">
        <v>4</v>
      </c>
      <c r="C242" s="57">
        <v>0</v>
      </c>
      <c r="D242" s="57">
        <v>0</v>
      </c>
      <c r="E242" s="57">
        <v>877.62881000000004</v>
      </c>
      <c r="F242" s="57">
        <v>0</v>
      </c>
      <c r="G242" s="57">
        <v>877.62881000000004</v>
      </c>
    </row>
    <row r="243" spans="1:7" ht="12" customHeight="1" x14ac:dyDescent="0.25">
      <c r="A243" s="55">
        <v>2022</v>
      </c>
      <c r="B243" s="55" t="s">
        <v>5</v>
      </c>
      <c r="C243" s="57">
        <v>0</v>
      </c>
      <c r="D243" s="57">
        <v>0</v>
      </c>
      <c r="E243" s="57">
        <v>0</v>
      </c>
      <c r="F243" s="57">
        <v>0</v>
      </c>
      <c r="G243" s="57">
        <v>0</v>
      </c>
    </row>
    <row r="244" spans="1:7" ht="12" customHeight="1" x14ac:dyDescent="0.25">
      <c r="A244" s="55">
        <v>2022</v>
      </c>
      <c r="B244" s="55" t="s">
        <v>6</v>
      </c>
      <c r="C244" s="57">
        <v>0</v>
      </c>
      <c r="D244" s="57">
        <v>960.13679000000002</v>
      </c>
      <c r="E244" s="57">
        <v>1789.9443700000002</v>
      </c>
      <c r="F244" s="57">
        <v>0</v>
      </c>
      <c r="G244" s="57">
        <v>2750.0811600000002</v>
      </c>
    </row>
    <row r="245" spans="1:7" ht="12" customHeight="1" x14ac:dyDescent="0.25">
      <c r="A245" s="55">
        <v>2022</v>
      </c>
      <c r="B245" s="55" t="s">
        <v>7</v>
      </c>
      <c r="C245" s="57">
        <v>0</v>
      </c>
      <c r="D245" s="57">
        <v>0</v>
      </c>
      <c r="E245" s="57">
        <v>877.73946999999998</v>
      </c>
      <c r="F245" s="57">
        <v>0</v>
      </c>
      <c r="G245" s="57">
        <v>877.73946999999998</v>
      </c>
    </row>
    <row r="246" spans="1:7" ht="12" customHeight="1" x14ac:dyDescent="0.25">
      <c r="A246" s="55">
        <v>2022</v>
      </c>
      <c r="B246" s="55" t="s">
        <v>8</v>
      </c>
      <c r="C246" s="57">
        <v>0</v>
      </c>
      <c r="D246" s="57">
        <v>0</v>
      </c>
      <c r="E246" s="57">
        <v>884.43547999999998</v>
      </c>
      <c r="F246" s="57">
        <v>0</v>
      </c>
      <c r="G246" s="57">
        <v>884.43547999999998</v>
      </c>
    </row>
    <row r="247" spans="1:7" ht="12" customHeight="1" x14ac:dyDescent="0.25">
      <c r="A247" s="55">
        <v>2022</v>
      </c>
      <c r="B247" s="55" t="s">
        <v>9</v>
      </c>
      <c r="C247" s="57">
        <v>0</v>
      </c>
      <c r="D247" s="57">
        <v>0</v>
      </c>
      <c r="E247" s="57">
        <v>2017.6382699999999</v>
      </c>
      <c r="F247" s="57">
        <v>0</v>
      </c>
      <c r="G247" s="57">
        <v>2017.6382699999999</v>
      </c>
    </row>
    <row r="248" spans="1:7" ht="12" customHeight="1" x14ac:dyDescent="0.25">
      <c r="A248" s="55">
        <v>2022</v>
      </c>
      <c r="B248" s="55" t="s">
        <v>10</v>
      </c>
      <c r="C248" s="57">
        <v>0</v>
      </c>
      <c r="D248" s="57">
        <v>0</v>
      </c>
      <c r="E248" s="57">
        <v>1652.68858</v>
      </c>
      <c r="F248" s="57">
        <v>0</v>
      </c>
      <c r="G248" s="57">
        <v>1652.68858</v>
      </c>
    </row>
    <row r="249" spans="1:7" ht="12" customHeight="1" x14ac:dyDescent="0.25">
      <c r="A249" s="55">
        <v>2022</v>
      </c>
      <c r="B249" s="55" t="s">
        <v>11</v>
      </c>
      <c r="C249" s="57">
        <v>0</v>
      </c>
      <c r="D249" s="57">
        <v>119.73158000000001</v>
      </c>
      <c r="E249" s="57">
        <v>949.30654000000004</v>
      </c>
      <c r="F249" s="57">
        <v>0</v>
      </c>
      <c r="G249" s="57">
        <v>1069.0381200000002</v>
      </c>
    </row>
    <row r="250" spans="1:7" ht="12" customHeight="1" x14ac:dyDescent="0.25">
      <c r="A250" s="55">
        <v>2022</v>
      </c>
      <c r="B250" s="55" t="s">
        <v>12</v>
      </c>
      <c r="C250" s="57">
        <v>0</v>
      </c>
      <c r="D250" s="57">
        <v>978.92829000000006</v>
      </c>
      <c r="E250" s="57">
        <v>1762.6118000000001</v>
      </c>
      <c r="F250" s="57">
        <v>0</v>
      </c>
      <c r="G250" s="57">
        <v>2741.5400900000004</v>
      </c>
    </row>
    <row r="251" spans="1:7" ht="12" customHeight="1" x14ac:dyDescent="0.25">
      <c r="A251" s="55">
        <v>2022</v>
      </c>
      <c r="B251" s="55" t="s">
        <v>13</v>
      </c>
      <c r="C251" s="57">
        <v>0</v>
      </c>
      <c r="D251" s="57">
        <v>1912.3931699999998</v>
      </c>
      <c r="E251" s="57">
        <v>2652.7608500000001</v>
      </c>
      <c r="F251" s="57">
        <v>0</v>
      </c>
      <c r="G251" s="57">
        <v>4565.1540199999999</v>
      </c>
    </row>
    <row r="252" spans="1:7" ht="12" customHeight="1" x14ac:dyDescent="0.25">
      <c r="A252" s="55">
        <v>2022</v>
      </c>
      <c r="B252" s="55" t="s">
        <v>14</v>
      </c>
      <c r="C252" s="57">
        <v>0</v>
      </c>
      <c r="D252" s="57">
        <v>0</v>
      </c>
      <c r="E252" s="57">
        <v>1090.0742399999999</v>
      </c>
      <c r="F252" s="57">
        <v>0</v>
      </c>
      <c r="G252" s="57">
        <v>1090.0742399999999</v>
      </c>
    </row>
    <row r="253" spans="1:7" ht="12" customHeight="1" x14ac:dyDescent="0.25">
      <c r="A253" s="55">
        <v>2022</v>
      </c>
      <c r="B253" s="55" t="s">
        <v>15</v>
      </c>
      <c r="C253" s="57">
        <v>0</v>
      </c>
      <c r="D253" s="57">
        <v>5896.2211100000004</v>
      </c>
      <c r="E253" s="57">
        <v>15431.00404</v>
      </c>
      <c r="F253" s="57">
        <v>0</v>
      </c>
      <c r="G253" s="57">
        <v>21327.225149999998</v>
      </c>
    </row>
    <row r="254" spans="1:7" ht="12" customHeight="1" x14ac:dyDescent="0.25">
      <c r="A254" s="55">
        <v>2023</v>
      </c>
      <c r="B254" s="55" t="s">
        <v>3</v>
      </c>
      <c r="C254" s="57">
        <v>0</v>
      </c>
      <c r="D254" s="57">
        <v>0</v>
      </c>
      <c r="E254" s="57">
        <v>879.37573999999995</v>
      </c>
      <c r="F254" s="57">
        <v>0</v>
      </c>
      <c r="G254" s="57">
        <v>879.37573999999995</v>
      </c>
    </row>
    <row r="255" spans="1:7" ht="12" customHeight="1" x14ac:dyDescent="0.25">
      <c r="A255" s="55">
        <v>2023</v>
      </c>
      <c r="B255" s="55" t="s">
        <v>4</v>
      </c>
      <c r="C255" s="57">
        <v>0</v>
      </c>
      <c r="D255" s="57">
        <v>0</v>
      </c>
      <c r="E255" s="57">
        <v>1761.7663</v>
      </c>
      <c r="F255" s="57">
        <v>0</v>
      </c>
      <c r="G255" s="57">
        <v>1761.7663</v>
      </c>
    </row>
    <row r="256" spans="1:7" ht="12" customHeight="1" x14ac:dyDescent="0.25">
      <c r="A256" s="55">
        <v>2023</v>
      </c>
      <c r="B256" s="55" t="s">
        <v>5</v>
      </c>
      <c r="C256" s="57">
        <v>0</v>
      </c>
      <c r="D256" s="57">
        <v>961.98289999999997</v>
      </c>
      <c r="E256" s="57">
        <v>1817.7845300000001</v>
      </c>
      <c r="F256" s="57">
        <v>0</v>
      </c>
      <c r="G256" s="57">
        <v>2779.7674299999999</v>
      </c>
    </row>
    <row r="257" spans="1:7" ht="12" customHeight="1" x14ac:dyDescent="0.25">
      <c r="A257" s="55">
        <v>2023</v>
      </c>
      <c r="B257" s="55" t="s">
        <v>6</v>
      </c>
      <c r="C257" s="57">
        <v>0</v>
      </c>
      <c r="D257" s="57">
        <v>1940.4524899999999</v>
      </c>
      <c r="E257" s="57">
        <v>877.3908100000001</v>
      </c>
      <c r="F257" s="57">
        <v>0</v>
      </c>
      <c r="G257" s="57">
        <v>2817.8433</v>
      </c>
    </row>
    <row r="258" spans="1:7" ht="12" customHeight="1" x14ac:dyDescent="0.25">
      <c r="A258" s="55">
        <v>2023</v>
      </c>
      <c r="B258" s="55" t="s">
        <v>7</v>
      </c>
      <c r="C258" s="57">
        <v>0</v>
      </c>
      <c r="D258" s="57">
        <v>0</v>
      </c>
      <c r="E258" s="57">
        <v>876.94779000000005</v>
      </c>
      <c r="F258" s="57">
        <v>0</v>
      </c>
      <c r="G258" s="57">
        <v>876.94779000000005</v>
      </c>
    </row>
    <row r="259" spans="1:7" ht="12" customHeight="1" x14ac:dyDescent="0.25">
      <c r="A259" s="55">
        <v>2023</v>
      </c>
      <c r="B259" s="55" t="s">
        <v>8</v>
      </c>
      <c r="C259" s="57">
        <v>0</v>
      </c>
      <c r="D259" s="57">
        <v>0</v>
      </c>
      <c r="E259" s="57">
        <v>876.50864000000001</v>
      </c>
      <c r="F259" s="57">
        <v>0</v>
      </c>
      <c r="G259" s="57">
        <v>876.50864000000001</v>
      </c>
    </row>
    <row r="260" spans="1:7" ht="12" customHeight="1" x14ac:dyDescent="0.25">
      <c r="A260" s="55">
        <v>2023</v>
      </c>
      <c r="B260" s="55" t="s">
        <v>9</v>
      </c>
      <c r="C260" s="57">
        <v>0</v>
      </c>
      <c r="D260" s="57">
        <v>0</v>
      </c>
      <c r="E260" s="57">
        <v>878.64747</v>
      </c>
      <c r="F260" s="57">
        <v>0</v>
      </c>
      <c r="G260" s="57">
        <v>878.64747</v>
      </c>
    </row>
    <row r="261" spans="1:7" ht="12" customHeight="1" x14ac:dyDescent="0.25">
      <c r="A261" s="55">
        <v>2023</v>
      </c>
      <c r="B261" s="55" t="s">
        <v>10</v>
      </c>
      <c r="C261" s="57">
        <v>0</v>
      </c>
      <c r="D261" s="57">
        <v>0</v>
      </c>
      <c r="E261" s="57">
        <v>879.53750000000002</v>
      </c>
      <c r="F261" s="57">
        <v>0</v>
      </c>
      <c r="G261" s="57">
        <v>879.53750000000002</v>
      </c>
    </row>
    <row r="262" spans="1:7" ht="12" customHeight="1" x14ac:dyDescent="0.25">
      <c r="A262" s="55">
        <v>2023</v>
      </c>
      <c r="B262" s="55" t="s">
        <v>11</v>
      </c>
      <c r="C262" s="57">
        <v>0</v>
      </c>
      <c r="D262" s="57">
        <v>0</v>
      </c>
      <c r="E262" s="57">
        <v>877.42651999999998</v>
      </c>
      <c r="F262" s="57">
        <v>0</v>
      </c>
      <c r="G262" s="57">
        <v>877.42651999999998</v>
      </c>
    </row>
    <row r="263" spans="1:7" ht="12" customHeight="1" x14ac:dyDescent="0.25">
      <c r="A263" s="55">
        <v>2023</v>
      </c>
      <c r="B263" s="55" t="s">
        <v>12</v>
      </c>
      <c r="C263" s="57">
        <v>0</v>
      </c>
      <c r="D263" s="57">
        <v>0</v>
      </c>
      <c r="E263" s="57">
        <v>1814.8862099999999</v>
      </c>
      <c r="F263" s="57">
        <v>0</v>
      </c>
      <c r="G263" s="57">
        <v>1814.8862099999999</v>
      </c>
    </row>
    <row r="264" spans="1:7" ht="12" customHeight="1" x14ac:dyDescent="0.25">
      <c r="A264" s="55">
        <v>2023</v>
      </c>
      <c r="B264" s="55" t="s">
        <v>13</v>
      </c>
      <c r="C264" s="57">
        <v>0</v>
      </c>
      <c r="D264" s="57">
        <v>0</v>
      </c>
      <c r="E264" s="57">
        <v>877.81214</v>
      </c>
      <c r="F264" s="57">
        <v>0</v>
      </c>
      <c r="G264" s="57">
        <v>877.81214</v>
      </c>
    </row>
    <row r="265" spans="1:7" ht="12" customHeight="1" x14ac:dyDescent="0.25">
      <c r="A265" s="55">
        <v>2023</v>
      </c>
      <c r="B265" s="56" t="s">
        <v>14</v>
      </c>
      <c r="C265" s="45">
        <v>0</v>
      </c>
      <c r="D265" s="45">
        <v>0</v>
      </c>
      <c r="E265" s="45">
        <v>1752.2275199999999</v>
      </c>
      <c r="F265" s="45">
        <v>0</v>
      </c>
      <c r="G265" s="45">
        <v>1752.2275199999999</v>
      </c>
    </row>
    <row r="266" spans="1:7" ht="12" customHeight="1" x14ac:dyDescent="0.25">
      <c r="A266" s="55">
        <v>2023</v>
      </c>
      <c r="B266" s="56" t="s">
        <v>15</v>
      </c>
      <c r="C266" s="45">
        <v>0</v>
      </c>
      <c r="D266" s="45">
        <v>2902.4353899999996</v>
      </c>
      <c r="E266" s="45">
        <v>14170.311169999999</v>
      </c>
      <c r="F266" s="45">
        <v>0</v>
      </c>
      <c r="G266" s="45">
        <v>17072.74656</v>
      </c>
    </row>
    <row r="267" spans="1:7" ht="12" customHeight="1" x14ac:dyDescent="0.25">
      <c r="A267" s="91">
        <v>2024</v>
      </c>
      <c r="B267" s="92" t="s">
        <v>3</v>
      </c>
      <c r="C267" s="45">
        <v>0</v>
      </c>
      <c r="D267" s="45">
        <v>0</v>
      </c>
      <c r="E267" s="45">
        <v>876.75328000000002</v>
      </c>
      <c r="F267" s="45">
        <v>0</v>
      </c>
      <c r="G267" s="45">
        <v>876.75328000000002</v>
      </c>
    </row>
    <row r="268" spans="1:7" ht="12" customHeight="1" x14ac:dyDescent="0.25">
      <c r="A268" s="91">
        <v>2024</v>
      </c>
      <c r="B268" s="92" t="s">
        <v>4</v>
      </c>
      <c r="C268" s="45">
        <v>0</v>
      </c>
      <c r="D268" s="45">
        <v>0</v>
      </c>
      <c r="E268" s="45">
        <v>872.49808999999993</v>
      </c>
      <c r="F268" s="45">
        <v>0</v>
      </c>
      <c r="G268" s="45">
        <v>872.49808999999993</v>
      </c>
    </row>
    <row r="269" spans="1:7" ht="12" customHeight="1" x14ac:dyDescent="0.25">
      <c r="A269" s="91">
        <v>2024</v>
      </c>
      <c r="B269" s="92" t="s">
        <v>5</v>
      </c>
      <c r="C269" s="45">
        <v>0</v>
      </c>
      <c r="D269" s="45">
        <v>0</v>
      </c>
      <c r="E269" s="45">
        <v>873.44798000000003</v>
      </c>
      <c r="F269" s="45">
        <v>0</v>
      </c>
      <c r="G269" s="45">
        <v>873.44798000000003</v>
      </c>
    </row>
    <row r="270" spans="1:7" ht="12" customHeight="1" x14ac:dyDescent="0.25">
      <c r="A270" s="91">
        <v>2024</v>
      </c>
      <c r="B270" s="92" t="s">
        <v>6</v>
      </c>
      <c r="C270" s="45">
        <v>0</v>
      </c>
      <c r="D270" s="45">
        <v>0</v>
      </c>
      <c r="E270" s="45">
        <v>0</v>
      </c>
      <c r="F270" s="45">
        <v>0</v>
      </c>
      <c r="G270" s="45">
        <v>0</v>
      </c>
    </row>
    <row r="271" spans="1:7" ht="12" customHeight="1" x14ac:dyDescent="0.25">
      <c r="A271" s="91">
        <v>2024</v>
      </c>
      <c r="B271" s="92" t="s">
        <v>7</v>
      </c>
      <c r="C271" s="45">
        <v>0</v>
      </c>
      <c r="D271" s="45">
        <v>0</v>
      </c>
      <c r="E271" s="45">
        <v>1741.7198999999998</v>
      </c>
      <c r="F271" s="45">
        <v>0</v>
      </c>
      <c r="G271" s="45">
        <v>1741.7198999999998</v>
      </c>
    </row>
    <row r="272" spans="1:7" ht="12" customHeight="1" x14ac:dyDescent="0.25">
      <c r="A272" s="91">
        <v>2024</v>
      </c>
      <c r="B272" s="92" t="s">
        <v>8</v>
      </c>
      <c r="C272" s="45">
        <v>0</v>
      </c>
      <c r="D272" s="45">
        <v>0</v>
      </c>
      <c r="E272" s="45">
        <v>0</v>
      </c>
      <c r="F272" s="45">
        <v>0</v>
      </c>
      <c r="G272" s="45">
        <v>0</v>
      </c>
    </row>
    <row r="273" spans="1:7" ht="12" customHeight="1" x14ac:dyDescent="0.25">
      <c r="A273" s="91">
        <v>2024</v>
      </c>
      <c r="B273" s="92" t="s">
        <v>9</v>
      </c>
      <c r="C273" s="45">
        <v>0</v>
      </c>
      <c r="D273" s="45">
        <v>0</v>
      </c>
      <c r="E273" s="45">
        <v>846.97526000000005</v>
      </c>
      <c r="F273" s="45">
        <v>0</v>
      </c>
      <c r="G273" s="45">
        <v>846.97526000000005</v>
      </c>
    </row>
    <row r="274" spans="1:7" ht="12" customHeight="1" x14ac:dyDescent="0.25">
      <c r="A274" s="91">
        <v>2024</v>
      </c>
      <c r="B274" s="92" t="s">
        <v>10</v>
      </c>
      <c r="C274" s="45">
        <v>0</v>
      </c>
      <c r="D274" s="45">
        <v>0</v>
      </c>
      <c r="E274" s="45">
        <v>865.14893999999993</v>
      </c>
      <c r="F274" s="45">
        <v>0</v>
      </c>
      <c r="G274" s="45">
        <v>865.14893999999993</v>
      </c>
    </row>
    <row r="275" spans="1:7" ht="12" customHeight="1" x14ac:dyDescent="0.25">
      <c r="A275" s="91">
        <v>2024</v>
      </c>
      <c r="B275" s="92" t="s">
        <v>11</v>
      </c>
      <c r="C275" s="45">
        <v>0</v>
      </c>
      <c r="D275" s="45">
        <v>0</v>
      </c>
      <c r="E275" s="45">
        <v>869.46942000000001</v>
      </c>
      <c r="F275" s="45">
        <v>0</v>
      </c>
      <c r="G275" s="45">
        <v>869.46942000000001</v>
      </c>
    </row>
    <row r="276" spans="1:7" ht="12" customHeight="1" x14ac:dyDescent="0.25">
      <c r="A276" s="91">
        <v>2024</v>
      </c>
      <c r="B276" s="92" t="s">
        <v>12</v>
      </c>
      <c r="C276" s="45">
        <v>0</v>
      </c>
      <c r="D276" s="45">
        <v>0</v>
      </c>
      <c r="E276" s="45">
        <v>863.79723999999999</v>
      </c>
      <c r="F276" s="45">
        <v>0</v>
      </c>
      <c r="G276" s="45">
        <v>863.79723999999999</v>
      </c>
    </row>
    <row r="277" spans="1:7" ht="12" customHeight="1" x14ac:dyDescent="0.25">
      <c r="A277" s="91">
        <v>2024</v>
      </c>
      <c r="B277" s="92" t="s">
        <v>13</v>
      </c>
      <c r="C277" s="45">
        <v>0</v>
      </c>
      <c r="D277" s="45">
        <v>0</v>
      </c>
      <c r="E277" s="45">
        <v>1725.5145600000001</v>
      </c>
      <c r="F277" s="45">
        <v>0</v>
      </c>
      <c r="G277" s="45">
        <v>1725.5145600000001</v>
      </c>
    </row>
    <row r="278" spans="1:7" ht="12" customHeight="1" x14ac:dyDescent="0.25">
      <c r="A278" s="91">
        <v>2024</v>
      </c>
      <c r="B278" s="92" t="s">
        <v>14</v>
      </c>
      <c r="C278" s="45">
        <v>0</v>
      </c>
      <c r="D278" s="45">
        <v>0</v>
      </c>
      <c r="E278" s="45">
        <v>1745.75468</v>
      </c>
      <c r="F278" s="45">
        <v>0</v>
      </c>
      <c r="G278" s="45">
        <v>1745.75468</v>
      </c>
    </row>
    <row r="279" spans="1:7" ht="12" customHeight="1" x14ac:dyDescent="0.25">
      <c r="A279" s="91">
        <v>2024</v>
      </c>
      <c r="B279" s="92" t="s">
        <v>15</v>
      </c>
      <c r="C279" s="45">
        <v>0</v>
      </c>
      <c r="D279" s="45">
        <v>0</v>
      </c>
      <c r="E279" s="45">
        <v>11281.07935</v>
      </c>
      <c r="F279" s="45">
        <v>0</v>
      </c>
      <c r="G279" s="45">
        <v>11281.07935</v>
      </c>
    </row>
    <row r="280" spans="1:7" ht="12" customHeight="1" x14ac:dyDescent="0.25">
      <c r="A280" s="55">
        <v>2025</v>
      </c>
      <c r="B280" s="56" t="s">
        <v>3</v>
      </c>
      <c r="C280" s="45">
        <v>0</v>
      </c>
      <c r="D280" s="45">
        <v>0</v>
      </c>
      <c r="E280" s="45">
        <v>826.45103000000006</v>
      </c>
      <c r="F280" s="45">
        <v>0</v>
      </c>
      <c r="G280" s="45">
        <v>826.45103000000006</v>
      </c>
    </row>
    <row r="281" spans="1:7" ht="12" customHeight="1" x14ac:dyDescent="0.25">
      <c r="A281" s="55">
        <v>2025</v>
      </c>
      <c r="B281" s="56" t="s">
        <v>4</v>
      </c>
      <c r="C281" s="45">
        <v>0</v>
      </c>
      <c r="D281" s="45">
        <v>0</v>
      </c>
      <c r="E281" s="45">
        <v>824.29251999999997</v>
      </c>
      <c r="F281" s="45">
        <v>0</v>
      </c>
      <c r="G281" s="45">
        <v>824.29251999999997</v>
      </c>
    </row>
    <row r="282" spans="1:7" ht="12" customHeight="1" x14ac:dyDescent="0.25">
      <c r="A282" s="55">
        <v>2025</v>
      </c>
      <c r="B282" s="56" t="s">
        <v>5</v>
      </c>
      <c r="C282" s="45">
        <v>0</v>
      </c>
      <c r="D282" s="45">
        <v>0</v>
      </c>
      <c r="E282" s="45">
        <v>1651.6282099999999</v>
      </c>
      <c r="F282" s="45">
        <v>0</v>
      </c>
      <c r="G282" s="45">
        <v>1651.6282099999999</v>
      </c>
    </row>
    <row r="283" spans="1:7" ht="12" customHeight="1" x14ac:dyDescent="0.25">
      <c r="A283" s="55">
        <v>2025</v>
      </c>
      <c r="B283" s="56" t="s">
        <v>6</v>
      </c>
      <c r="C283" s="45">
        <v>0</v>
      </c>
      <c r="D283" s="45">
        <v>0</v>
      </c>
      <c r="E283" s="45">
        <v>0</v>
      </c>
      <c r="F283" s="45">
        <v>0</v>
      </c>
      <c r="G283" s="45">
        <v>0</v>
      </c>
    </row>
    <row r="284" spans="1:7" ht="12" customHeight="1" x14ac:dyDescent="0.25">
      <c r="A284" s="55">
        <v>2025</v>
      </c>
      <c r="B284" s="56" t="s">
        <v>7</v>
      </c>
      <c r="C284" s="45">
        <v>0</v>
      </c>
      <c r="D284" s="45">
        <v>0</v>
      </c>
      <c r="E284" s="45">
        <v>779.90799000000004</v>
      </c>
      <c r="F284" s="45">
        <v>0</v>
      </c>
      <c r="G284" s="45">
        <v>779.90799000000004</v>
      </c>
    </row>
    <row r="285" spans="1:7" ht="12" customHeight="1" x14ac:dyDescent="0.25">
      <c r="A285" s="55">
        <v>2025</v>
      </c>
      <c r="B285" s="56" t="s">
        <v>8</v>
      </c>
      <c r="C285" s="45">
        <v>0</v>
      </c>
      <c r="D285" s="45">
        <v>0</v>
      </c>
      <c r="E285" s="45">
        <v>0</v>
      </c>
      <c r="F285" s="45">
        <v>0</v>
      </c>
      <c r="G285" s="45">
        <v>0</v>
      </c>
    </row>
    <row r="286" spans="1:7" ht="12" customHeight="1" x14ac:dyDescent="0.25">
      <c r="A286" s="55">
        <v>2025</v>
      </c>
      <c r="B286" s="56" t="s">
        <v>9</v>
      </c>
      <c r="C286" s="45">
        <v>0</v>
      </c>
      <c r="D286" s="45">
        <v>0</v>
      </c>
      <c r="E286" s="45">
        <v>0</v>
      </c>
      <c r="F286" s="45">
        <v>0</v>
      </c>
      <c r="G286" s="45">
        <v>0</v>
      </c>
    </row>
    <row r="287" spans="1:7" ht="12" customHeight="1" x14ac:dyDescent="0.25">
      <c r="A287" s="55">
        <v>2025</v>
      </c>
      <c r="B287" s="56" t="s">
        <v>10</v>
      </c>
      <c r="C287" s="45">
        <v>0</v>
      </c>
      <c r="D287" s="45">
        <v>0</v>
      </c>
      <c r="E287" s="45">
        <v>784.88043000000005</v>
      </c>
      <c r="F287" s="45">
        <v>0</v>
      </c>
      <c r="G287" s="45">
        <v>784.88043000000005</v>
      </c>
    </row>
    <row r="288" spans="1:7" ht="12" customHeight="1" x14ac:dyDescent="0.25">
      <c r="A288" s="55">
        <v>2025</v>
      </c>
      <c r="B288" s="56" t="s">
        <v>11</v>
      </c>
      <c r="C288" s="45">
        <v>0</v>
      </c>
      <c r="D288" s="45">
        <v>0</v>
      </c>
      <c r="E288" s="45">
        <v>0</v>
      </c>
      <c r="F288" s="45">
        <v>0</v>
      </c>
      <c r="G288" s="45">
        <v>0</v>
      </c>
    </row>
    <row r="289" spans="1:7" ht="12" customHeight="1" x14ac:dyDescent="0.25">
      <c r="A289" s="55">
        <v>2025</v>
      </c>
      <c r="B289" s="56" t="s">
        <v>12</v>
      </c>
      <c r="C289" s="45">
        <v>0</v>
      </c>
      <c r="D289" s="45">
        <v>0</v>
      </c>
      <c r="E289" s="45">
        <v>768.69637999999998</v>
      </c>
      <c r="F289" s="45">
        <v>0</v>
      </c>
      <c r="G289" s="45">
        <v>768.69637999999998</v>
      </c>
    </row>
    <row r="290" spans="1:7" ht="12" customHeight="1" x14ac:dyDescent="0.25">
      <c r="A290" s="55">
        <v>2025</v>
      </c>
      <c r="B290" s="56" t="s">
        <v>13</v>
      </c>
      <c r="C290" s="45">
        <v>0</v>
      </c>
      <c r="D290" s="45">
        <v>0</v>
      </c>
      <c r="E290" s="45">
        <v>0</v>
      </c>
      <c r="F290" s="45">
        <v>0</v>
      </c>
      <c r="G290" s="45">
        <v>0</v>
      </c>
    </row>
    <row r="291" spans="1:7" ht="12" customHeight="1" x14ac:dyDescent="0.25">
      <c r="A291" s="99">
        <v>2025</v>
      </c>
      <c r="B291" s="56" t="s">
        <v>14</v>
      </c>
      <c r="C291" s="100">
        <v>0</v>
      </c>
      <c r="D291" s="100">
        <v>0</v>
      </c>
      <c r="E291" s="45">
        <v>766.96986000000004</v>
      </c>
      <c r="F291" s="45">
        <v>0</v>
      </c>
      <c r="G291" s="45">
        <v>766.96986000000004</v>
      </c>
    </row>
    <row r="292" spans="1:7" ht="12" customHeight="1" x14ac:dyDescent="0.25">
      <c r="A292" s="99">
        <v>2025</v>
      </c>
      <c r="B292" s="56" t="s">
        <v>15</v>
      </c>
      <c r="C292" s="100">
        <v>0</v>
      </c>
      <c r="D292" s="100">
        <v>0</v>
      </c>
      <c r="E292" s="45">
        <v>6402.8264200000003</v>
      </c>
      <c r="F292" s="45">
        <v>0</v>
      </c>
      <c r="G292" s="45">
        <v>6402.8264200000003</v>
      </c>
    </row>
    <row r="293" spans="1:7" ht="12" customHeight="1" x14ac:dyDescent="0.25">
      <c r="A293" s="91">
        <v>2026</v>
      </c>
      <c r="B293" s="92" t="s">
        <v>3</v>
      </c>
      <c r="C293" s="45">
        <v>0</v>
      </c>
      <c r="D293" s="45">
        <v>0</v>
      </c>
      <c r="E293" s="45">
        <v>0</v>
      </c>
      <c r="F293" s="45">
        <v>0</v>
      </c>
      <c r="G293" s="45">
        <v>0</v>
      </c>
    </row>
    <row r="294" spans="1:7" ht="12" customHeight="1" x14ac:dyDescent="0.25">
      <c r="A294" s="91">
        <v>2026</v>
      </c>
      <c r="B294" s="92" t="s">
        <v>4</v>
      </c>
      <c r="C294" s="45">
        <v>0</v>
      </c>
      <c r="D294" s="45">
        <v>0</v>
      </c>
      <c r="E294" s="45">
        <v>0</v>
      </c>
      <c r="F294" s="45">
        <v>0</v>
      </c>
      <c r="G294" s="45">
        <v>0</v>
      </c>
    </row>
    <row r="295" spans="1:7" ht="12" customHeight="1" x14ac:dyDescent="0.25">
      <c r="A295" s="91">
        <v>2026</v>
      </c>
      <c r="B295" s="92" t="s">
        <v>5</v>
      </c>
      <c r="C295" s="45">
        <v>0</v>
      </c>
      <c r="D295" s="45">
        <v>0</v>
      </c>
      <c r="E295" s="45">
        <v>0</v>
      </c>
      <c r="F295" s="45">
        <v>0</v>
      </c>
      <c r="G295" s="45">
        <v>0</v>
      </c>
    </row>
    <row r="296" spans="1:7" ht="12" customHeight="1" x14ac:dyDescent="0.25">
      <c r="A296" s="91">
        <v>2026</v>
      </c>
      <c r="B296" s="92" t="s">
        <v>6</v>
      </c>
      <c r="C296" s="45">
        <v>0</v>
      </c>
      <c r="D296" s="45">
        <v>0</v>
      </c>
      <c r="E296" s="45">
        <v>0</v>
      </c>
      <c r="F296" s="45">
        <v>0</v>
      </c>
      <c r="G296" s="45">
        <v>0</v>
      </c>
    </row>
    <row r="297" spans="1:7" ht="12" customHeight="1" x14ac:dyDescent="0.25">
      <c r="A297" s="91">
        <v>2026</v>
      </c>
      <c r="B297" s="92" t="s">
        <v>7</v>
      </c>
      <c r="C297" s="45">
        <v>0</v>
      </c>
      <c r="D297" s="45">
        <v>0</v>
      </c>
      <c r="E297" s="45">
        <v>0</v>
      </c>
      <c r="F297" s="45">
        <v>0</v>
      </c>
      <c r="G297" s="45">
        <v>0</v>
      </c>
    </row>
    <row r="298" spans="1:7" ht="12" customHeight="1" x14ac:dyDescent="0.25">
      <c r="A298" s="91">
        <v>2026</v>
      </c>
      <c r="B298" s="92" t="s">
        <v>8</v>
      </c>
      <c r="C298" s="45">
        <v>0</v>
      </c>
      <c r="D298" s="45">
        <v>0</v>
      </c>
      <c r="E298" s="45">
        <v>0</v>
      </c>
      <c r="F298" s="45">
        <v>0</v>
      </c>
      <c r="G298" s="45">
        <v>0</v>
      </c>
    </row>
    <row r="299" spans="1:7" ht="12" customHeight="1" x14ac:dyDescent="0.25">
      <c r="A299" s="91">
        <v>2026</v>
      </c>
      <c r="B299" s="92" t="s">
        <v>9</v>
      </c>
      <c r="C299" s="45">
        <v>0</v>
      </c>
      <c r="D299" s="45">
        <v>0</v>
      </c>
      <c r="E299" s="45">
        <v>0</v>
      </c>
      <c r="F299" s="45">
        <v>0</v>
      </c>
      <c r="G299" s="45">
        <v>0</v>
      </c>
    </row>
    <row r="300" spans="1:7" ht="12" customHeight="1" x14ac:dyDescent="0.25">
      <c r="A300" s="91" t="s">
        <v>64</v>
      </c>
      <c r="B300" s="92" t="s">
        <v>64</v>
      </c>
      <c r="C300" s="45">
        <v>0</v>
      </c>
      <c r="D300" s="45">
        <v>0</v>
      </c>
      <c r="E300" s="45">
        <v>0</v>
      </c>
      <c r="F300" s="45">
        <v>0</v>
      </c>
      <c r="G300" s="45">
        <v>0</v>
      </c>
    </row>
    <row r="301" spans="1:7" ht="12" customHeight="1" x14ac:dyDescent="0.25">
      <c r="A301" s="91" t="s">
        <v>64</v>
      </c>
      <c r="B301" s="92" t="s">
        <v>64</v>
      </c>
      <c r="C301" s="45">
        <v>0</v>
      </c>
      <c r="D301" s="45">
        <v>0</v>
      </c>
      <c r="E301" s="45">
        <v>0</v>
      </c>
      <c r="F301" s="45">
        <v>0</v>
      </c>
      <c r="G301" s="45">
        <v>0</v>
      </c>
    </row>
    <row r="302" spans="1:7" ht="12" customHeight="1" x14ac:dyDescent="0.25">
      <c r="A302" s="91" t="s">
        <v>64</v>
      </c>
      <c r="B302" s="92" t="s">
        <v>64</v>
      </c>
      <c r="C302" s="45">
        <v>0</v>
      </c>
      <c r="D302" s="45">
        <v>0</v>
      </c>
      <c r="E302" s="45">
        <v>0</v>
      </c>
      <c r="F302" s="45">
        <v>0</v>
      </c>
      <c r="G302" s="45">
        <v>0</v>
      </c>
    </row>
    <row r="303" spans="1:7" ht="12" customHeight="1" x14ac:dyDescent="0.25">
      <c r="A303" s="91" t="s">
        <v>64</v>
      </c>
      <c r="B303" s="92" t="s">
        <v>64</v>
      </c>
      <c r="C303" s="45">
        <v>0</v>
      </c>
      <c r="D303" s="45">
        <v>0</v>
      </c>
      <c r="E303" s="45">
        <v>0</v>
      </c>
      <c r="F303" s="45">
        <v>0</v>
      </c>
      <c r="G303" s="45">
        <v>0</v>
      </c>
    </row>
    <row r="304" spans="1:7" ht="12" customHeight="1" x14ac:dyDescent="0.25">
      <c r="A304" s="91" t="s">
        <v>64</v>
      </c>
      <c r="B304" s="92" t="s">
        <v>64</v>
      </c>
      <c r="C304" s="45">
        <v>0</v>
      </c>
      <c r="D304" s="45">
        <v>0</v>
      </c>
      <c r="E304" s="45">
        <v>0</v>
      </c>
      <c r="F304" s="45">
        <v>0</v>
      </c>
      <c r="G304" s="45">
        <v>0</v>
      </c>
    </row>
    <row r="305" spans="2:7" ht="12" customHeight="1" x14ac:dyDescent="0.25">
      <c r="B305" s="56"/>
      <c r="C305" s="45"/>
      <c r="D305" s="45"/>
      <c r="E305" s="45"/>
      <c r="F305" s="45"/>
      <c r="G305" s="45"/>
    </row>
    <row r="306" spans="2:7" ht="12" customHeight="1" x14ac:dyDescent="0.25">
      <c r="B306" s="56" t="s">
        <v>64</v>
      </c>
      <c r="C306" s="45">
        <v>0</v>
      </c>
      <c r="D306" s="45">
        <v>0</v>
      </c>
      <c r="E306" s="45">
        <v>0</v>
      </c>
      <c r="F306" s="45">
        <v>0</v>
      </c>
      <c r="G306" s="45">
        <v>0</v>
      </c>
    </row>
    <row r="307" spans="2:7" ht="12" customHeight="1" x14ac:dyDescent="0.25">
      <c r="B307" s="56" t="s">
        <v>64</v>
      </c>
      <c r="C307" s="45">
        <v>0</v>
      </c>
      <c r="D307" s="45">
        <v>0</v>
      </c>
      <c r="E307" s="45">
        <v>0</v>
      </c>
      <c r="F307" s="45">
        <v>0</v>
      </c>
      <c r="G307" s="45">
        <v>0</v>
      </c>
    </row>
    <row r="308" spans="2:7" ht="12" customHeight="1" x14ac:dyDescent="0.25">
      <c r="B308" s="56" t="s">
        <v>64</v>
      </c>
      <c r="C308" s="45">
        <v>0</v>
      </c>
      <c r="D308" s="45">
        <v>0</v>
      </c>
      <c r="E308" s="45">
        <v>0</v>
      </c>
      <c r="F308" s="45">
        <v>0</v>
      </c>
      <c r="G308" s="45">
        <v>0</v>
      </c>
    </row>
    <row r="309" spans="2:7" ht="12" customHeight="1" x14ac:dyDescent="0.25">
      <c r="B309" s="56" t="s">
        <v>64</v>
      </c>
      <c r="C309" s="45">
        <v>0</v>
      </c>
      <c r="D309" s="45">
        <v>0</v>
      </c>
      <c r="E309" s="45">
        <v>0</v>
      </c>
      <c r="F309" s="45">
        <v>0</v>
      </c>
      <c r="G309" s="45">
        <v>0</v>
      </c>
    </row>
    <row r="310" spans="2:7" ht="12" customHeight="1" x14ac:dyDescent="0.25">
      <c r="B310" s="56" t="s">
        <v>64</v>
      </c>
      <c r="C310" s="45">
        <v>0</v>
      </c>
      <c r="D310" s="45">
        <v>0</v>
      </c>
      <c r="E310" s="45">
        <v>0</v>
      </c>
      <c r="F310" s="45">
        <v>0</v>
      </c>
      <c r="G310" s="45">
        <v>0</v>
      </c>
    </row>
    <row r="311" spans="2:7" ht="12" customHeight="1" x14ac:dyDescent="0.25">
      <c r="B311" s="56" t="s">
        <v>64</v>
      </c>
      <c r="C311" s="45">
        <v>0</v>
      </c>
      <c r="D311" s="45">
        <v>0</v>
      </c>
      <c r="E311" s="45">
        <v>0</v>
      </c>
      <c r="F311" s="45">
        <v>0</v>
      </c>
      <c r="G311" s="45">
        <v>0</v>
      </c>
    </row>
    <row r="312" spans="2:7" ht="12" customHeight="1" x14ac:dyDescent="0.25">
      <c r="B312" s="56" t="s">
        <v>64</v>
      </c>
      <c r="C312" s="45">
        <v>0</v>
      </c>
      <c r="D312" s="45">
        <v>0</v>
      </c>
      <c r="E312" s="45">
        <v>0</v>
      </c>
      <c r="F312" s="45">
        <v>0</v>
      </c>
      <c r="G312" s="45">
        <v>0</v>
      </c>
    </row>
    <row r="313" spans="2:7" ht="12" customHeight="1" x14ac:dyDescent="0.25">
      <c r="B313" s="56" t="s">
        <v>64</v>
      </c>
      <c r="C313" s="45">
        <v>0</v>
      </c>
      <c r="D313" s="45">
        <v>0</v>
      </c>
      <c r="E313" s="45">
        <v>0</v>
      </c>
      <c r="F313" s="45">
        <v>0</v>
      </c>
      <c r="G313" s="45">
        <v>0</v>
      </c>
    </row>
    <row r="314" spans="2:7" ht="12" customHeight="1" x14ac:dyDescent="0.25">
      <c r="B314" s="56" t="s">
        <v>64</v>
      </c>
      <c r="C314" s="45">
        <v>0</v>
      </c>
      <c r="D314" s="45">
        <v>0</v>
      </c>
      <c r="E314" s="45">
        <v>0</v>
      </c>
      <c r="F314" s="45">
        <v>0</v>
      </c>
      <c r="G314" s="45">
        <v>0</v>
      </c>
    </row>
    <row r="315" spans="2:7" ht="12" customHeight="1" x14ac:dyDescent="0.25">
      <c r="B315" s="56" t="s">
        <v>64</v>
      </c>
      <c r="C315" s="45">
        <v>0</v>
      </c>
      <c r="D315" s="45">
        <v>0</v>
      </c>
      <c r="E315" s="45">
        <v>0</v>
      </c>
      <c r="F315" s="45">
        <v>0</v>
      </c>
      <c r="G315" s="45">
        <v>0</v>
      </c>
    </row>
    <row r="316" spans="2:7" ht="12" customHeight="1" x14ac:dyDescent="0.25">
      <c r="B316" s="56" t="s">
        <v>64</v>
      </c>
      <c r="C316" s="45">
        <v>0</v>
      </c>
      <c r="D316" s="45">
        <v>0</v>
      </c>
      <c r="E316" s="45">
        <v>0</v>
      </c>
      <c r="F316" s="45">
        <v>0</v>
      </c>
      <c r="G316" s="45">
        <v>0</v>
      </c>
    </row>
    <row r="317" spans="2:7" ht="12" customHeight="1" x14ac:dyDescent="0.25">
      <c r="B317" s="56" t="s">
        <v>64</v>
      </c>
      <c r="C317" s="45">
        <v>0</v>
      </c>
      <c r="D317" s="45">
        <v>0</v>
      </c>
      <c r="E317" s="45">
        <v>0</v>
      </c>
      <c r="F317" s="45">
        <v>0</v>
      </c>
      <c r="G317" s="45">
        <v>0</v>
      </c>
    </row>
    <row r="318" spans="2:7" ht="12" customHeight="1" x14ac:dyDescent="0.25">
      <c r="B318" s="56" t="s">
        <v>64</v>
      </c>
      <c r="C318" s="45">
        <v>0</v>
      </c>
      <c r="D318" s="45">
        <v>0</v>
      </c>
      <c r="E318" s="45">
        <v>0</v>
      </c>
      <c r="F318" s="45">
        <v>0</v>
      </c>
      <c r="G318" s="45">
        <v>0</v>
      </c>
    </row>
    <row r="319" spans="2:7" ht="12" customHeight="1" x14ac:dyDescent="0.25">
      <c r="B319" s="56" t="s">
        <v>64</v>
      </c>
      <c r="C319" s="45">
        <v>0</v>
      </c>
      <c r="D319" s="45">
        <v>0</v>
      </c>
      <c r="E319" s="45">
        <v>0</v>
      </c>
      <c r="F319" s="45">
        <v>0</v>
      </c>
      <c r="G319" s="45">
        <v>0</v>
      </c>
    </row>
    <row r="320" spans="2:7" ht="12" customHeight="1" x14ac:dyDescent="0.25">
      <c r="B320" s="56" t="s">
        <v>64</v>
      </c>
      <c r="C320" s="45">
        <v>0</v>
      </c>
      <c r="D320" s="45">
        <v>0</v>
      </c>
      <c r="E320" s="45">
        <v>0</v>
      </c>
      <c r="F320" s="45">
        <v>0</v>
      </c>
      <c r="G320" s="45">
        <v>0</v>
      </c>
    </row>
    <row r="321" spans="2:7" ht="12" customHeight="1" x14ac:dyDescent="0.25">
      <c r="B321" s="56" t="s">
        <v>64</v>
      </c>
      <c r="C321" s="45">
        <v>0</v>
      </c>
      <c r="D321" s="45">
        <v>0</v>
      </c>
      <c r="E321" s="45">
        <v>0</v>
      </c>
      <c r="F321" s="45">
        <v>0</v>
      </c>
      <c r="G321" s="45">
        <v>0</v>
      </c>
    </row>
    <row r="322" spans="2:7" x14ac:dyDescent="0.25">
      <c r="B322" s="56" t="s">
        <v>64</v>
      </c>
      <c r="C322" s="45">
        <v>0</v>
      </c>
      <c r="D322" s="45">
        <v>0</v>
      </c>
      <c r="E322" s="45">
        <v>0</v>
      </c>
      <c r="F322" s="45">
        <v>0</v>
      </c>
      <c r="G322" s="45">
        <v>0</v>
      </c>
    </row>
    <row r="323" spans="2:7" x14ac:dyDescent="0.25">
      <c r="B323" s="56" t="s">
        <v>64</v>
      </c>
      <c r="C323" s="45">
        <v>0</v>
      </c>
      <c r="D323" s="45">
        <v>0</v>
      </c>
      <c r="E323" s="45">
        <v>0</v>
      </c>
      <c r="F323" s="45">
        <v>0</v>
      </c>
      <c r="G323" s="45">
        <v>0</v>
      </c>
    </row>
    <row r="324" spans="2:7" x14ac:dyDescent="0.25">
      <c r="B324" s="56" t="s">
        <v>64</v>
      </c>
      <c r="C324" s="45">
        <v>0</v>
      </c>
      <c r="D324" s="45">
        <v>0</v>
      </c>
      <c r="E324" s="45">
        <v>0</v>
      </c>
      <c r="F324" s="45">
        <v>0</v>
      </c>
      <c r="G324" s="45">
        <v>0</v>
      </c>
    </row>
    <row r="325" spans="2:7" x14ac:dyDescent="0.25">
      <c r="B325" s="56" t="s">
        <v>64</v>
      </c>
      <c r="C325" s="45">
        <v>0</v>
      </c>
      <c r="D325" s="45">
        <v>0</v>
      </c>
      <c r="E325" s="45">
        <v>0</v>
      </c>
      <c r="F325" s="45">
        <v>0</v>
      </c>
      <c r="G325" s="45">
        <v>0</v>
      </c>
    </row>
    <row r="326" spans="2:7" x14ac:dyDescent="0.25">
      <c r="B326" s="56" t="s">
        <v>64</v>
      </c>
      <c r="C326" s="45">
        <v>0</v>
      </c>
      <c r="D326" s="45">
        <v>0</v>
      </c>
      <c r="E326" s="45">
        <v>0</v>
      </c>
      <c r="F326" s="45">
        <v>0</v>
      </c>
      <c r="G326" s="45">
        <v>0</v>
      </c>
    </row>
    <row r="327" spans="2:7" x14ac:dyDescent="0.25">
      <c r="B327" s="56" t="s">
        <v>64</v>
      </c>
      <c r="C327" s="45">
        <v>0</v>
      </c>
      <c r="D327" s="45">
        <v>0</v>
      </c>
      <c r="E327" s="45">
        <v>0</v>
      </c>
      <c r="F327" s="45">
        <v>0</v>
      </c>
      <c r="G327" s="45">
        <v>0</v>
      </c>
    </row>
    <row r="328" spans="2:7" x14ac:dyDescent="0.25">
      <c r="B328" s="56" t="s">
        <v>64</v>
      </c>
      <c r="C328" s="45">
        <v>0</v>
      </c>
      <c r="D328" s="45">
        <v>0</v>
      </c>
      <c r="E328" s="45">
        <v>0</v>
      </c>
      <c r="F328" s="45">
        <v>0</v>
      </c>
      <c r="G328" s="45">
        <v>0</v>
      </c>
    </row>
    <row r="329" spans="2:7" x14ac:dyDescent="0.25">
      <c r="B329" s="56" t="s">
        <v>64</v>
      </c>
      <c r="C329" s="45">
        <v>0</v>
      </c>
      <c r="D329" s="45">
        <v>0</v>
      </c>
      <c r="E329" s="45">
        <v>0</v>
      </c>
      <c r="F329" s="45">
        <v>0</v>
      </c>
      <c r="G329" s="45">
        <v>0</v>
      </c>
    </row>
    <row r="330" spans="2:7" x14ac:dyDescent="0.25">
      <c r="B330" s="56" t="s">
        <v>64</v>
      </c>
      <c r="C330" s="45">
        <v>0</v>
      </c>
      <c r="D330" s="45">
        <v>0</v>
      </c>
      <c r="E330" s="45">
        <v>0</v>
      </c>
      <c r="F330" s="45">
        <v>0</v>
      </c>
      <c r="G330" s="45">
        <v>0</v>
      </c>
    </row>
    <row r="331" spans="2:7" x14ac:dyDescent="0.25">
      <c r="B331" s="56" t="s">
        <v>64</v>
      </c>
      <c r="C331" s="45">
        <v>0</v>
      </c>
      <c r="D331" s="45">
        <v>0</v>
      </c>
      <c r="E331" s="45">
        <v>0</v>
      </c>
      <c r="F331" s="45">
        <v>0</v>
      </c>
      <c r="G331" s="45">
        <v>0</v>
      </c>
    </row>
    <row r="332" spans="2:7" x14ac:dyDescent="0.25">
      <c r="B332" s="56" t="s">
        <v>64</v>
      </c>
      <c r="C332" s="45">
        <v>0</v>
      </c>
      <c r="D332" s="45">
        <v>0</v>
      </c>
      <c r="E332" s="45">
        <v>0</v>
      </c>
      <c r="F332" s="45">
        <v>0</v>
      </c>
      <c r="G332" s="45">
        <v>0</v>
      </c>
    </row>
    <row r="333" spans="2:7" x14ac:dyDescent="0.25">
      <c r="B333" s="56" t="s">
        <v>64</v>
      </c>
      <c r="C333" s="45">
        <v>0</v>
      </c>
      <c r="D333" s="45">
        <v>0</v>
      </c>
      <c r="E333" s="45">
        <v>0</v>
      </c>
      <c r="F333" s="45">
        <v>0</v>
      </c>
      <c r="G333" s="45">
        <v>0</v>
      </c>
    </row>
    <row r="334" spans="2:7" x14ac:dyDescent="0.25">
      <c r="B334" s="56" t="s">
        <v>64</v>
      </c>
      <c r="C334" s="45">
        <v>0</v>
      </c>
      <c r="D334" s="45">
        <v>0</v>
      </c>
      <c r="E334" s="45">
        <v>0</v>
      </c>
      <c r="F334" s="45">
        <v>0</v>
      </c>
      <c r="G334" s="45">
        <v>0</v>
      </c>
    </row>
    <row r="335" spans="2:7" x14ac:dyDescent="0.25">
      <c r="B335" s="56" t="s">
        <v>64</v>
      </c>
      <c r="C335" s="45">
        <v>0</v>
      </c>
      <c r="D335" s="45">
        <v>0</v>
      </c>
      <c r="E335" s="45">
        <v>0</v>
      </c>
      <c r="F335" s="45">
        <v>0</v>
      </c>
      <c r="G335" s="45">
        <v>0</v>
      </c>
    </row>
    <row r="336" spans="2:7" x14ac:dyDescent="0.25">
      <c r="B336" s="56" t="s">
        <v>64</v>
      </c>
      <c r="C336" s="45">
        <v>0</v>
      </c>
      <c r="D336" s="45">
        <v>0</v>
      </c>
      <c r="E336" s="45">
        <v>0</v>
      </c>
      <c r="F336" s="45">
        <v>0</v>
      </c>
      <c r="G336" s="45">
        <v>0</v>
      </c>
    </row>
    <row r="337" spans="2:7" x14ac:dyDescent="0.25">
      <c r="B337" s="56" t="s">
        <v>64</v>
      </c>
      <c r="C337" s="45">
        <v>0</v>
      </c>
      <c r="D337" s="45">
        <v>0</v>
      </c>
      <c r="E337" s="45">
        <v>0</v>
      </c>
      <c r="F337" s="45">
        <v>0</v>
      </c>
      <c r="G337" s="45">
        <v>0</v>
      </c>
    </row>
    <row r="338" spans="2:7" x14ac:dyDescent="0.25">
      <c r="B338" s="56" t="s">
        <v>64</v>
      </c>
      <c r="C338" s="45">
        <v>0</v>
      </c>
      <c r="D338" s="45">
        <v>0</v>
      </c>
      <c r="E338" s="45">
        <v>0</v>
      </c>
      <c r="F338" s="45">
        <v>0</v>
      </c>
      <c r="G338" s="45">
        <v>0</v>
      </c>
    </row>
    <row r="339" spans="2:7" x14ac:dyDescent="0.25">
      <c r="B339" s="56" t="s">
        <v>64</v>
      </c>
      <c r="C339" s="45">
        <v>0</v>
      </c>
      <c r="D339" s="45">
        <v>0</v>
      </c>
      <c r="E339" s="45">
        <v>0</v>
      </c>
      <c r="F339" s="45">
        <v>0</v>
      </c>
      <c r="G339" s="45">
        <v>0</v>
      </c>
    </row>
    <row r="340" spans="2:7" x14ac:dyDescent="0.25">
      <c r="B340" s="56" t="s">
        <v>64</v>
      </c>
      <c r="C340" s="45">
        <v>0</v>
      </c>
      <c r="D340" s="45">
        <v>0</v>
      </c>
      <c r="E340" s="45">
        <v>0</v>
      </c>
      <c r="F340" s="45">
        <v>0</v>
      </c>
      <c r="G340" s="45">
        <v>0</v>
      </c>
    </row>
    <row r="341" spans="2:7" x14ac:dyDescent="0.25">
      <c r="B341" s="56" t="s">
        <v>64</v>
      </c>
      <c r="C341" s="45">
        <v>0</v>
      </c>
      <c r="D341" s="45">
        <v>0</v>
      </c>
      <c r="E341" s="45">
        <v>0</v>
      </c>
      <c r="F341" s="45">
        <v>0</v>
      </c>
      <c r="G341" s="45">
        <v>0</v>
      </c>
    </row>
    <row r="342" spans="2:7" x14ac:dyDescent="0.25">
      <c r="B342" s="56" t="s">
        <v>64</v>
      </c>
      <c r="C342" s="45">
        <v>0</v>
      </c>
      <c r="D342" s="45">
        <v>0</v>
      </c>
      <c r="E342" s="45">
        <v>0</v>
      </c>
      <c r="F342" s="45">
        <v>0</v>
      </c>
      <c r="G342" s="45">
        <v>0</v>
      </c>
    </row>
    <row r="343" spans="2:7" x14ac:dyDescent="0.25">
      <c r="B343" s="56" t="s">
        <v>64</v>
      </c>
      <c r="C343" s="45">
        <v>0</v>
      </c>
      <c r="D343" s="45">
        <v>0</v>
      </c>
      <c r="E343" s="45">
        <v>0</v>
      </c>
      <c r="F343" s="45">
        <v>0</v>
      </c>
      <c r="G343" s="45">
        <v>0</v>
      </c>
    </row>
    <row r="344" spans="2:7" x14ac:dyDescent="0.25">
      <c r="B344" s="56" t="s">
        <v>64</v>
      </c>
      <c r="C344" s="45">
        <v>0</v>
      </c>
      <c r="D344" s="45">
        <v>0</v>
      </c>
      <c r="E344" s="45">
        <v>0</v>
      </c>
      <c r="F344" s="45">
        <v>0</v>
      </c>
      <c r="G344" s="45">
        <v>0</v>
      </c>
    </row>
    <row r="345" spans="2:7" x14ac:dyDescent="0.25">
      <c r="B345" s="56" t="s">
        <v>64</v>
      </c>
      <c r="C345" s="45">
        <v>0</v>
      </c>
      <c r="D345" s="45">
        <v>0</v>
      </c>
      <c r="E345" s="45">
        <v>0</v>
      </c>
      <c r="F345" s="45">
        <v>0</v>
      </c>
      <c r="G345" s="45">
        <v>0</v>
      </c>
    </row>
    <row r="346" spans="2:7" x14ac:dyDescent="0.25">
      <c r="B346" s="56" t="s">
        <v>64</v>
      </c>
      <c r="C346" s="45">
        <v>0</v>
      </c>
      <c r="D346" s="45">
        <v>0</v>
      </c>
      <c r="E346" s="45">
        <v>0</v>
      </c>
      <c r="F346" s="45">
        <v>0</v>
      </c>
      <c r="G346" s="45">
        <v>0</v>
      </c>
    </row>
    <row r="347" spans="2:7" x14ac:dyDescent="0.25">
      <c r="B347" s="56" t="s">
        <v>64</v>
      </c>
      <c r="C347" s="45">
        <v>0</v>
      </c>
      <c r="D347" s="45">
        <v>0</v>
      </c>
      <c r="E347" s="45">
        <v>0</v>
      </c>
      <c r="F347" s="45">
        <v>0</v>
      </c>
      <c r="G347" s="45">
        <v>0</v>
      </c>
    </row>
    <row r="348" spans="2:7" x14ac:dyDescent="0.25">
      <c r="B348" s="56" t="s">
        <v>64</v>
      </c>
      <c r="C348" s="45">
        <v>0</v>
      </c>
      <c r="D348" s="45">
        <v>0</v>
      </c>
      <c r="E348" s="45">
        <v>0</v>
      </c>
      <c r="F348" s="45">
        <v>0</v>
      </c>
      <c r="G348" s="45">
        <v>0</v>
      </c>
    </row>
    <row r="349" spans="2:7" x14ac:dyDescent="0.25">
      <c r="B349" s="56" t="s">
        <v>64</v>
      </c>
      <c r="C349" s="45">
        <v>0</v>
      </c>
      <c r="D349" s="45">
        <v>0</v>
      </c>
      <c r="E349" s="45">
        <v>0</v>
      </c>
      <c r="F349" s="45">
        <v>0</v>
      </c>
      <c r="G349" s="45">
        <v>0</v>
      </c>
    </row>
    <row r="350" spans="2:7" x14ac:dyDescent="0.25">
      <c r="B350" s="56" t="s">
        <v>64</v>
      </c>
      <c r="C350" s="45">
        <v>0</v>
      </c>
      <c r="D350" s="45">
        <v>0</v>
      </c>
      <c r="E350" s="45">
        <v>0</v>
      </c>
      <c r="F350" s="45">
        <v>0</v>
      </c>
      <c r="G350" s="45">
        <v>0</v>
      </c>
    </row>
    <row r="351" spans="2:7" x14ac:dyDescent="0.25">
      <c r="B351" s="56" t="s">
        <v>64</v>
      </c>
      <c r="C351" s="45">
        <v>0</v>
      </c>
      <c r="D351" s="45">
        <v>0</v>
      </c>
      <c r="E351" s="45">
        <v>0</v>
      </c>
      <c r="F351" s="45">
        <v>0</v>
      </c>
      <c r="G351" s="45">
        <v>0</v>
      </c>
    </row>
    <row r="352" spans="2:7" x14ac:dyDescent="0.25">
      <c r="B352" s="56" t="s">
        <v>64</v>
      </c>
      <c r="C352" s="45">
        <v>0</v>
      </c>
      <c r="D352" s="45">
        <v>0</v>
      </c>
      <c r="E352" s="45">
        <v>0</v>
      </c>
      <c r="F352" s="45">
        <v>0</v>
      </c>
      <c r="G352" s="45">
        <v>0</v>
      </c>
    </row>
    <row r="353" spans="2:7" x14ac:dyDescent="0.25">
      <c r="B353" s="56" t="s">
        <v>64</v>
      </c>
      <c r="C353" s="45">
        <v>0</v>
      </c>
      <c r="D353" s="45">
        <v>0</v>
      </c>
      <c r="E353" s="45">
        <v>0</v>
      </c>
      <c r="F353" s="45">
        <v>0</v>
      </c>
      <c r="G353" s="45">
        <v>0</v>
      </c>
    </row>
    <row r="354" spans="2:7" x14ac:dyDescent="0.25">
      <c r="B354" s="56" t="s">
        <v>64</v>
      </c>
      <c r="C354" s="45">
        <v>0</v>
      </c>
      <c r="D354" s="45">
        <v>0</v>
      </c>
      <c r="E354" s="45">
        <v>0</v>
      </c>
      <c r="F354" s="45">
        <v>0</v>
      </c>
      <c r="G354" s="45">
        <v>0</v>
      </c>
    </row>
    <row r="355" spans="2:7" x14ac:dyDescent="0.25">
      <c r="B355" s="56" t="s">
        <v>64</v>
      </c>
      <c r="C355" s="45">
        <v>0</v>
      </c>
      <c r="D355" s="45">
        <v>0</v>
      </c>
      <c r="E355" s="45">
        <v>0</v>
      </c>
      <c r="F355" s="45">
        <v>0</v>
      </c>
      <c r="G355" s="45">
        <v>0</v>
      </c>
    </row>
    <row r="356" spans="2:7" x14ac:dyDescent="0.25">
      <c r="B356" s="56" t="s">
        <v>64</v>
      </c>
      <c r="C356" s="45">
        <v>0</v>
      </c>
      <c r="D356" s="45">
        <v>0</v>
      </c>
      <c r="E356" s="45">
        <v>0</v>
      </c>
      <c r="F356" s="45">
        <v>0</v>
      </c>
      <c r="G356" s="45">
        <v>0</v>
      </c>
    </row>
    <row r="357" spans="2:7" x14ac:dyDescent="0.25">
      <c r="B357" s="56" t="s">
        <v>64</v>
      </c>
      <c r="C357" s="45">
        <v>0</v>
      </c>
      <c r="D357" s="45">
        <v>0</v>
      </c>
      <c r="E357" s="45">
        <v>0</v>
      </c>
      <c r="F357" s="45">
        <v>0</v>
      </c>
      <c r="G357" s="45">
        <v>0</v>
      </c>
    </row>
    <row r="358" spans="2:7" x14ac:dyDescent="0.25">
      <c r="B358" s="56" t="s">
        <v>64</v>
      </c>
      <c r="C358" s="45">
        <v>0</v>
      </c>
      <c r="D358" s="45">
        <v>0</v>
      </c>
      <c r="E358" s="45">
        <v>0</v>
      </c>
      <c r="F358" s="45">
        <v>0</v>
      </c>
      <c r="G358" s="45">
        <v>0</v>
      </c>
    </row>
    <row r="359" spans="2:7" x14ac:dyDescent="0.25">
      <c r="B359" s="56" t="s">
        <v>64</v>
      </c>
      <c r="C359" s="45">
        <v>0</v>
      </c>
      <c r="D359" s="45">
        <v>0</v>
      </c>
      <c r="E359" s="45">
        <v>0</v>
      </c>
      <c r="F359" s="45">
        <v>0</v>
      </c>
      <c r="G359" s="45">
        <v>0</v>
      </c>
    </row>
    <row r="360" spans="2:7" x14ac:dyDescent="0.25">
      <c r="B360" s="56" t="s">
        <v>64</v>
      </c>
      <c r="C360" s="45">
        <v>0</v>
      </c>
      <c r="D360" s="45">
        <v>0</v>
      </c>
      <c r="E360" s="45">
        <v>0</v>
      </c>
      <c r="F360" s="45">
        <v>0</v>
      </c>
      <c r="G360" s="45">
        <v>0</v>
      </c>
    </row>
    <row r="361" spans="2:7" x14ac:dyDescent="0.25">
      <c r="B361" s="56" t="s">
        <v>64</v>
      </c>
      <c r="C361" s="45">
        <v>0</v>
      </c>
      <c r="D361" s="45">
        <v>0</v>
      </c>
      <c r="E361" s="45">
        <v>0</v>
      </c>
      <c r="F361" s="45">
        <v>0</v>
      </c>
      <c r="G361" s="45">
        <v>0</v>
      </c>
    </row>
    <row r="362" spans="2:7" x14ac:dyDescent="0.25">
      <c r="B362" s="56" t="s">
        <v>64</v>
      </c>
      <c r="C362" s="45">
        <v>0</v>
      </c>
      <c r="D362" s="45">
        <v>0</v>
      </c>
      <c r="E362" s="45">
        <v>0</v>
      </c>
      <c r="F362" s="45">
        <v>0</v>
      </c>
      <c r="G362" s="45">
        <v>0</v>
      </c>
    </row>
    <row r="363" spans="2:7" x14ac:dyDescent="0.25">
      <c r="B363" s="56" t="s">
        <v>64</v>
      </c>
      <c r="C363" s="45">
        <v>0</v>
      </c>
      <c r="D363" s="45">
        <v>0</v>
      </c>
      <c r="E363" s="45">
        <v>0</v>
      </c>
      <c r="F363" s="45">
        <v>0</v>
      </c>
      <c r="G363" s="45">
        <v>0</v>
      </c>
    </row>
    <row r="364" spans="2:7" x14ac:dyDescent="0.25">
      <c r="B364" s="56" t="s">
        <v>64</v>
      </c>
      <c r="C364" s="45">
        <v>0</v>
      </c>
      <c r="D364" s="45">
        <v>0</v>
      </c>
      <c r="E364" s="45">
        <v>0</v>
      </c>
      <c r="F364" s="45">
        <v>0</v>
      </c>
      <c r="G364" s="45">
        <v>0</v>
      </c>
    </row>
    <row r="365" spans="2:7" x14ac:dyDescent="0.25">
      <c r="B365" s="56" t="s">
        <v>64</v>
      </c>
      <c r="C365" s="45">
        <v>0</v>
      </c>
      <c r="D365" s="45">
        <v>0</v>
      </c>
      <c r="E365" s="45">
        <v>0</v>
      </c>
      <c r="F365" s="45">
        <v>0</v>
      </c>
      <c r="G365" s="45">
        <v>0</v>
      </c>
    </row>
    <row r="366" spans="2:7" x14ac:dyDescent="0.25">
      <c r="B366" s="56" t="s">
        <v>64</v>
      </c>
      <c r="C366" s="45">
        <v>0</v>
      </c>
      <c r="D366" s="45">
        <v>0</v>
      </c>
      <c r="E366" s="45">
        <v>0</v>
      </c>
      <c r="F366" s="45">
        <v>0</v>
      </c>
      <c r="G366" s="45">
        <v>0</v>
      </c>
    </row>
    <row r="367" spans="2:7" x14ac:dyDescent="0.25">
      <c r="B367" s="56" t="s">
        <v>64</v>
      </c>
      <c r="C367" s="45">
        <v>0</v>
      </c>
      <c r="D367" s="45">
        <v>0</v>
      </c>
      <c r="E367" s="45">
        <v>0</v>
      </c>
      <c r="F367" s="45">
        <v>0</v>
      </c>
      <c r="G367" s="45">
        <v>0</v>
      </c>
    </row>
    <row r="368" spans="2:7" x14ac:dyDescent="0.25">
      <c r="B368" s="56" t="s">
        <v>64</v>
      </c>
      <c r="C368" s="45">
        <v>0</v>
      </c>
      <c r="D368" s="45">
        <v>0</v>
      </c>
      <c r="E368" s="45">
        <v>0</v>
      </c>
      <c r="F368" s="45">
        <v>0</v>
      </c>
      <c r="G368" s="45">
        <v>0</v>
      </c>
    </row>
    <row r="369" spans="2:7" x14ac:dyDescent="0.25">
      <c r="B369" s="56" t="s">
        <v>64</v>
      </c>
      <c r="C369" s="45">
        <v>0</v>
      </c>
      <c r="D369" s="45">
        <v>0</v>
      </c>
      <c r="E369" s="45">
        <v>0</v>
      </c>
      <c r="F369" s="45">
        <v>0</v>
      </c>
      <c r="G369" s="45">
        <v>0</v>
      </c>
    </row>
    <row r="370" spans="2:7" x14ac:dyDescent="0.25">
      <c r="B370" s="56" t="s">
        <v>64</v>
      </c>
      <c r="C370" s="45">
        <v>0</v>
      </c>
      <c r="D370" s="45">
        <v>0</v>
      </c>
      <c r="E370" s="45">
        <v>0</v>
      </c>
      <c r="F370" s="45">
        <v>0</v>
      </c>
      <c r="G370" s="45">
        <v>0</v>
      </c>
    </row>
    <row r="371" spans="2:7" x14ac:dyDescent="0.25">
      <c r="B371" s="56" t="s">
        <v>64</v>
      </c>
      <c r="C371" s="45">
        <v>0</v>
      </c>
      <c r="D371" s="45">
        <v>0</v>
      </c>
      <c r="E371" s="45">
        <v>0</v>
      </c>
      <c r="F371" s="45">
        <v>0</v>
      </c>
      <c r="G371" s="45">
        <v>0</v>
      </c>
    </row>
    <row r="372" spans="2:7" x14ac:dyDescent="0.25">
      <c r="B372" s="56" t="s">
        <v>64</v>
      </c>
      <c r="C372" s="45">
        <v>0</v>
      </c>
      <c r="D372" s="45">
        <v>0</v>
      </c>
      <c r="E372" s="45">
        <v>0</v>
      </c>
      <c r="F372" s="45">
        <v>0</v>
      </c>
      <c r="G372" s="45">
        <v>0</v>
      </c>
    </row>
    <row r="373" spans="2:7" x14ac:dyDescent="0.25">
      <c r="B373" s="56" t="s">
        <v>64</v>
      </c>
      <c r="C373" s="45">
        <v>0</v>
      </c>
      <c r="D373" s="45">
        <v>0</v>
      </c>
      <c r="E373" s="45">
        <v>0</v>
      </c>
      <c r="F373" s="45">
        <v>0</v>
      </c>
      <c r="G373" s="45">
        <v>0</v>
      </c>
    </row>
    <row r="374" spans="2:7" x14ac:dyDescent="0.25">
      <c r="B374" s="56" t="s">
        <v>64</v>
      </c>
      <c r="C374" s="45">
        <v>0</v>
      </c>
      <c r="D374" s="45">
        <v>0</v>
      </c>
      <c r="E374" s="45">
        <v>0</v>
      </c>
      <c r="F374" s="45">
        <v>0</v>
      </c>
      <c r="G374" s="45">
        <v>0</v>
      </c>
    </row>
    <row r="375" spans="2:7" x14ac:dyDescent="0.25">
      <c r="B375" s="56" t="s">
        <v>64</v>
      </c>
      <c r="C375" s="45">
        <v>0</v>
      </c>
      <c r="D375" s="45">
        <v>0</v>
      </c>
      <c r="E375" s="45">
        <v>0</v>
      </c>
      <c r="F375" s="45">
        <v>0</v>
      </c>
      <c r="G375" s="45">
        <v>0</v>
      </c>
    </row>
    <row r="376" spans="2:7" x14ac:dyDescent="0.25">
      <c r="B376" s="56" t="s">
        <v>64</v>
      </c>
      <c r="C376" s="45">
        <v>0</v>
      </c>
      <c r="D376" s="45">
        <v>0</v>
      </c>
      <c r="E376" s="45">
        <v>0</v>
      </c>
      <c r="F376" s="45">
        <v>0</v>
      </c>
      <c r="G376" s="45">
        <v>0</v>
      </c>
    </row>
    <row r="377" spans="2:7" x14ac:dyDescent="0.25">
      <c r="B377" s="56" t="s">
        <v>64</v>
      </c>
      <c r="C377" s="45">
        <v>0</v>
      </c>
      <c r="D377" s="45">
        <v>0</v>
      </c>
      <c r="E377" s="45">
        <v>0</v>
      </c>
      <c r="F377" s="45">
        <v>0</v>
      </c>
      <c r="G377" s="45">
        <v>0</v>
      </c>
    </row>
    <row r="378" spans="2:7" x14ac:dyDescent="0.25">
      <c r="B378" s="56" t="s">
        <v>64</v>
      </c>
      <c r="C378" s="45">
        <v>0</v>
      </c>
      <c r="D378" s="45">
        <v>0</v>
      </c>
      <c r="E378" s="45">
        <v>0</v>
      </c>
      <c r="F378" s="45">
        <v>0</v>
      </c>
      <c r="G378" s="45">
        <v>0</v>
      </c>
    </row>
    <row r="379" spans="2:7" x14ac:dyDescent="0.25">
      <c r="B379" s="56" t="s">
        <v>64</v>
      </c>
      <c r="C379" s="45">
        <v>0</v>
      </c>
      <c r="D379" s="45">
        <v>0</v>
      </c>
      <c r="E379" s="45">
        <v>0</v>
      </c>
      <c r="F379" s="45">
        <v>0</v>
      </c>
      <c r="G379" s="45">
        <v>0</v>
      </c>
    </row>
    <row r="380" spans="2:7" x14ac:dyDescent="0.25">
      <c r="B380" s="56" t="s">
        <v>64</v>
      </c>
      <c r="C380" s="45">
        <v>0</v>
      </c>
      <c r="D380" s="45">
        <v>0</v>
      </c>
      <c r="E380" s="45">
        <v>0</v>
      </c>
      <c r="F380" s="45">
        <v>0</v>
      </c>
      <c r="G380" s="45">
        <v>0</v>
      </c>
    </row>
    <row r="381" spans="2:7" x14ac:dyDescent="0.25">
      <c r="B381" s="56" t="s">
        <v>64</v>
      </c>
      <c r="C381" s="45">
        <v>0</v>
      </c>
      <c r="D381" s="45">
        <v>0</v>
      </c>
      <c r="E381" s="45">
        <v>0</v>
      </c>
      <c r="F381" s="45">
        <v>0</v>
      </c>
      <c r="G381" s="45">
        <v>0</v>
      </c>
    </row>
    <row r="382" spans="2:7" x14ac:dyDescent="0.25">
      <c r="B382" s="56" t="s">
        <v>64</v>
      </c>
      <c r="C382" s="45">
        <v>0</v>
      </c>
      <c r="D382" s="45">
        <v>0</v>
      </c>
      <c r="E382" s="45">
        <v>0</v>
      </c>
      <c r="F382" s="45">
        <v>0</v>
      </c>
      <c r="G382" s="45">
        <v>0</v>
      </c>
    </row>
    <row r="383" spans="2:7" x14ac:dyDescent="0.25">
      <c r="B383" s="56" t="s">
        <v>64</v>
      </c>
      <c r="C383" s="45">
        <v>0</v>
      </c>
      <c r="D383" s="45">
        <v>0</v>
      </c>
      <c r="E383" s="45">
        <v>0</v>
      </c>
      <c r="F383" s="45">
        <v>0</v>
      </c>
      <c r="G383" s="45">
        <v>0</v>
      </c>
    </row>
    <row r="384" spans="2:7" x14ac:dyDescent="0.25">
      <c r="B384" s="56" t="s">
        <v>64</v>
      </c>
      <c r="C384" s="45">
        <v>0</v>
      </c>
      <c r="D384" s="45">
        <v>0</v>
      </c>
      <c r="E384" s="45">
        <v>0</v>
      </c>
      <c r="F384" s="45">
        <v>0</v>
      </c>
      <c r="G384" s="45">
        <v>0</v>
      </c>
    </row>
    <row r="385" spans="2:7" x14ac:dyDescent="0.25">
      <c r="B385" s="56" t="s">
        <v>64</v>
      </c>
      <c r="C385" s="45">
        <v>0</v>
      </c>
      <c r="D385" s="45">
        <v>0</v>
      </c>
      <c r="E385" s="45">
        <v>0</v>
      </c>
      <c r="F385" s="45">
        <v>0</v>
      </c>
      <c r="G385" s="45">
        <v>0</v>
      </c>
    </row>
    <row r="386" spans="2:7" x14ac:dyDescent="0.25">
      <c r="B386" s="56" t="s">
        <v>64</v>
      </c>
      <c r="C386" s="45">
        <v>0</v>
      </c>
      <c r="D386" s="45">
        <v>0</v>
      </c>
      <c r="E386" s="45">
        <v>0</v>
      </c>
      <c r="F386" s="45">
        <v>0</v>
      </c>
      <c r="G386" s="45">
        <v>0</v>
      </c>
    </row>
    <row r="387" spans="2:7" x14ac:dyDescent="0.25">
      <c r="B387" s="56" t="s">
        <v>64</v>
      </c>
      <c r="C387" s="45">
        <v>0</v>
      </c>
      <c r="D387" s="45">
        <v>0</v>
      </c>
      <c r="E387" s="45">
        <v>0</v>
      </c>
      <c r="F387" s="45">
        <v>0</v>
      </c>
      <c r="G387" s="45">
        <v>0</v>
      </c>
    </row>
    <row r="388" spans="2:7" x14ac:dyDescent="0.25">
      <c r="B388" s="56" t="s">
        <v>64</v>
      </c>
      <c r="C388" s="45">
        <v>0</v>
      </c>
      <c r="D388" s="45">
        <v>0</v>
      </c>
      <c r="E388" s="45">
        <v>0</v>
      </c>
      <c r="F388" s="45">
        <v>0</v>
      </c>
      <c r="G388" s="45">
        <v>0</v>
      </c>
    </row>
    <row r="389" spans="2:7" x14ac:dyDescent="0.25">
      <c r="B389" s="56" t="s">
        <v>64</v>
      </c>
      <c r="C389" s="45">
        <v>0</v>
      </c>
      <c r="D389" s="45">
        <v>0</v>
      </c>
      <c r="E389" s="45">
        <v>0</v>
      </c>
      <c r="F389" s="45">
        <v>0</v>
      </c>
      <c r="G389" s="45">
        <v>0</v>
      </c>
    </row>
    <row r="390" spans="2:7" x14ac:dyDescent="0.25">
      <c r="B390" s="56" t="s">
        <v>64</v>
      </c>
      <c r="C390" s="45">
        <v>0</v>
      </c>
      <c r="D390" s="45">
        <v>0</v>
      </c>
      <c r="E390" s="45">
        <v>0</v>
      </c>
      <c r="F390" s="45">
        <v>0</v>
      </c>
      <c r="G390" s="45">
        <v>0</v>
      </c>
    </row>
    <row r="391" spans="2:7" x14ac:dyDescent="0.25">
      <c r="B391" s="56" t="s">
        <v>64</v>
      </c>
      <c r="C391" s="45">
        <v>0</v>
      </c>
      <c r="D391" s="45">
        <v>0</v>
      </c>
      <c r="E391" s="45">
        <v>0</v>
      </c>
      <c r="F391" s="45">
        <v>0</v>
      </c>
      <c r="G391" s="45">
        <v>0</v>
      </c>
    </row>
    <row r="392" spans="2:7" x14ac:dyDescent="0.25">
      <c r="B392" s="56" t="s">
        <v>64</v>
      </c>
      <c r="C392" s="45">
        <v>0</v>
      </c>
      <c r="D392" s="45">
        <v>0</v>
      </c>
      <c r="E392" s="45">
        <v>0</v>
      </c>
      <c r="F392" s="45">
        <v>0</v>
      </c>
      <c r="G392" s="45">
        <v>0</v>
      </c>
    </row>
    <row r="393" spans="2:7" x14ac:dyDescent="0.25">
      <c r="B393" s="56" t="s">
        <v>64</v>
      </c>
      <c r="C393" s="45">
        <v>0</v>
      </c>
      <c r="D393" s="45">
        <v>0</v>
      </c>
      <c r="E393" s="45">
        <v>0</v>
      </c>
      <c r="F393" s="45">
        <v>0</v>
      </c>
      <c r="G393" s="45">
        <v>0</v>
      </c>
    </row>
    <row r="394" spans="2:7" x14ac:dyDescent="0.25">
      <c r="B394" s="56" t="s">
        <v>64</v>
      </c>
      <c r="C394" s="45">
        <v>0</v>
      </c>
      <c r="D394" s="45">
        <v>0</v>
      </c>
      <c r="E394" s="45">
        <v>0</v>
      </c>
      <c r="F394" s="45">
        <v>0</v>
      </c>
      <c r="G394" s="45">
        <v>0</v>
      </c>
    </row>
    <row r="395" spans="2:7" x14ac:dyDescent="0.25">
      <c r="B395" s="56" t="s">
        <v>64</v>
      </c>
      <c r="C395" s="45">
        <v>0</v>
      </c>
      <c r="D395" s="45">
        <v>0</v>
      </c>
      <c r="E395" s="45">
        <v>0</v>
      </c>
      <c r="F395" s="45">
        <v>0</v>
      </c>
      <c r="G395" s="45">
        <v>0</v>
      </c>
    </row>
    <row r="396" spans="2:7" x14ac:dyDescent="0.25">
      <c r="B396" s="56" t="s">
        <v>64</v>
      </c>
      <c r="C396" s="45">
        <v>0</v>
      </c>
      <c r="D396" s="45">
        <v>0</v>
      </c>
      <c r="E396" s="45">
        <v>0</v>
      </c>
      <c r="F396" s="45">
        <v>0</v>
      </c>
      <c r="G396" s="45">
        <v>0</v>
      </c>
    </row>
    <row r="397" spans="2:7" x14ac:dyDescent="0.25">
      <c r="B397" s="56" t="s">
        <v>64</v>
      </c>
      <c r="C397" s="45">
        <v>0</v>
      </c>
      <c r="D397" s="45">
        <v>0</v>
      </c>
      <c r="E397" s="45">
        <v>0</v>
      </c>
      <c r="F397" s="45">
        <v>0</v>
      </c>
      <c r="G397" s="45">
        <v>0</v>
      </c>
    </row>
    <row r="398" spans="2:7" x14ac:dyDescent="0.25">
      <c r="B398" s="56" t="s">
        <v>64</v>
      </c>
      <c r="C398" s="45">
        <v>0</v>
      </c>
      <c r="D398" s="45">
        <v>0</v>
      </c>
      <c r="E398" s="45">
        <v>0</v>
      </c>
      <c r="F398" s="45">
        <v>0</v>
      </c>
      <c r="G398" s="45">
        <v>0</v>
      </c>
    </row>
    <row r="399" spans="2:7" x14ac:dyDescent="0.25">
      <c r="B399" s="56" t="s">
        <v>64</v>
      </c>
      <c r="C399" s="45">
        <v>0</v>
      </c>
      <c r="D399" s="45">
        <v>0</v>
      </c>
      <c r="E399" s="45">
        <v>0</v>
      </c>
      <c r="F399" s="45">
        <v>0</v>
      </c>
      <c r="G399" s="45">
        <v>0</v>
      </c>
    </row>
    <row r="400" spans="2:7" x14ac:dyDescent="0.25">
      <c r="B400" s="56" t="s">
        <v>64</v>
      </c>
      <c r="C400" s="45">
        <v>0</v>
      </c>
      <c r="D400" s="45">
        <v>0</v>
      </c>
      <c r="E400" s="45">
        <v>0</v>
      </c>
      <c r="F400" s="45">
        <v>0</v>
      </c>
      <c r="G400" s="45">
        <v>0</v>
      </c>
    </row>
    <row r="401" spans="2:7" x14ac:dyDescent="0.25">
      <c r="B401" s="56" t="s">
        <v>64</v>
      </c>
      <c r="C401" s="45">
        <v>0</v>
      </c>
      <c r="D401" s="45">
        <v>0</v>
      </c>
      <c r="E401" s="45">
        <v>0</v>
      </c>
      <c r="F401" s="45">
        <v>0</v>
      </c>
      <c r="G401" s="45">
        <v>0</v>
      </c>
    </row>
    <row r="402" spans="2:7" x14ac:dyDescent="0.25">
      <c r="B402" s="56" t="s">
        <v>64</v>
      </c>
      <c r="C402" s="45">
        <v>0</v>
      </c>
      <c r="D402" s="45">
        <v>0</v>
      </c>
      <c r="E402" s="45">
        <v>0</v>
      </c>
      <c r="F402" s="45">
        <v>0</v>
      </c>
      <c r="G402" s="45">
        <v>0</v>
      </c>
    </row>
    <row r="403" spans="2:7" x14ac:dyDescent="0.25">
      <c r="B403" s="56" t="s">
        <v>64</v>
      </c>
      <c r="C403" s="45">
        <v>0</v>
      </c>
      <c r="D403" s="45">
        <v>0</v>
      </c>
      <c r="E403" s="45">
        <v>0</v>
      </c>
      <c r="F403" s="45">
        <v>0</v>
      </c>
      <c r="G403" s="45">
        <v>0</v>
      </c>
    </row>
    <row r="404" spans="2:7" x14ac:dyDescent="0.25">
      <c r="B404" s="56" t="s">
        <v>64</v>
      </c>
      <c r="C404" s="45">
        <v>0</v>
      </c>
      <c r="D404" s="45">
        <v>0</v>
      </c>
      <c r="E404" s="45">
        <v>0</v>
      </c>
      <c r="F404" s="45">
        <v>0</v>
      </c>
      <c r="G404" s="45">
        <v>0</v>
      </c>
    </row>
    <row r="405" spans="2:7" x14ac:dyDescent="0.25">
      <c r="B405" s="56" t="s">
        <v>64</v>
      </c>
      <c r="C405" s="45">
        <v>0</v>
      </c>
      <c r="D405" s="45">
        <v>0</v>
      </c>
      <c r="E405" s="45">
        <v>0</v>
      </c>
      <c r="F405" s="45">
        <v>0</v>
      </c>
      <c r="G405" s="45">
        <v>0</v>
      </c>
    </row>
    <row r="406" spans="2:7" x14ac:dyDescent="0.25">
      <c r="B406" s="56" t="s">
        <v>64</v>
      </c>
      <c r="C406" s="45">
        <v>0</v>
      </c>
      <c r="D406" s="45">
        <v>0</v>
      </c>
      <c r="E406" s="45">
        <v>0</v>
      </c>
      <c r="F406" s="45">
        <v>0</v>
      </c>
      <c r="G406" s="45">
        <v>0</v>
      </c>
    </row>
    <row r="407" spans="2:7" x14ac:dyDescent="0.25">
      <c r="B407" s="56" t="s">
        <v>64</v>
      </c>
      <c r="C407" s="45">
        <v>0</v>
      </c>
      <c r="D407" s="45">
        <v>0</v>
      </c>
      <c r="E407" s="45">
        <v>0</v>
      </c>
      <c r="F407" s="45">
        <v>0</v>
      </c>
      <c r="G407" s="45">
        <v>0</v>
      </c>
    </row>
    <row r="408" spans="2:7" x14ac:dyDescent="0.25">
      <c r="B408" s="56" t="s">
        <v>64</v>
      </c>
      <c r="C408" s="45">
        <v>0</v>
      </c>
      <c r="D408" s="45">
        <v>0</v>
      </c>
      <c r="E408" s="45">
        <v>0</v>
      </c>
      <c r="F408" s="45">
        <v>0</v>
      </c>
      <c r="G408" s="45">
        <v>0</v>
      </c>
    </row>
    <row r="409" spans="2:7" x14ac:dyDescent="0.25">
      <c r="B409" s="56" t="s">
        <v>64</v>
      </c>
      <c r="C409" s="45">
        <v>0</v>
      </c>
      <c r="D409" s="45">
        <v>0</v>
      </c>
      <c r="E409" s="45">
        <v>0</v>
      </c>
      <c r="F409" s="45">
        <v>0</v>
      </c>
      <c r="G409" s="45">
        <v>0</v>
      </c>
    </row>
    <row r="410" spans="2:7" x14ac:dyDescent="0.25">
      <c r="B410" s="56" t="s">
        <v>64</v>
      </c>
      <c r="C410" s="45">
        <v>0</v>
      </c>
      <c r="D410" s="45">
        <v>0</v>
      </c>
      <c r="E410" s="45">
        <v>0</v>
      </c>
      <c r="F410" s="45">
        <v>0</v>
      </c>
      <c r="G410" s="45">
        <v>0</v>
      </c>
    </row>
    <row r="411" spans="2:7" x14ac:dyDescent="0.25">
      <c r="B411" s="56" t="s">
        <v>64</v>
      </c>
      <c r="C411" s="45">
        <v>0</v>
      </c>
      <c r="D411" s="45">
        <v>0</v>
      </c>
      <c r="E411" s="45">
        <v>0</v>
      </c>
      <c r="F411" s="45">
        <v>0</v>
      </c>
      <c r="G411" s="45">
        <v>0</v>
      </c>
    </row>
    <row r="412" spans="2:7" x14ac:dyDescent="0.25">
      <c r="B412" s="56" t="s">
        <v>64</v>
      </c>
      <c r="C412" s="45">
        <v>0</v>
      </c>
      <c r="D412" s="45">
        <v>0</v>
      </c>
      <c r="E412" s="45">
        <v>0</v>
      </c>
      <c r="F412" s="45">
        <v>0</v>
      </c>
      <c r="G412" s="45">
        <v>0</v>
      </c>
    </row>
    <row r="413" spans="2:7" x14ac:dyDescent="0.25">
      <c r="B413" s="56" t="s">
        <v>64</v>
      </c>
      <c r="C413" s="45">
        <v>0</v>
      </c>
      <c r="D413" s="45">
        <v>0</v>
      </c>
      <c r="E413" s="45">
        <v>0</v>
      </c>
      <c r="F413" s="45">
        <v>0</v>
      </c>
      <c r="G413" s="45">
        <v>0</v>
      </c>
    </row>
    <row r="414" spans="2:7" x14ac:dyDescent="0.25">
      <c r="B414" s="56" t="s">
        <v>64</v>
      </c>
      <c r="C414" s="45">
        <v>0</v>
      </c>
      <c r="D414" s="45">
        <v>0</v>
      </c>
      <c r="E414" s="45">
        <v>0</v>
      </c>
      <c r="F414" s="45">
        <v>0</v>
      </c>
      <c r="G414" s="45">
        <v>0</v>
      </c>
    </row>
    <row r="415" spans="2:7" x14ac:dyDescent="0.25">
      <c r="B415" s="56" t="s">
        <v>64</v>
      </c>
      <c r="C415" s="45">
        <v>0</v>
      </c>
      <c r="D415" s="45">
        <v>0</v>
      </c>
      <c r="E415" s="45">
        <v>0</v>
      </c>
      <c r="F415" s="45">
        <v>0</v>
      </c>
      <c r="G415" s="45">
        <v>0</v>
      </c>
    </row>
    <row r="416" spans="2:7" x14ac:dyDescent="0.25">
      <c r="B416" s="56" t="s">
        <v>64</v>
      </c>
      <c r="C416" s="45">
        <v>0</v>
      </c>
      <c r="D416" s="45">
        <v>0</v>
      </c>
      <c r="E416" s="45">
        <v>0</v>
      </c>
      <c r="F416" s="45">
        <v>0</v>
      </c>
      <c r="G416" s="45">
        <v>0</v>
      </c>
    </row>
    <row r="417" spans="2:7" x14ac:dyDescent="0.25">
      <c r="B417" s="56" t="s">
        <v>64</v>
      </c>
      <c r="C417" s="45">
        <v>0</v>
      </c>
      <c r="D417" s="45">
        <v>0</v>
      </c>
      <c r="E417" s="45">
        <v>0</v>
      </c>
      <c r="F417" s="45">
        <v>0</v>
      </c>
      <c r="G417" s="45">
        <v>0</v>
      </c>
    </row>
    <row r="418" spans="2:7" x14ac:dyDescent="0.25">
      <c r="B418" s="56" t="s">
        <v>64</v>
      </c>
      <c r="C418" s="45">
        <v>0</v>
      </c>
      <c r="D418" s="45">
        <v>0</v>
      </c>
      <c r="E418" s="45">
        <v>0</v>
      </c>
      <c r="F418" s="45">
        <v>0</v>
      </c>
      <c r="G418" s="45">
        <v>0</v>
      </c>
    </row>
    <row r="419" spans="2:7" x14ac:dyDescent="0.25">
      <c r="B419" s="56" t="s">
        <v>64</v>
      </c>
      <c r="C419" s="45">
        <v>0</v>
      </c>
      <c r="D419" s="45">
        <v>0</v>
      </c>
      <c r="E419" s="45">
        <v>0</v>
      </c>
      <c r="F419" s="45">
        <v>0</v>
      </c>
      <c r="G419" s="45">
        <v>0</v>
      </c>
    </row>
    <row r="420" spans="2:7" x14ac:dyDescent="0.25">
      <c r="B420" s="56" t="s">
        <v>64</v>
      </c>
      <c r="C420" s="45">
        <v>0</v>
      </c>
      <c r="D420" s="45">
        <v>0</v>
      </c>
      <c r="E420" s="45">
        <v>0</v>
      </c>
      <c r="F420" s="45">
        <v>0</v>
      </c>
      <c r="G420" s="45">
        <v>0</v>
      </c>
    </row>
    <row r="421" spans="2:7" x14ac:dyDescent="0.25">
      <c r="B421" s="56" t="s">
        <v>64</v>
      </c>
      <c r="C421" s="45">
        <v>0</v>
      </c>
      <c r="D421" s="45">
        <v>0</v>
      </c>
      <c r="E421" s="45">
        <v>0</v>
      </c>
      <c r="F421" s="45">
        <v>0</v>
      </c>
      <c r="G421" s="45">
        <v>0</v>
      </c>
    </row>
    <row r="422" spans="2:7" x14ac:dyDescent="0.25">
      <c r="B422" s="56" t="s">
        <v>64</v>
      </c>
      <c r="C422" s="45">
        <v>0</v>
      </c>
      <c r="D422" s="45">
        <v>0</v>
      </c>
      <c r="E422" s="45">
        <v>0</v>
      </c>
      <c r="F422" s="45">
        <v>0</v>
      </c>
      <c r="G422" s="45">
        <v>0</v>
      </c>
    </row>
    <row r="423" spans="2:7" x14ac:dyDescent="0.25">
      <c r="B423" s="56" t="s">
        <v>64</v>
      </c>
      <c r="C423" s="45">
        <v>0</v>
      </c>
      <c r="D423" s="45">
        <v>0</v>
      </c>
      <c r="E423" s="45">
        <v>0</v>
      </c>
      <c r="F423" s="45">
        <v>0</v>
      </c>
      <c r="G423" s="45">
        <v>0</v>
      </c>
    </row>
    <row r="424" spans="2:7" x14ac:dyDescent="0.25">
      <c r="B424" s="56" t="s">
        <v>64</v>
      </c>
      <c r="C424" s="45">
        <v>0</v>
      </c>
      <c r="D424" s="45">
        <v>0</v>
      </c>
      <c r="E424" s="45">
        <v>0</v>
      </c>
      <c r="F424" s="45">
        <v>0</v>
      </c>
      <c r="G424" s="45">
        <v>0</v>
      </c>
    </row>
    <row r="425" spans="2:7" x14ac:dyDescent="0.25">
      <c r="B425" s="56" t="s">
        <v>64</v>
      </c>
      <c r="C425" s="45">
        <v>0</v>
      </c>
      <c r="D425" s="45">
        <v>0</v>
      </c>
      <c r="E425" s="45">
        <v>0</v>
      </c>
      <c r="F425" s="45">
        <v>0</v>
      </c>
      <c r="G425" s="45">
        <v>0</v>
      </c>
    </row>
    <row r="426" spans="2:7" x14ac:dyDescent="0.25">
      <c r="B426" s="56" t="s">
        <v>64</v>
      </c>
      <c r="C426" s="45">
        <v>0</v>
      </c>
      <c r="D426" s="45">
        <v>0</v>
      </c>
      <c r="E426" s="45">
        <v>0</v>
      </c>
      <c r="F426" s="45">
        <v>0</v>
      </c>
      <c r="G426" s="45">
        <v>0</v>
      </c>
    </row>
    <row r="427" spans="2:7" x14ac:dyDescent="0.25">
      <c r="B427" s="56" t="s">
        <v>64</v>
      </c>
      <c r="C427" s="45">
        <v>0</v>
      </c>
      <c r="D427" s="45">
        <v>0</v>
      </c>
      <c r="E427" s="45">
        <v>0</v>
      </c>
      <c r="F427" s="45">
        <v>0</v>
      </c>
      <c r="G427" s="45">
        <v>0</v>
      </c>
    </row>
    <row r="428" spans="2:7" x14ac:dyDescent="0.25">
      <c r="B428" s="56" t="s">
        <v>64</v>
      </c>
      <c r="C428" s="45">
        <v>0</v>
      </c>
      <c r="D428" s="45">
        <v>0</v>
      </c>
      <c r="E428" s="45">
        <v>0</v>
      </c>
      <c r="F428" s="45">
        <v>0</v>
      </c>
      <c r="G428" s="45">
        <v>0</v>
      </c>
    </row>
    <row r="429" spans="2:7" x14ac:dyDescent="0.25">
      <c r="B429" s="56" t="s">
        <v>64</v>
      </c>
      <c r="C429" s="45">
        <v>0</v>
      </c>
      <c r="D429" s="45">
        <v>0</v>
      </c>
      <c r="E429" s="45">
        <v>0</v>
      </c>
      <c r="F429" s="45">
        <v>0</v>
      </c>
      <c r="G429" s="45">
        <v>0</v>
      </c>
    </row>
    <row r="430" spans="2:7" x14ac:dyDescent="0.25">
      <c r="B430" s="56" t="s">
        <v>64</v>
      </c>
      <c r="C430" s="45">
        <v>0</v>
      </c>
      <c r="D430" s="45">
        <v>0</v>
      </c>
      <c r="E430" s="45">
        <v>0</v>
      </c>
      <c r="F430" s="45">
        <v>0</v>
      </c>
      <c r="G430" s="45">
        <v>0</v>
      </c>
    </row>
    <row r="431" spans="2:7" x14ac:dyDescent="0.25">
      <c r="B431" s="56" t="s">
        <v>64</v>
      </c>
      <c r="C431" s="45">
        <v>0</v>
      </c>
      <c r="D431" s="45">
        <v>0</v>
      </c>
      <c r="E431" s="45">
        <v>0</v>
      </c>
      <c r="F431" s="45">
        <v>0</v>
      </c>
      <c r="G431" s="45">
        <v>0</v>
      </c>
    </row>
    <row r="432" spans="2:7" x14ac:dyDescent="0.25">
      <c r="B432" s="56" t="s">
        <v>64</v>
      </c>
      <c r="C432" s="45">
        <v>0</v>
      </c>
      <c r="D432" s="45">
        <v>0</v>
      </c>
      <c r="E432" s="45">
        <v>0</v>
      </c>
      <c r="F432" s="45">
        <v>0</v>
      </c>
      <c r="G432" s="45">
        <v>0</v>
      </c>
    </row>
    <row r="433" spans="2:7" x14ac:dyDescent="0.25">
      <c r="B433" s="56" t="s">
        <v>64</v>
      </c>
      <c r="C433" s="45">
        <v>0</v>
      </c>
      <c r="D433" s="45">
        <v>0</v>
      </c>
      <c r="E433" s="45">
        <v>0</v>
      </c>
      <c r="F433" s="45">
        <v>0</v>
      </c>
      <c r="G433" s="45">
        <v>0</v>
      </c>
    </row>
    <row r="434" spans="2:7" x14ac:dyDescent="0.25">
      <c r="B434" s="56" t="s">
        <v>64</v>
      </c>
      <c r="C434" s="45">
        <v>0</v>
      </c>
      <c r="D434" s="45">
        <v>0</v>
      </c>
      <c r="E434" s="45">
        <v>0</v>
      </c>
      <c r="F434" s="45">
        <v>0</v>
      </c>
      <c r="G434" s="45">
        <v>0</v>
      </c>
    </row>
    <row r="435" spans="2:7" x14ac:dyDescent="0.25">
      <c r="B435" s="56" t="s">
        <v>64</v>
      </c>
      <c r="C435" s="45">
        <v>0</v>
      </c>
      <c r="D435" s="45">
        <v>0</v>
      </c>
      <c r="E435" s="45">
        <v>0</v>
      </c>
      <c r="F435" s="45">
        <v>0</v>
      </c>
      <c r="G435" s="45">
        <v>0</v>
      </c>
    </row>
    <row r="436" spans="2:7" x14ac:dyDescent="0.25">
      <c r="B436" s="56" t="s">
        <v>64</v>
      </c>
      <c r="C436" s="45">
        <v>0</v>
      </c>
      <c r="D436" s="45">
        <v>0</v>
      </c>
      <c r="E436" s="45">
        <v>0</v>
      </c>
      <c r="F436" s="45">
        <v>0</v>
      </c>
      <c r="G436" s="45">
        <v>0</v>
      </c>
    </row>
    <row r="437" spans="2:7" x14ac:dyDescent="0.25">
      <c r="B437" s="56" t="s">
        <v>64</v>
      </c>
      <c r="C437" s="45">
        <v>0</v>
      </c>
      <c r="D437" s="45">
        <v>0</v>
      </c>
      <c r="E437" s="45">
        <v>0</v>
      </c>
      <c r="F437" s="45">
        <v>0</v>
      </c>
      <c r="G437" s="45">
        <v>0</v>
      </c>
    </row>
    <row r="438" spans="2:7" x14ac:dyDescent="0.25">
      <c r="B438" s="56" t="s">
        <v>64</v>
      </c>
      <c r="C438" s="45">
        <v>0</v>
      </c>
      <c r="D438" s="45">
        <v>0</v>
      </c>
      <c r="E438" s="45">
        <v>0</v>
      </c>
      <c r="F438" s="45">
        <v>0</v>
      </c>
      <c r="G438" s="45">
        <v>0</v>
      </c>
    </row>
    <row r="439" spans="2:7" x14ac:dyDescent="0.25">
      <c r="B439" s="56" t="s">
        <v>64</v>
      </c>
      <c r="C439" s="45">
        <v>0</v>
      </c>
      <c r="D439" s="45">
        <v>0</v>
      </c>
      <c r="E439" s="45">
        <v>0</v>
      </c>
      <c r="F439" s="45">
        <v>0</v>
      </c>
      <c r="G439" s="45">
        <v>0</v>
      </c>
    </row>
    <row r="440" spans="2:7" x14ac:dyDescent="0.25">
      <c r="B440" s="56" t="s">
        <v>64</v>
      </c>
      <c r="C440" s="45">
        <v>0</v>
      </c>
      <c r="D440" s="45">
        <v>0</v>
      </c>
      <c r="E440" s="45">
        <v>0</v>
      </c>
      <c r="F440" s="45">
        <v>0</v>
      </c>
      <c r="G440" s="45">
        <v>0</v>
      </c>
    </row>
    <row r="441" spans="2:7" x14ac:dyDescent="0.25">
      <c r="B441" s="56" t="s">
        <v>64</v>
      </c>
      <c r="C441" s="45">
        <v>0</v>
      </c>
      <c r="D441" s="45">
        <v>0</v>
      </c>
      <c r="E441" s="45">
        <v>0</v>
      </c>
      <c r="F441" s="45">
        <v>0</v>
      </c>
      <c r="G441" s="45">
        <v>0</v>
      </c>
    </row>
    <row r="442" spans="2:7" x14ac:dyDescent="0.25">
      <c r="B442" s="56" t="s">
        <v>64</v>
      </c>
      <c r="C442" s="45">
        <v>0</v>
      </c>
      <c r="D442" s="45">
        <v>0</v>
      </c>
      <c r="E442" s="45">
        <v>0</v>
      </c>
      <c r="F442" s="45">
        <v>0</v>
      </c>
      <c r="G442" s="45">
        <v>0</v>
      </c>
    </row>
    <row r="443" spans="2:7" x14ac:dyDescent="0.25">
      <c r="B443" s="56" t="s">
        <v>64</v>
      </c>
      <c r="C443" s="45">
        <v>0</v>
      </c>
      <c r="D443" s="45">
        <v>0</v>
      </c>
      <c r="E443" s="45">
        <v>0</v>
      </c>
      <c r="F443" s="45">
        <v>0</v>
      </c>
      <c r="G443" s="45">
        <v>0</v>
      </c>
    </row>
    <row r="444" spans="2:7" x14ac:dyDescent="0.25">
      <c r="B444" s="56" t="s">
        <v>64</v>
      </c>
      <c r="C444" s="45">
        <v>0</v>
      </c>
      <c r="D444" s="45">
        <v>0</v>
      </c>
      <c r="E444" s="45">
        <v>0</v>
      </c>
      <c r="F444" s="45">
        <v>0</v>
      </c>
      <c r="G444" s="45">
        <v>0</v>
      </c>
    </row>
    <row r="445" spans="2:7" x14ac:dyDescent="0.25">
      <c r="B445" s="56" t="s">
        <v>64</v>
      </c>
      <c r="C445" s="45">
        <v>0</v>
      </c>
      <c r="D445" s="45">
        <v>0</v>
      </c>
      <c r="E445" s="45">
        <v>0</v>
      </c>
      <c r="F445" s="45">
        <v>0</v>
      </c>
      <c r="G445" s="45">
        <v>0</v>
      </c>
    </row>
    <row r="446" spans="2:7" x14ac:dyDescent="0.25">
      <c r="B446" s="56" t="s">
        <v>64</v>
      </c>
      <c r="C446" s="45">
        <v>0</v>
      </c>
      <c r="D446" s="45">
        <v>0</v>
      </c>
      <c r="E446" s="45">
        <v>0</v>
      </c>
      <c r="F446" s="45">
        <v>0</v>
      </c>
      <c r="G446" s="45">
        <v>0</v>
      </c>
    </row>
    <row r="447" spans="2:7" x14ac:dyDescent="0.25">
      <c r="B447" s="56" t="s">
        <v>64</v>
      </c>
      <c r="C447" s="45">
        <v>0</v>
      </c>
      <c r="D447" s="45">
        <v>0</v>
      </c>
      <c r="E447" s="45">
        <v>0</v>
      </c>
      <c r="F447" s="45">
        <v>0</v>
      </c>
      <c r="G447" s="45">
        <v>0</v>
      </c>
    </row>
    <row r="448" spans="2:7" x14ac:dyDescent="0.25">
      <c r="B448" s="56" t="s">
        <v>64</v>
      </c>
      <c r="C448" s="45">
        <v>0</v>
      </c>
      <c r="D448" s="45">
        <v>0</v>
      </c>
      <c r="E448" s="45">
        <v>0</v>
      </c>
      <c r="F448" s="45">
        <v>0</v>
      </c>
      <c r="G448" s="45">
        <v>0</v>
      </c>
    </row>
    <row r="449" spans="2:7" x14ac:dyDescent="0.25">
      <c r="B449" s="56" t="s">
        <v>64</v>
      </c>
      <c r="C449" s="45">
        <v>0</v>
      </c>
      <c r="D449" s="45">
        <v>0</v>
      </c>
      <c r="E449" s="45">
        <v>0</v>
      </c>
      <c r="F449" s="45">
        <v>0</v>
      </c>
      <c r="G449" s="45">
        <v>0</v>
      </c>
    </row>
    <row r="450" spans="2:7" x14ac:dyDescent="0.25">
      <c r="B450" s="56" t="s">
        <v>64</v>
      </c>
      <c r="C450" s="45">
        <v>0</v>
      </c>
      <c r="D450" s="45">
        <v>0</v>
      </c>
      <c r="E450" s="45">
        <v>0</v>
      </c>
      <c r="F450" s="45">
        <v>0</v>
      </c>
      <c r="G450" s="45">
        <v>0</v>
      </c>
    </row>
    <row r="451" spans="2:7" x14ac:dyDescent="0.25">
      <c r="B451" s="56" t="s">
        <v>64</v>
      </c>
      <c r="C451" s="45">
        <v>0</v>
      </c>
      <c r="D451" s="45">
        <v>0</v>
      </c>
      <c r="E451" s="45">
        <v>0</v>
      </c>
      <c r="F451" s="45">
        <v>0</v>
      </c>
      <c r="G451" s="45">
        <v>0</v>
      </c>
    </row>
    <row r="452" spans="2:7" x14ac:dyDescent="0.25">
      <c r="B452" s="56" t="s">
        <v>64</v>
      </c>
      <c r="C452" s="45">
        <v>0</v>
      </c>
      <c r="D452" s="45">
        <v>0</v>
      </c>
      <c r="E452" s="45">
        <v>0</v>
      </c>
      <c r="F452" s="45">
        <v>0</v>
      </c>
      <c r="G452" s="45">
        <v>0</v>
      </c>
    </row>
    <row r="453" spans="2:7" x14ac:dyDescent="0.25">
      <c r="B453" s="56" t="s">
        <v>64</v>
      </c>
      <c r="C453" s="45">
        <v>0</v>
      </c>
      <c r="D453" s="45">
        <v>0</v>
      </c>
      <c r="E453" s="45">
        <v>0</v>
      </c>
      <c r="F453" s="45">
        <v>0</v>
      </c>
      <c r="G453" s="45">
        <v>0</v>
      </c>
    </row>
    <row r="454" spans="2:7" x14ac:dyDescent="0.25">
      <c r="B454" s="56" t="s">
        <v>64</v>
      </c>
      <c r="C454" s="45">
        <v>0</v>
      </c>
      <c r="D454" s="45">
        <v>0</v>
      </c>
      <c r="E454" s="45">
        <v>0</v>
      </c>
      <c r="F454" s="45">
        <v>0</v>
      </c>
      <c r="G454" s="45">
        <v>0</v>
      </c>
    </row>
    <row r="455" spans="2:7" x14ac:dyDescent="0.25">
      <c r="B455" s="56" t="s">
        <v>64</v>
      </c>
      <c r="C455" s="45">
        <v>0</v>
      </c>
      <c r="D455" s="45">
        <v>0</v>
      </c>
      <c r="E455" s="45">
        <v>0</v>
      </c>
      <c r="F455" s="45">
        <v>0</v>
      </c>
      <c r="G455" s="45">
        <v>0</v>
      </c>
    </row>
    <row r="456" spans="2:7" x14ac:dyDescent="0.25">
      <c r="B456" s="56" t="s">
        <v>64</v>
      </c>
      <c r="C456" s="45">
        <v>0</v>
      </c>
      <c r="D456" s="45">
        <v>0</v>
      </c>
      <c r="E456" s="45">
        <v>0</v>
      </c>
      <c r="F456" s="45">
        <v>0</v>
      </c>
      <c r="G456" s="45">
        <v>0</v>
      </c>
    </row>
    <row r="457" spans="2:7" x14ac:dyDescent="0.25">
      <c r="B457" s="56" t="s">
        <v>64</v>
      </c>
      <c r="C457" s="45">
        <v>0</v>
      </c>
      <c r="D457" s="45">
        <v>0</v>
      </c>
      <c r="E457" s="45">
        <v>0</v>
      </c>
      <c r="F457" s="45">
        <v>0</v>
      </c>
      <c r="G457" s="45">
        <v>0</v>
      </c>
    </row>
    <row r="458" spans="2:7" x14ac:dyDescent="0.25">
      <c r="B458" s="56" t="s">
        <v>64</v>
      </c>
      <c r="C458" s="45">
        <v>0</v>
      </c>
      <c r="D458" s="45">
        <v>0</v>
      </c>
      <c r="E458" s="45">
        <v>0</v>
      </c>
      <c r="F458" s="45">
        <v>0</v>
      </c>
      <c r="G458" s="45">
        <v>0</v>
      </c>
    </row>
    <row r="459" spans="2:7" x14ac:dyDescent="0.25">
      <c r="B459" s="56" t="s">
        <v>64</v>
      </c>
      <c r="C459" s="45">
        <v>0</v>
      </c>
      <c r="D459" s="45">
        <v>0</v>
      </c>
      <c r="E459" s="45">
        <v>0</v>
      </c>
      <c r="F459" s="45">
        <v>0</v>
      </c>
      <c r="G459" s="45">
        <v>0</v>
      </c>
    </row>
    <row r="460" spans="2:7" x14ac:dyDescent="0.25">
      <c r="B460" s="56" t="s">
        <v>64</v>
      </c>
      <c r="C460" s="45">
        <v>0</v>
      </c>
      <c r="D460" s="45">
        <v>0</v>
      </c>
      <c r="E460" s="45">
        <v>0</v>
      </c>
      <c r="F460" s="45">
        <v>0</v>
      </c>
      <c r="G460" s="45">
        <v>0</v>
      </c>
    </row>
    <row r="461" spans="2:7" x14ac:dyDescent="0.25">
      <c r="B461" s="56" t="s">
        <v>64</v>
      </c>
      <c r="C461" s="45">
        <v>0</v>
      </c>
      <c r="D461" s="45">
        <v>0</v>
      </c>
      <c r="E461" s="45">
        <v>0</v>
      </c>
      <c r="F461" s="45">
        <v>0</v>
      </c>
      <c r="G461" s="45">
        <v>0</v>
      </c>
    </row>
    <row r="462" spans="2:7" x14ac:dyDescent="0.25">
      <c r="B462" s="56" t="s">
        <v>64</v>
      </c>
      <c r="C462" s="45">
        <v>0</v>
      </c>
      <c r="D462" s="45">
        <v>0</v>
      </c>
      <c r="E462" s="45">
        <v>0</v>
      </c>
      <c r="F462" s="45">
        <v>0</v>
      </c>
      <c r="G462" s="45">
        <v>0</v>
      </c>
    </row>
    <row r="463" spans="2:7" x14ac:dyDescent="0.25">
      <c r="B463" s="56" t="s">
        <v>64</v>
      </c>
      <c r="C463" s="45">
        <v>0</v>
      </c>
      <c r="D463" s="45">
        <v>0</v>
      </c>
      <c r="E463" s="45">
        <v>0</v>
      </c>
      <c r="F463" s="45">
        <v>0</v>
      </c>
      <c r="G463" s="45">
        <v>0</v>
      </c>
    </row>
    <row r="464" spans="2:7" x14ac:dyDescent="0.25">
      <c r="B464" s="56" t="s">
        <v>64</v>
      </c>
      <c r="C464" s="45">
        <v>0</v>
      </c>
      <c r="D464" s="45">
        <v>0</v>
      </c>
      <c r="E464" s="45">
        <v>0</v>
      </c>
      <c r="F464" s="45">
        <v>0</v>
      </c>
      <c r="G464" s="45">
        <v>0</v>
      </c>
    </row>
    <row r="465" spans="2:7" x14ac:dyDescent="0.25">
      <c r="B465" s="56" t="s">
        <v>64</v>
      </c>
      <c r="C465" s="45">
        <v>0</v>
      </c>
      <c r="D465" s="45">
        <v>0</v>
      </c>
      <c r="E465" s="45">
        <v>0</v>
      </c>
      <c r="F465" s="45">
        <v>0</v>
      </c>
      <c r="G465" s="45">
        <v>0</v>
      </c>
    </row>
    <row r="466" spans="2:7" x14ac:dyDescent="0.25">
      <c r="B466" s="56" t="s">
        <v>64</v>
      </c>
      <c r="C466" s="45">
        <v>0</v>
      </c>
      <c r="D466" s="45">
        <v>0</v>
      </c>
      <c r="E466" s="45">
        <v>0</v>
      </c>
      <c r="F466" s="45">
        <v>0</v>
      </c>
      <c r="G466" s="45">
        <v>0</v>
      </c>
    </row>
    <row r="467" spans="2:7" x14ac:dyDescent="0.25">
      <c r="B467" s="56" t="s">
        <v>64</v>
      </c>
      <c r="C467" s="45">
        <v>0</v>
      </c>
      <c r="D467" s="45">
        <v>0</v>
      </c>
      <c r="E467" s="45">
        <v>0</v>
      </c>
      <c r="F467" s="45">
        <v>0</v>
      </c>
      <c r="G467" s="45">
        <v>0</v>
      </c>
    </row>
    <row r="468" spans="2:7" x14ac:dyDescent="0.25">
      <c r="B468" s="56" t="s">
        <v>64</v>
      </c>
      <c r="C468" s="45">
        <v>0</v>
      </c>
      <c r="D468" s="45">
        <v>0</v>
      </c>
      <c r="E468" s="45">
        <v>0</v>
      </c>
      <c r="F468" s="45">
        <v>0</v>
      </c>
      <c r="G468" s="45">
        <v>0</v>
      </c>
    </row>
    <row r="469" spans="2:7" x14ac:dyDescent="0.25">
      <c r="B469" s="56" t="s">
        <v>64</v>
      </c>
      <c r="C469" s="45">
        <v>0</v>
      </c>
      <c r="D469" s="45">
        <v>0</v>
      </c>
      <c r="E469" s="45">
        <v>0</v>
      </c>
      <c r="F469" s="45">
        <v>0</v>
      </c>
      <c r="G469" s="45">
        <v>0</v>
      </c>
    </row>
    <row r="470" spans="2:7" x14ac:dyDescent="0.25">
      <c r="B470" s="56" t="s">
        <v>64</v>
      </c>
      <c r="C470" s="45">
        <v>0</v>
      </c>
      <c r="D470" s="45">
        <v>0</v>
      </c>
      <c r="E470" s="45">
        <v>0</v>
      </c>
      <c r="F470" s="45">
        <v>0</v>
      </c>
      <c r="G470" s="45">
        <v>0</v>
      </c>
    </row>
    <row r="471" spans="2:7" x14ac:dyDescent="0.25">
      <c r="B471" s="56" t="s">
        <v>64</v>
      </c>
      <c r="C471" s="45">
        <v>0</v>
      </c>
      <c r="D471" s="45">
        <v>0</v>
      </c>
      <c r="E471" s="45">
        <v>0</v>
      </c>
      <c r="F471" s="45">
        <v>0</v>
      </c>
      <c r="G471" s="45">
        <v>0</v>
      </c>
    </row>
    <row r="472" spans="2:7" x14ac:dyDescent="0.25">
      <c r="B472" s="56" t="s">
        <v>64</v>
      </c>
      <c r="C472" s="45">
        <v>0</v>
      </c>
      <c r="D472" s="45">
        <v>0</v>
      </c>
      <c r="E472" s="45">
        <v>0</v>
      </c>
      <c r="F472" s="45">
        <v>0</v>
      </c>
      <c r="G472" s="45">
        <v>0</v>
      </c>
    </row>
    <row r="473" spans="2:7" x14ac:dyDescent="0.25">
      <c r="B473" s="56" t="s">
        <v>64</v>
      </c>
      <c r="C473" s="45">
        <v>0</v>
      </c>
      <c r="D473" s="45">
        <v>0</v>
      </c>
      <c r="E473" s="45">
        <v>0</v>
      </c>
      <c r="F473" s="45">
        <v>0</v>
      </c>
      <c r="G473" s="45">
        <v>0</v>
      </c>
    </row>
    <row r="474" spans="2:7" x14ac:dyDescent="0.25">
      <c r="B474" s="56" t="s">
        <v>64</v>
      </c>
      <c r="C474" s="45">
        <v>0</v>
      </c>
      <c r="D474" s="45">
        <v>0</v>
      </c>
      <c r="E474" s="45">
        <v>0</v>
      </c>
      <c r="F474" s="45">
        <v>0</v>
      </c>
      <c r="G474" s="45">
        <v>0</v>
      </c>
    </row>
    <row r="475" spans="2:7" x14ac:dyDescent="0.25">
      <c r="B475" s="56" t="s">
        <v>64</v>
      </c>
      <c r="C475" s="45">
        <v>0</v>
      </c>
      <c r="D475" s="45">
        <v>0</v>
      </c>
      <c r="E475" s="45">
        <v>0</v>
      </c>
      <c r="F475" s="45">
        <v>0</v>
      </c>
      <c r="G475" s="45">
        <v>0</v>
      </c>
    </row>
    <row r="476" spans="2:7" x14ac:dyDescent="0.25">
      <c r="B476" s="56" t="s">
        <v>64</v>
      </c>
      <c r="C476" s="45">
        <v>0</v>
      </c>
      <c r="D476" s="45">
        <v>0</v>
      </c>
      <c r="E476" s="45">
        <v>0</v>
      </c>
      <c r="F476" s="45">
        <v>0</v>
      </c>
      <c r="G476" s="45">
        <v>0</v>
      </c>
    </row>
    <row r="477" spans="2:7" x14ac:dyDescent="0.25">
      <c r="B477" s="56" t="s">
        <v>64</v>
      </c>
      <c r="C477" s="45">
        <v>0</v>
      </c>
      <c r="D477" s="45">
        <v>0</v>
      </c>
      <c r="E477" s="45">
        <v>0</v>
      </c>
      <c r="F477" s="45">
        <v>0</v>
      </c>
      <c r="G477" s="45">
        <v>0</v>
      </c>
    </row>
    <row r="478" spans="2:7" x14ac:dyDescent="0.25">
      <c r="B478" s="56" t="s">
        <v>64</v>
      </c>
      <c r="C478" s="45">
        <v>0</v>
      </c>
      <c r="D478" s="45">
        <v>0</v>
      </c>
      <c r="E478" s="45">
        <v>0</v>
      </c>
      <c r="F478" s="45">
        <v>0</v>
      </c>
      <c r="G478" s="45">
        <v>0</v>
      </c>
    </row>
    <row r="479" spans="2:7" x14ac:dyDescent="0.25">
      <c r="B479" s="56" t="s">
        <v>64</v>
      </c>
      <c r="C479" s="45">
        <v>0</v>
      </c>
      <c r="D479" s="45">
        <v>0</v>
      </c>
      <c r="E479" s="45">
        <v>0</v>
      </c>
      <c r="F479" s="45">
        <v>0</v>
      </c>
      <c r="G479" s="45">
        <v>0</v>
      </c>
    </row>
    <row r="480" spans="2:7" x14ac:dyDescent="0.25">
      <c r="B480" s="56" t="s">
        <v>64</v>
      </c>
      <c r="C480" s="45">
        <v>0</v>
      </c>
      <c r="D480" s="45">
        <v>0</v>
      </c>
      <c r="E480" s="45">
        <v>0</v>
      </c>
      <c r="F480" s="45">
        <v>0</v>
      </c>
      <c r="G480" s="45">
        <v>0</v>
      </c>
    </row>
    <row r="481" spans="2:7" x14ac:dyDescent="0.25">
      <c r="B481" s="56" t="s">
        <v>64</v>
      </c>
      <c r="C481" s="45">
        <v>0</v>
      </c>
      <c r="D481" s="45">
        <v>0</v>
      </c>
      <c r="E481" s="45">
        <v>0</v>
      </c>
      <c r="F481" s="45">
        <v>0</v>
      </c>
      <c r="G481" s="45">
        <v>0</v>
      </c>
    </row>
    <row r="482" spans="2:7" x14ac:dyDescent="0.25">
      <c r="B482" s="56" t="s">
        <v>64</v>
      </c>
      <c r="C482" s="45">
        <v>0</v>
      </c>
      <c r="D482" s="45">
        <v>0</v>
      </c>
      <c r="E482" s="45">
        <v>0</v>
      </c>
      <c r="F482" s="45">
        <v>0</v>
      </c>
      <c r="G482" s="45">
        <v>0</v>
      </c>
    </row>
    <row r="483" spans="2:7" x14ac:dyDescent="0.25">
      <c r="B483" s="56" t="s">
        <v>64</v>
      </c>
      <c r="C483" s="45">
        <v>0</v>
      </c>
      <c r="D483" s="45">
        <v>0</v>
      </c>
      <c r="E483" s="45">
        <v>0</v>
      </c>
      <c r="F483" s="45">
        <v>0</v>
      </c>
      <c r="G483" s="45">
        <v>0</v>
      </c>
    </row>
    <row r="484" spans="2:7" x14ac:dyDescent="0.25">
      <c r="B484" s="56" t="s">
        <v>64</v>
      </c>
      <c r="C484" s="45">
        <v>0</v>
      </c>
      <c r="D484" s="45">
        <v>0</v>
      </c>
      <c r="E484" s="45">
        <v>0</v>
      </c>
      <c r="F484" s="45">
        <v>0</v>
      </c>
      <c r="G484" s="45">
        <v>0</v>
      </c>
    </row>
    <row r="485" spans="2:7" x14ac:dyDescent="0.25">
      <c r="B485" s="56" t="s">
        <v>64</v>
      </c>
      <c r="C485" s="45">
        <v>0</v>
      </c>
      <c r="D485" s="45">
        <v>0</v>
      </c>
      <c r="E485" s="45">
        <v>0</v>
      </c>
      <c r="F485" s="45">
        <v>0</v>
      </c>
      <c r="G485" s="45">
        <v>0</v>
      </c>
    </row>
    <row r="486" spans="2:7" x14ac:dyDescent="0.25">
      <c r="B486" s="56" t="s">
        <v>64</v>
      </c>
      <c r="C486" s="45">
        <v>0</v>
      </c>
      <c r="D486" s="45">
        <v>0</v>
      </c>
      <c r="E486" s="45">
        <v>0</v>
      </c>
      <c r="F486" s="45">
        <v>0</v>
      </c>
      <c r="G486" s="45">
        <v>0</v>
      </c>
    </row>
    <row r="487" spans="2:7" x14ac:dyDescent="0.25">
      <c r="B487" s="56" t="s">
        <v>64</v>
      </c>
      <c r="C487" s="45">
        <v>0</v>
      </c>
      <c r="D487" s="45">
        <v>0</v>
      </c>
      <c r="E487" s="45">
        <v>0</v>
      </c>
      <c r="F487" s="45">
        <v>0</v>
      </c>
      <c r="G487" s="45">
        <v>0</v>
      </c>
    </row>
    <row r="488" spans="2:7" x14ac:dyDescent="0.25">
      <c r="B488" s="56" t="s">
        <v>64</v>
      </c>
      <c r="C488" s="45">
        <v>0</v>
      </c>
      <c r="D488" s="45">
        <v>0</v>
      </c>
      <c r="E488" s="45">
        <v>0</v>
      </c>
      <c r="F488" s="45">
        <v>0</v>
      </c>
      <c r="G488" s="45">
        <v>0</v>
      </c>
    </row>
    <row r="489" spans="2:7" x14ac:dyDescent="0.25">
      <c r="B489" s="56" t="s">
        <v>64</v>
      </c>
      <c r="C489" s="45">
        <v>0</v>
      </c>
      <c r="D489" s="45">
        <v>0</v>
      </c>
      <c r="E489" s="45">
        <v>0</v>
      </c>
      <c r="F489" s="45">
        <v>0</v>
      </c>
      <c r="G489" s="45">
        <v>0</v>
      </c>
    </row>
    <row r="490" spans="2:7" x14ac:dyDescent="0.25">
      <c r="B490" s="56" t="s">
        <v>64</v>
      </c>
      <c r="C490" s="45">
        <v>0</v>
      </c>
      <c r="D490" s="45">
        <v>0</v>
      </c>
      <c r="E490" s="45">
        <v>0</v>
      </c>
      <c r="F490" s="45">
        <v>0</v>
      </c>
      <c r="G490" s="45">
        <v>0</v>
      </c>
    </row>
    <row r="491" spans="2:7" x14ac:dyDescent="0.25">
      <c r="B491" s="56" t="s">
        <v>64</v>
      </c>
      <c r="C491" s="45">
        <v>0</v>
      </c>
      <c r="D491" s="45">
        <v>0</v>
      </c>
      <c r="E491" s="45">
        <v>0</v>
      </c>
      <c r="F491" s="45">
        <v>0</v>
      </c>
      <c r="G491" s="45">
        <v>0</v>
      </c>
    </row>
    <row r="492" spans="2:7" x14ac:dyDescent="0.25">
      <c r="B492" s="56" t="s">
        <v>64</v>
      </c>
      <c r="C492" s="45">
        <v>0</v>
      </c>
      <c r="D492" s="45">
        <v>0</v>
      </c>
      <c r="E492" s="45">
        <v>0</v>
      </c>
      <c r="F492" s="45">
        <v>0</v>
      </c>
      <c r="G492" s="45">
        <v>0</v>
      </c>
    </row>
    <row r="493" spans="2:7" x14ac:dyDescent="0.25">
      <c r="B493" s="56" t="s">
        <v>64</v>
      </c>
      <c r="C493" s="45">
        <v>0</v>
      </c>
      <c r="D493" s="45">
        <v>0</v>
      </c>
      <c r="E493" s="45">
        <v>0</v>
      </c>
      <c r="F493" s="45">
        <v>0</v>
      </c>
      <c r="G493" s="45">
        <v>0</v>
      </c>
    </row>
    <row r="494" spans="2:7" x14ac:dyDescent="0.25">
      <c r="B494" s="56" t="s">
        <v>64</v>
      </c>
      <c r="C494" s="45">
        <v>0</v>
      </c>
      <c r="D494" s="45">
        <v>0</v>
      </c>
      <c r="E494" s="45">
        <v>0</v>
      </c>
      <c r="F494" s="45">
        <v>0</v>
      </c>
      <c r="G494" s="45">
        <v>0</v>
      </c>
    </row>
    <row r="495" spans="2:7" x14ac:dyDescent="0.25">
      <c r="B495" s="56" t="s">
        <v>64</v>
      </c>
      <c r="C495" s="45">
        <v>0</v>
      </c>
      <c r="D495" s="45">
        <v>0</v>
      </c>
      <c r="E495" s="45">
        <v>0</v>
      </c>
      <c r="F495" s="45">
        <v>0</v>
      </c>
      <c r="G495" s="45">
        <v>0</v>
      </c>
    </row>
    <row r="496" spans="2:7" x14ac:dyDescent="0.25">
      <c r="B496" s="56" t="s">
        <v>64</v>
      </c>
      <c r="C496" s="45">
        <v>0</v>
      </c>
      <c r="D496" s="45">
        <v>0</v>
      </c>
      <c r="E496" s="45">
        <v>0</v>
      </c>
      <c r="F496" s="45">
        <v>0</v>
      </c>
      <c r="G496" s="45">
        <v>0</v>
      </c>
    </row>
    <row r="497" spans="2:7" x14ac:dyDescent="0.25">
      <c r="B497" s="56" t="s">
        <v>64</v>
      </c>
      <c r="C497" s="45">
        <v>0</v>
      </c>
      <c r="D497" s="45">
        <v>0</v>
      </c>
      <c r="E497" s="45">
        <v>0</v>
      </c>
      <c r="F497" s="45">
        <v>0</v>
      </c>
      <c r="G497" s="45">
        <v>0</v>
      </c>
    </row>
    <row r="498" spans="2:7" x14ac:dyDescent="0.25">
      <c r="B498" s="56" t="s">
        <v>64</v>
      </c>
      <c r="C498" s="45">
        <v>0</v>
      </c>
      <c r="D498" s="45">
        <v>0</v>
      </c>
      <c r="E498" s="45">
        <v>0</v>
      </c>
      <c r="F498" s="45">
        <v>0</v>
      </c>
      <c r="G498" s="45">
        <v>0</v>
      </c>
    </row>
    <row r="499" spans="2:7" x14ac:dyDescent="0.25">
      <c r="B499" s="56" t="s">
        <v>64</v>
      </c>
      <c r="C499" s="45">
        <v>0</v>
      </c>
      <c r="D499" s="45">
        <v>0</v>
      </c>
      <c r="E499" s="45">
        <v>0</v>
      </c>
      <c r="F499" s="45">
        <v>0</v>
      </c>
      <c r="G499" s="45">
        <v>0</v>
      </c>
    </row>
    <row r="500" spans="2:7" x14ac:dyDescent="0.25">
      <c r="B500" s="56" t="s">
        <v>64</v>
      </c>
      <c r="C500" s="45">
        <v>0</v>
      </c>
      <c r="D500" s="45">
        <v>0</v>
      </c>
      <c r="E500" s="45">
        <v>0</v>
      </c>
      <c r="F500" s="45">
        <v>0</v>
      </c>
      <c r="G500" s="45">
        <v>0</v>
      </c>
    </row>
    <row r="501" spans="2:7" x14ac:dyDescent="0.25">
      <c r="B501" s="56" t="s">
        <v>64</v>
      </c>
      <c r="C501" s="45">
        <v>0</v>
      </c>
      <c r="D501" s="45">
        <v>0</v>
      </c>
      <c r="E501" s="45">
        <v>0</v>
      </c>
      <c r="F501" s="45">
        <v>0</v>
      </c>
      <c r="G501" s="45">
        <v>0</v>
      </c>
    </row>
    <row r="502" spans="2:7" x14ac:dyDescent="0.25">
      <c r="B502" s="56" t="s">
        <v>64</v>
      </c>
      <c r="C502" s="45">
        <v>0</v>
      </c>
      <c r="D502" s="45">
        <v>0</v>
      </c>
      <c r="E502" s="45">
        <v>0</v>
      </c>
      <c r="F502" s="45">
        <v>0</v>
      </c>
      <c r="G502" s="45">
        <v>0</v>
      </c>
    </row>
    <row r="503" spans="2:7" x14ac:dyDescent="0.25">
      <c r="B503" s="56" t="s">
        <v>64</v>
      </c>
      <c r="C503" s="45">
        <v>0</v>
      </c>
      <c r="D503" s="45">
        <v>0</v>
      </c>
      <c r="E503" s="45">
        <v>0</v>
      </c>
      <c r="F503" s="45">
        <v>0</v>
      </c>
      <c r="G503" s="45">
        <v>0</v>
      </c>
    </row>
    <row r="504" spans="2:7" x14ac:dyDescent="0.25">
      <c r="B504" s="56" t="s">
        <v>64</v>
      </c>
      <c r="C504" s="45">
        <v>0</v>
      </c>
      <c r="D504" s="45">
        <v>0</v>
      </c>
      <c r="E504" s="45">
        <v>0</v>
      </c>
      <c r="F504" s="45">
        <v>0</v>
      </c>
      <c r="G504" s="45">
        <v>0</v>
      </c>
    </row>
    <row r="505" spans="2:7" x14ac:dyDescent="0.25">
      <c r="B505" s="56" t="s">
        <v>64</v>
      </c>
      <c r="C505" s="45">
        <v>0</v>
      </c>
      <c r="D505" s="45">
        <v>0</v>
      </c>
      <c r="E505" s="45">
        <v>0</v>
      </c>
      <c r="F505" s="45">
        <v>0</v>
      </c>
      <c r="G505" s="45">
        <v>0</v>
      </c>
    </row>
    <row r="506" spans="2:7" x14ac:dyDescent="0.25">
      <c r="B506" s="56" t="s">
        <v>64</v>
      </c>
      <c r="C506" s="45">
        <v>0</v>
      </c>
      <c r="D506" s="45">
        <v>0</v>
      </c>
      <c r="E506" s="45">
        <v>0</v>
      </c>
      <c r="F506" s="45">
        <v>0</v>
      </c>
      <c r="G506" s="45">
        <v>0</v>
      </c>
    </row>
    <row r="507" spans="2:7" x14ac:dyDescent="0.25">
      <c r="B507" s="56" t="s">
        <v>64</v>
      </c>
      <c r="C507" s="45">
        <v>0</v>
      </c>
      <c r="D507" s="45">
        <v>0</v>
      </c>
      <c r="E507" s="45">
        <v>0</v>
      </c>
      <c r="F507" s="45">
        <v>0</v>
      </c>
      <c r="G507" s="45">
        <v>0</v>
      </c>
    </row>
    <row r="508" spans="2:7" x14ac:dyDescent="0.25">
      <c r="B508" s="56" t="s">
        <v>64</v>
      </c>
      <c r="C508" s="45">
        <v>0</v>
      </c>
      <c r="D508" s="45">
        <v>0</v>
      </c>
      <c r="E508" s="45">
        <v>0</v>
      </c>
      <c r="F508" s="45">
        <v>0</v>
      </c>
      <c r="G508" s="45">
        <v>0</v>
      </c>
    </row>
    <row r="509" spans="2:7" x14ac:dyDescent="0.25">
      <c r="B509" s="56" t="s">
        <v>64</v>
      </c>
      <c r="C509" s="45">
        <v>0</v>
      </c>
      <c r="D509" s="45">
        <v>0</v>
      </c>
      <c r="E509" s="45">
        <v>0</v>
      </c>
      <c r="F509" s="45">
        <v>0</v>
      </c>
      <c r="G509" s="45">
        <v>0</v>
      </c>
    </row>
    <row r="510" spans="2:7" x14ac:dyDescent="0.25">
      <c r="B510" s="56" t="s">
        <v>64</v>
      </c>
      <c r="C510" s="45">
        <v>0</v>
      </c>
      <c r="D510" s="45">
        <v>0</v>
      </c>
      <c r="E510" s="45">
        <v>0</v>
      </c>
      <c r="F510" s="45">
        <v>0</v>
      </c>
      <c r="G510" s="45">
        <v>0</v>
      </c>
    </row>
    <row r="511" spans="2:7" x14ac:dyDescent="0.25">
      <c r="B511" s="56" t="s">
        <v>64</v>
      </c>
      <c r="C511" s="45">
        <v>0</v>
      </c>
      <c r="D511" s="45">
        <v>0</v>
      </c>
      <c r="E511" s="45">
        <v>0</v>
      </c>
      <c r="F511" s="45">
        <v>0</v>
      </c>
      <c r="G511" s="45">
        <v>0</v>
      </c>
    </row>
    <row r="512" spans="2:7" x14ac:dyDescent="0.25">
      <c r="B512" s="56" t="s">
        <v>64</v>
      </c>
      <c r="C512" s="45">
        <v>0</v>
      </c>
      <c r="D512" s="45">
        <v>0</v>
      </c>
      <c r="E512" s="45">
        <v>0</v>
      </c>
      <c r="F512" s="45">
        <v>0</v>
      </c>
      <c r="G512" s="45">
        <v>0</v>
      </c>
    </row>
    <row r="513" spans="2:7" x14ac:dyDescent="0.25">
      <c r="B513" s="56" t="s">
        <v>64</v>
      </c>
      <c r="C513" s="45">
        <v>0</v>
      </c>
      <c r="D513" s="45">
        <v>0</v>
      </c>
      <c r="E513" s="45">
        <v>0</v>
      </c>
      <c r="F513" s="45">
        <v>0</v>
      </c>
      <c r="G513" s="45">
        <v>0</v>
      </c>
    </row>
    <row r="514" spans="2:7" x14ac:dyDescent="0.25">
      <c r="B514" s="56" t="s">
        <v>64</v>
      </c>
      <c r="C514" s="45">
        <v>0</v>
      </c>
      <c r="D514" s="45">
        <v>0</v>
      </c>
      <c r="E514" s="45">
        <v>0</v>
      </c>
      <c r="F514" s="45">
        <v>0</v>
      </c>
      <c r="G514" s="45">
        <v>0</v>
      </c>
    </row>
    <row r="515" spans="2:7" x14ac:dyDescent="0.25">
      <c r="B515" s="56" t="s">
        <v>64</v>
      </c>
      <c r="C515" s="45">
        <v>0</v>
      </c>
      <c r="D515" s="45">
        <v>0</v>
      </c>
      <c r="E515" s="45">
        <v>0</v>
      </c>
      <c r="F515" s="45">
        <v>0</v>
      </c>
      <c r="G515" s="45">
        <v>0</v>
      </c>
    </row>
    <row r="516" spans="2:7" x14ac:dyDescent="0.25">
      <c r="B516" s="56" t="s">
        <v>64</v>
      </c>
      <c r="C516" s="45">
        <v>0</v>
      </c>
      <c r="D516" s="45">
        <v>0</v>
      </c>
      <c r="E516" s="45">
        <v>0</v>
      </c>
      <c r="F516" s="45">
        <v>0</v>
      </c>
      <c r="G516" s="45">
        <v>0</v>
      </c>
    </row>
    <row r="517" spans="2:7" x14ac:dyDescent="0.25">
      <c r="B517" s="56" t="s">
        <v>64</v>
      </c>
      <c r="C517" s="45">
        <v>0</v>
      </c>
      <c r="D517" s="45">
        <v>0</v>
      </c>
      <c r="E517" s="45">
        <v>0</v>
      </c>
      <c r="F517" s="45">
        <v>0</v>
      </c>
      <c r="G517" s="45">
        <v>0</v>
      </c>
    </row>
    <row r="518" spans="2:7" x14ac:dyDescent="0.25">
      <c r="B518" s="56" t="s">
        <v>64</v>
      </c>
      <c r="C518" s="45">
        <v>0</v>
      </c>
      <c r="D518" s="45">
        <v>0</v>
      </c>
      <c r="E518" s="45">
        <v>0</v>
      </c>
      <c r="F518" s="45">
        <v>0</v>
      </c>
      <c r="G518" s="45">
        <v>0</v>
      </c>
    </row>
    <row r="519" spans="2:7" x14ac:dyDescent="0.25">
      <c r="B519" s="56" t="s">
        <v>64</v>
      </c>
      <c r="C519" s="45">
        <v>0</v>
      </c>
      <c r="D519" s="45">
        <v>0</v>
      </c>
      <c r="E519" s="45">
        <v>0</v>
      </c>
      <c r="F519" s="45">
        <v>0</v>
      </c>
      <c r="G519" s="45">
        <v>0</v>
      </c>
    </row>
    <row r="520" spans="2:7" x14ac:dyDescent="0.25">
      <c r="B520" s="56" t="s">
        <v>64</v>
      </c>
      <c r="C520" s="45">
        <v>0</v>
      </c>
      <c r="D520" s="45">
        <v>0</v>
      </c>
      <c r="E520" s="45">
        <v>0</v>
      </c>
      <c r="F520" s="45">
        <v>0</v>
      </c>
      <c r="G520" s="45">
        <v>0</v>
      </c>
    </row>
    <row r="521" spans="2:7" x14ac:dyDescent="0.25">
      <c r="B521" s="56" t="s">
        <v>64</v>
      </c>
      <c r="C521" s="45">
        <v>0</v>
      </c>
      <c r="D521" s="45">
        <v>0</v>
      </c>
      <c r="E521" s="45">
        <v>0</v>
      </c>
      <c r="F521" s="45">
        <v>0</v>
      </c>
      <c r="G521" s="45">
        <v>0</v>
      </c>
    </row>
    <row r="522" spans="2:7" x14ac:dyDescent="0.25">
      <c r="B522" s="56" t="s">
        <v>64</v>
      </c>
      <c r="C522" s="45">
        <v>0</v>
      </c>
      <c r="D522" s="45">
        <v>0</v>
      </c>
      <c r="E522" s="45">
        <v>0</v>
      </c>
      <c r="F522" s="45">
        <v>0</v>
      </c>
      <c r="G522" s="45">
        <v>0</v>
      </c>
    </row>
    <row r="523" spans="2:7" x14ac:dyDescent="0.25">
      <c r="B523" s="56" t="s">
        <v>64</v>
      </c>
      <c r="C523" s="45">
        <v>0</v>
      </c>
      <c r="D523" s="45">
        <v>0</v>
      </c>
      <c r="E523" s="45">
        <v>0</v>
      </c>
      <c r="F523" s="45">
        <v>0</v>
      </c>
      <c r="G523" s="45">
        <v>0</v>
      </c>
    </row>
    <row r="524" spans="2:7" x14ac:dyDescent="0.25">
      <c r="B524" s="56" t="s">
        <v>64</v>
      </c>
      <c r="C524" s="45">
        <v>0</v>
      </c>
      <c r="D524" s="45">
        <v>0</v>
      </c>
      <c r="E524" s="45">
        <v>0</v>
      </c>
      <c r="F524" s="45">
        <v>0</v>
      </c>
      <c r="G524" s="45">
        <v>0</v>
      </c>
    </row>
    <row r="525" spans="2:7" x14ac:dyDescent="0.25">
      <c r="B525" s="56" t="s">
        <v>64</v>
      </c>
      <c r="C525" s="45">
        <v>0</v>
      </c>
      <c r="D525" s="45">
        <v>0</v>
      </c>
      <c r="E525" s="45">
        <v>0</v>
      </c>
      <c r="F525" s="45">
        <v>0</v>
      </c>
      <c r="G525" s="45">
        <v>0</v>
      </c>
    </row>
    <row r="526" spans="2:7" x14ac:dyDescent="0.25">
      <c r="B526" s="56" t="s">
        <v>64</v>
      </c>
      <c r="C526" s="45">
        <v>0</v>
      </c>
      <c r="D526" s="45">
        <v>0</v>
      </c>
      <c r="E526" s="45">
        <v>0</v>
      </c>
      <c r="F526" s="45">
        <v>0</v>
      </c>
      <c r="G526" s="45">
        <v>0</v>
      </c>
    </row>
    <row r="527" spans="2:7" x14ac:dyDescent="0.25">
      <c r="B527" s="56" t="s">
        <v>64</v>
      </c>
      <c r="C527" s="45">
        <v>0</v>
      </c>
      <c r="D527" s="45">
        <v>0</v>
      </c>
      <c r="E527" s="45">
        <v>0</v>
      </c>
      <c r="F527" s="45">
        <v>0</v>
      </c>
      <c r="G527" s="45">
        <v>0</v>
      </c>
    </row>
    <row r="528" spans="2:7" x14ac:dyDescent="0.25">
      <c r="B528" s="56" t="s">
        <v>64</v>
      </c>
      <c r="C528" s="45">
        <v>0</v>
      </c>
      <c r="D528" s="45">
        <v>0</v>
      </c>
      <c r="E528" s="45">
        <v>0</v>
      </c>
      <c r="F528" s="45">
        <v>0</v>
      </c>
      <c r="G528" s="45">
        <v>0</v>
      </c>
    </row>
    <row r="529" spans="2:7" x14ac:dyDescent="0.25">
      <c r="B529" s="56" t="s">
        <v>64</v>
      </c>
      <c r="C529" s="45">
        <v>0</v>
      </c>
      <c r="D529" s="45">
        <v>0</v>
      </c>
      <c r="E529" s="45">
        <v>0</v>
      </c>
      <c r="F529" s="45">
        <v>0</v>
      </c>
      <c r="G529" s="45">
        <v>0</v>
      </c>
    </row>
    <row r="530" spans="2:7" x14ac:dyDescent="0.25">
      <c r="B530" s="56" t="s">
        <v>64</v>
      </c>
      <c r="C530" s="45">
        <v>0</v>
      </c>
      <c r="D530" s="45">
        <v>0</v>
      </c>
      <c r="E530" s="45">
        <v>0</v>
      </c>
      <c r="F530" s="45">
        <v>0</v>
      </c>
      <c r="G530" s="45">
        <v>0</v>
      </c>
    </row>
    <row r="531" spans="2:7" x14ac:dyDescent="0.25">
      <c r="B531" s="56" t="s">
        <v>64</v>
      </c>
      <c r="C531" s="45">
        <v>0</v>
      </c>
      <c r="D531" s="45">
        <v>0</v>
      </c>
      <c r="E531" s="45">
        <v>0</v>
      </c>
      <c r="F531" s="45">
        <v>0</v>
      </c>
      <c r="G531" s="45">
        <v>0</v>
      </c>
    </row>
    <row r="532" spans="2:7" x14ac:dyDescent="0.25">
      <c r="B532" s="56" t="s">
        <v>64</v>
      </c>
      <c r="C532" s="45">
        <v>0</v>
      </c>
      <c r="D532" s="45">
        <v>0</v>
      </c>
      <c r="E532" s="45">
        <v>0</v>
      </c>
      <c r="F532" s="45">
        <v>0</v>
      </c>
      <c r="G532" s="45">
        <v>0</v>
      </c>
    </row>
    <row r="533" spans="2:7" x14ac:dyDescent="0.25">
      <c r="B533" s="56" t="s">
        <v>64</v>
      </c>
      <c r="C533" s="45">
        <v>0</v>
      </c>
      <c r="D533" s="45">
        <v>0</v>
      </c>
      <c r="E533" s="45">
        <v>0</v>
      </c>
      <c r="F533" s="45">
        <v>0</v>
      </c>
      <c r="G533" s="45">
        <v>0</v>
      </c>
    </row>
    <row r="534" spans="2:7" x14ac:dyDescent="0.25">
      <c r="B534" s="56" t="s">
        <v>64</v>
      </c>
      <c r="C534" s="45">
        <v>0</v>
      </c>
      <c r="D534" s="45">
        <v>0</v>
      </c>
      <c r="E534" s="45">
        <v>0</v>
      </c>
      <c r="F534" s="45">
        <v>0</v>
      </c>
      <c r="G534" s="45">
        <v>0</v>
      </c>
    </row>
    <row r="535" spans="2:7" x14ac:dyDescent="0.25">
      <c r="B535" s="56" t="s">
        <v>64</v>
      </c>
      <c r="C535" s="45">
        <v>0</v>
      </c>
      <c r="D535" s="45">
        <v>0</v>
      </c>
      <c r="E535" s="45">
        <v>0</v>
      </c>
      <c r="F535" s="45">
        <v>0</v>
      </c>
      <c r="G535" s="45">
        <v>0</v>
      </c>
    </row>
    <row r="536" spans="2:7" x14ac:dyDescent="0.25">
      <c r="B536" s="56" t="s">
        <v>64</v>
      </c>
      <c r="C536" s="45">
        <v>0</v>
      </c>
      <c r="D536" s="45">
        <v>0</v>
      </c>
      <c r="E536" s="45">
        <v>0</v>
      </c>
      <c r="F536" s="45">
        <v>0</v>
      </c>
      <c r="G536" s="45">
        <v>0</v>
      </c>
    </row>
    <row r="537" spans="2:7" x14ac:dyDescent="0.25">
      <c r="B537" s="56" t="s">
        <v>64</v>
      </c>
      <c r="C537" s="45">
        <v>0</v>
      </c>
      <c r="D537" s="45">
        <v>0</v>
      </c>
      <c r="E537" s="45">
        <v>0</v>
      </c>
      <c r="F537" s="45">
        <v>0</v>
      </c>
      <c r="G537" s="45">
        <v>0</v>
      </c>
    </row>
    <row r="538" spans="2:7" x14ac:dyDescent="0.25">
      <c r="B538" s="56" t="s">
        <v>64</v>
      </c>
      <c r="C538" s="45">
        <v>0</v>
      </c>
      <c r="D538" s="45">
        <v>0</v>
      </c>
      <c r="E538" s="45">
        <v>0</v>
      </c>
      <c r="F538" s="45">
        <v>0</v>
      </c>
      <c r="G538" s="45">
        <v>0</v>
      </c>
    </row>
    <row r="539" spans="2:7" x14ac:dyDescent="0.25">
      <c r="B539" s="56" t="s">
        <v>64</v>
      </c>
      <c r="C539" s="45">
        <v>0</v>
      </c>
      <c r="D539" s="45">
        <v>0</v>
      </c>
      <c r="E539" s="45">
        <v>0</v>
      </c>
      <c r="F539" s="45">
        <v>0</v>
      </c>
      <c r="G539" s="45">
        <v>0</v>
      </c>
    </row>
    <row r="540" spans="2:7" x14ac:dyDescent="0.25">
      <c r="B540" s="56" t="s">
        <v>64</v>
      </c>
      <c r="C540" s="45">
        <v>0</v>
      </c>
      <c r="D540" s="45">
        <v>0</v>
      </c>
      <c r="E540" s="45">
        <v>0</v>
      </c>
      <c r="F540" s="45">
        <v>0</v>
      </c>
      <c r="G540" s="45">
        <v>0</v>
      </c>
    </row>
    <row r="541" spans="2:7" x14ac:dyDescent="0.25">
      <c r="B541" s="56" t="s">
        <v>64</v>
      </c>
      <c r="C541" s="45">
        <v>0</v>
      </c>
      <c r="D541" s="45">
        <v>0</v>
      </c>
      <c r="E541" s="45">
        <v>0</v>
      </c>
      <c r="F541" s="45">
        <v>0</v>
      </c>
      <c r="G541" s="45">
        <v>0</v>
      </c>
    </row>
    <row r="542" spans="2:7" x14ac:dyDescent="0.25">
      <c r="B542" s="56" t="s">
        <v>64</v>
      </c>
      <c r="C542" s="45">
        <v>0</v>
      </c>
      <c r="D542" s="45">
        <v>0</v>
      </c>
      <c r="E542" s="45">
        <v>0</v>
      </c>
      <c r="F542" s="45">
        <v>0</v>
      </c>
      <c r="G542" s="45">
        <v>0</v>
      </c>
    </row>
    <row r="543" spans="2:7" x14ac:dyDescent="0.25">
      <c r="B543" s="56" t="s">
        <v>64</v>
      </c>
      <c r="C543" s="45">
        <v>0</v>
      </c>
      <c r="D543" s="45">
        <v>0</v>
      </c>
      <c r="E543" s="45">
        <v>0</v>
      </c>
      <c r="F543" s="45">
        <v>0</v>
      </c>
      <c r="G543" s="45">
        <v>0</v>
      </c>
    </row>
    <row r="544" spans="2:7" x14ac:dyDescent="0.25">
      <c r="B544" s="56" t="s">
        <v>64</v>
      </c>
      <c r="C544" s="45">
        <v>0</v>
      </c>
      <c r="D544" s="45">
        <v>0</v>
      </c>
      <c r="E544" s="45">
        <v>0</v>
      </c>
      <c r="F544" s="45">
        <v>0</v>
      </c>
      <c r="G544" s="45">
        <v>0</v>
      </c>
    </row>
    <row r="545" spans="2:7" x14ac:dyDescent="0.25">
      <c r="B545" s="56" t="s">
        <v>64</v>
      </c>
      <c r="C545" s="45">
        <v>0</v>
      </c>
      <c r="D545" s="45">
        <v>0</v>
      </c>
      <c r="E545" s="45">
        <v>0</v>
      </c>
      <c r="F545" s="45">
        <v>0</v>
      </c>
      <c r="G545" s="45">
        <v>0</v>
      </c>
    </row>
    <row r="546" spans="2:7" x14ac:dyDescent="0.25">
      <c r="B546" s="56" t="s">
        <v>64</v>
      </c>
      <c r="C546" s="45">
        <v>0</v>
      </c>
      <c r="D546" s="45">
        <v>0</v>
      </c>
      <c r="E546" s="45">
        <v>0</v>
      </c>
      <c r="F546" s="45">
        <v>0</v>
      </c>
      <c r="G546" s="45">
        <v>0</v>
      </c>
    </row>
    <row r="547" spans="2:7" x14ac:dyDescent="0.25">
      <c r="B547" s="56" t="s">
        <v>64</v>
      </c>
      <c r="C547" s="45">
        <v>0</v>
      </c>
      <c r="D547" s="45">
        <v>0</v>
      </c>
      <c r="E547" s="45">
        <v>0</v>
      </c>
      <c r="F547" s="45">
        <v>0</v>
      </c>
      <c r="G547" s="45">
        <v>0</v>
      </c>
    </row>
    <row r="548" spans="2:7" x14ac:dyDescent="0.25">
      <c r="B548" s="56" t="s">
        <v>64</v>
      </c>
      <c r="C548" s="45">
        <v>0</v>
      </c>
      <c r="D548" s="45">
        <v>0</v>
      </c>
      <c r="E548" s="45">
        <v>0</v>
      </c>
      <c r="F548" s="45">
        <v>0</v>
      </c>
      <c r="G548" s="45">
        <v>0</v>
      </c>
    </row>
    <row r="549" spans="2:7" x14ac:dyDescent="0.25">
      <c r="B549" s="56" t="s">
        <v>64</v>
      </c>
      <c r="C549" s="45">
        <v>0</v>
      </c>
      <c r="D549" s="45">
        <v>0</v>
      </c>
      <c r="E549" s="45">
        <v>0</v>
      </c>
      <c r="F549" s="45">
        <v>0</v>
      </c>
      <c r="G549" s="45">
        <v>0</v>
      </c>
    </row>
    <row r="550" spans="2:7" x14ac:dyDescent="0.25">
      <c r="B550" s="56" t="s">
        <v>64</v>
      </c>
      <c r="C550" s="45">
        <v>0</v>
      </c>
      <c r="D550" s="45">
        <v>0</v>
      </c>
      <c r="E550" s="45">
        <v>0</v>
      </c>
      <c r="F550" s="45">
        <v>0</v>
      </c>
      <c r="G550" s="45">
        <v>0</v>
      </c>
    </row>
    <row r="551" spans="2:7" x14ac:dyDescent="0.25">
      <c r="B551" s="56" t="s">
        <v>64</v>
      </c>
      <c r="C551" s="45">
        <v>0</v>
      </c>
      <c r="D551" s="45">
        <v>0</v>
      </c>
      <c r="E551" s="45">
        <v>0</v>
      </c>
      <c r="F551" s="45">
        <v>0</v>
      </c>
      <c r="G551" s="45">
        <v>0</v>
      </c>
    </row>
    <row r="552" spans="2:7" x14ac:dyDescent="0.25">
      <c r="B552" s="56" t="s">
        <v>64</v>
      </c>
      <c r="C552" s="45">
        <v>0</v>
      </c>
      <c r="D552" s="45">
        <v>0</v>
      </c>
      <c r="E552" s="45">
        <v>0</v>
      </c>
      <c r="F552" s="45">
        <v>0</v>
      </c>
      <c r="G552" s="45">
        <v>0</v>
      </c>
    </row>
    <row r="553" spans="2:7" x14ac:dyDescent="0.25">
      <c r="B553" s="56" t="s">
        <v>64</v>
      </c>
      <c r="C553" s="45">
        <v>0</v>
      </c>
      <c r="D553" s="45">
        <v>0</v>
      </c>
      <c r="E553" s="45">
        <v>0</v>
      </c>
      <c r="F553" s="45">
        <v>0</v>
      </c>
      <c r="G553" s="45">
        <v>0</v>
      </c>
    </row>
    <row r="554" spans="2:7" x14ac:dyDescent="0.25">
      <c r="B554" s="56" t="s">
        <v>64</v>
      </c>
      <c r="C554" s="45">
        <v>0</v>
      </c>
      <c r="D554" s="45">
        <v>0</v>
      </c>
      <c r="E554" s="45">
        <v>0</v>
      </c>
      <c r="F554" s="45">
        <v>0</v>
      </c>
      <c r="G554" s="45">
        <v>0</v>
      </c>
    </row>
    <row r="555" spans="2:7" x14ac:dyDescent="0.25">
      <c r="B555" s="56" t="s">
        <v>64</v>
      </c>
      <c r="C555" s="45">
        <v>0</v>
      </c>
      <c r="D555" s="45">
        <v>0</v>
      </c>
      <c r="E555" s="45">
        <v>0</v>
      </c>
      <c r="F555" s="45">
        <v>0</v>
      </c>
      <c r="G555" s="45">
        <v>0</v>
      </c>
    </row>
    <row r="556" spans="2:7" x14ac:dyDescent="0.25">
      <c r="B556" s="56" t="s">
        <v>64</v>
      </c>
      <c r="C556" s="45">
        <v>0</v>
      </c>
      <c r="D556" s="45">
        <v>0</v>
      </c>
      <c r="E556" s="45">
        <v>0</v>
      </c>
      <c r="F556" s="45">
        <v>0</v>
      </c>
      <c r="G556" s="45">
        <v>0</v>
      </c>
    </row>
    <row r="557" spans="2:7" x14ac:dyDescent="0.25">
      <c r="B557" s="56" t="s">
        <v>64</v>
      </c>
      <c r="C557" s="45">
        <v>0</v>
      </c>
      <c r="D557" s="45">
        <v>0</v>
      </c>
      <c r="E557" s="45">
        <v>0</v>
      </c>
      <c r="F557" s="45">
        <v>0</v>
      </c>
      <c r="G557" s="45">
        <v>0</v>
      </c>
    </row>
  </sheetData>
  <autoFilter ref="A6:B557" xr:uid="{00000000-0009-0000-0000-000004000000}"/>
  <sortState xmlns:xlrd2="http://schemas.microsoft.com/office/spreadsheetml/2017/richdata2" ref="F232:IA239">
    <sortCondition ref="F232"/>
  </sortState>
  <mergeCells count="1">
    <mergeCell ref="C5:G5"/>
  </mergeCells>
  <conditionalFormatting sqref="A7:B1000">
    <cfRule type="expression" dxfId="43" priority="7">
      <formula>IF($B7="total",TRUE,FALSE)</formula>
    </cfRule>
    <cfRule type="expression" dxfId="42" priority="8">
      <formula>IF(AND($A7&gt;0,ISEVEN($A7)),TRUE,FALSE)</formula>
    </cfRule>
    <cfRule type="expression" dxfId="41" priority="9">
      <formula>IF(AND($A7&gt;0,ISODD($A7)),TRUE,FALSE)</formula>
    </cfRule>
  </conditionalFormatting>
  <conditionalFormatting sqref="A7:G1000">
    <cfRule type="cellIs" dxfId="40" priority="1" operator="equal">
      <formula>0</formula>
    </cfRule>
    <cfRule type="expression" dxfId="39" priority="2">
      <formula>IF($B7="total",TRUE,FALSE)</formula>
    </cfRule>
  </conditionalFormatting>
  <conditionalFormatting sqref="C7:G1000">
    <cfRule type="cellIs" dxfId="38" priority="3" operator="between">
      <formula>0.0000000000001</formula>
      <formula>0.499999999999</formula>
    </cfRule>
    <cfRule type="cellIs" dxfId="37" priority="4" operator="between">
      <formula>-0.0000000000000001</formula>
      <formula>-0.49999999999999</formula>
    </cfRule>
  </conditionalFormatting>
  <conditionalFormatting sqref="G7:G1000">
    <cfRule type="expression" dxfId="36" priority="12">
      <formula>IF(AND($A7&gt;0,ISEVEN($A7)),TRUE,FALSE)</formula>
    </cfRule>
    <cfRule type="expression" dxfId="35" priority="13">
      <formula>IF(AND($A7&gt;0,ISODD($A7)),TRUE,FALSE)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theme="2" tint="-0.499984740745262"/>
  </sheetPr>
  <dimension ref="A2:BJ586"/>
  <sheetViews>
    <sheetView zoomScaleNormal="100" workbookViewId="0">
      <pane xSplit="2" ySplit="6" topLeftCell="C270" activePane="bottomRight" state="frozen"/>
      <selection activeCell="A280" sqref="A280"/>
      <selection pane="topRight" activeCell="A280" sqref="A280"/>
      <selection pane="bottomLeft" activeCell="A280" sqref="A280"/>
      <selection pane="bottomRight" activeCell="A293" sqref="A293"/>
    </sheetView>
  </sheetViews>
  <sheetFormatPr baseColWidth="10" defaultColWidth="10.85546875" defaultRowHeight="15" x14ac:dyDescent="0.25"/>
  <cols>
    <col min="1" max="2" width="10.85546875" customWidth="1"/>
    <col min="3" max="7" width="9.5703125" customWidth="1"/>
    <col min="8" max="8" width="12" customWidth="1"/>
    <col min="9" max="9" width="11.42578125" customWidth="1"/>
    <col min="10" max="10" width="12.85546875" customWidth="1"/>
  </cols>
  <sheetData>
    <row r="2" spans="1:62" ht="22.5" customHeight="1" x14ac:dyDescent="0.25"/>
    <row r="3" spans="1:62" ht="24.6" customHeight="1" x14ac:dyDescent="0.35">
      <c r="B3" s="34"/>
      <c r="C3" s="39" t="str">
        <f>Inicio!C4</f>
        <v>Importaciones de gas natural por áreas geográficas y países</v>
      </c>
      <c r="D3" s="39"/>
      <c r="E3" s="39"/>
      <c r="F3" s="39"/>
      <c r="G3" s="39"/>
      <c r="H3" s="39"/>
      <c r="I3" s="39"/>
      <c r="J3" s="39"/>
      <c r="K3" s="37"/>
      <c r="L3" s="37"/>
      <c r="M3" s="37"/>
    </row>
    <row r="4" spans="1:62" ht="15" customHeight="1" x14ac:dyDescent="0.25">
      <c r="A4" s="23" t="str">
        <f>Inicio!$A$16</f>
        <v>Actualizado el 14-09-2026</v>
      </c>
      <c r="B4" s="2"/>
      <c r="I4" s="14" t="s">
        <v>30</v>
      </c>
    </row>
    <row r="5" spans="1:62" ht="18.75" customHeight="1" thickBot="1" x14ac:dyDescent="0.3">
      <c r="A5" s="20"/>
      <c r="B5" s="19"/>
      <c r="C5" s="113" t="s">
        <v>29</v>
      </c>
      <c r="D5" s="113"/>
      <c r="E5" s="113"/>
      <c r="F5" s="113"/>
      <c r="G5" s="113"/>
      <c r="H5" s="113"/>
      <c r="I5" s="113"/>
    </row>
    <row r="6" spans="1:62" ht="45.75" customHeight="1" thickTop="1" x14ac:dyDescent="0.25">
      <c r="A6" s="21" t="s">
        <v>1</v>
      </c>
      <c r="B6" s="22" t="s">
        <v>2</v>
      </c>
      <c r="C6" s="15" t="s">
        <v>43</v>
      </c>
      <c r="D6" s="15" t="s">
        <v>44</v>
      </c>
      <c r="E6" s="15" t="s">
        <v>89</v>
      </c>
      <c r="F6" s="15" t="s">
        <v>90</v>
      </c>
      <c r="G6" s="15" t="s">
        <v>45</v>
      </c>
      <c r="H6" s="15" t="s">
        <v>84</v>
      </c>
      <c r="I6" s="11" t="s">
        <v>56</v>
      </c>
    </row>
    <row r="7" spans="1:62" ht="12" customHeight="1" x14ac:dyDescent="0.25">
      <c r="A7" s="55">
        <v>2004</v>
      </c>
      <c r="B7" s="55" t="s">
        <v>3</v>
      </c>
      <c r="C7" s="73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73"/>
      <c r="R7" s="57"/>
      <c r="S7" s="57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</row>
    <row r="8" spans="1:62" ht="12" customHeight="1" x14ac:dyDescent="0.25">
      <c r="A8" s="55">
        <v>2004</v>
      </c>
      <c r="B8" s="55" t="s">
        <v>4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73"/>
      <c r="R8" s="57"/>
      <c r="S8" s="57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</row>
    <row r="9" spans="1:62" ht="12" customHeight="1" x14ac:dyDescent="0.25">
      <c r="A9" s="55">
        <v>2004</v>
      </c>
      <c r="B9" s="55" t="s">
        <v>5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73"/>
      <c r="R9" s="57"/>
      <c r="S9" s="57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</row>
    <row r="10" spans="1:62" ht="12" customHeight="1" x14ac:dyDescent="0.25">
      <c r="A10" s="55">
        <v>2004</v>
      </c>
      <c r="B10" s="55" t="s">
        <v>6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73"/>
      <c r="R10" s="57"/>
      <c r="S10" s="57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</row>
    <row r="11" spans="1:62" ht="12" customHeight="1" x14ac:dyDescent="0.25">
      <c r="A11" s="55">
        <v>2004</v>
      </c>
      <c r="B11" s="55" t="s">
        <v>7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73"/>
      <c r="R11" s="57"/>
      <c r="S11" s="57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</row>
    <row r="12" spans="1:62" ht="12" customHeight="1" x14ac:dyDescent="0.25">
      <c r="A12" s="55">
        <v>2004</v>
      </c>
      <c r="B12" s="55" t="s">
        <v>8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73"/>
      <c r="R12" s="57"/>
      <c r="S12" s="57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</row>
    <row r="13" spans="1:62" ht="12" customHeight="1" x14ac:dyDescent="0.25">
      <c r="A13" s="55">
        <v>2004</v>
      </c>
      <c r="B13" s="55" t="s">
        <v>9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73"/>
      <c r="R13" s="57"/>
      <c r="S13" s="57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</row>
    <row r="14" spans="1:62" ht="12" customHeight="1" x14ac:dyDescent="0.25">
      <c r="A14" s="55">
        <v>2004</v>
      </c>
      <c r="B14" s="55" t="s">
        <v>10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73"/>
      <c r="R14" s="57"/>
      <c r="S14" s="57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</row>
    <row r="15" spans="1:62" ht="12" customHeight="1" x14ac:dyDescent="0.25">
      <c r="A15" s="55">
        <v>2004</v>
      </c>
      <c r="B15" s="55" t="s">
        <v>11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73"/>
      <c r="R15" s="57"/>
      <c r="S15" s="57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</row>
    <row r="16" spans="1:62" ht="12" customHeight="1" x14ac:dyDescent="0.25">
      <c r="A16" s="55">
        <v>2004</v>
      </c>
      <c r="B16" s="55" t="s">
        <v>12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73"/>
      <c r="R16" s="57"/>
      <c r="S16" s="57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</row>
    <row r="17" spans="1:10" ht="12" customHeight="1" x14ac:dyDescent="0.25">
      <c r="A17" s="55">
        <v>2004</v>
      </c>
      <c r="B17" s="55" t="s">
        <v>13</v>
      </c>
      <c r="C17" s="57"/>
      <c r="D17" s="57"/>
      <c r="E17" s="57"/>
      <c r="F17" s="57"/>
      <c r="G17" s="57"/>
      <c r="H17" s="57"/>
      <c r="I17" s="57"/>
      <c r="J17" s="57"/>
    </row>
    <row r="18" spans="1:10" ht="12" customHeight="1" x14ac:dyDescent="0.25">
      <c r="A18" s="55">
        <v>2004</v>
      </c>
      <c r="B18" s="55" t="s">
        <v>14</v>
      </c>
      <c r="C18" s="57"/>
      <c r="D18" s="57"/>
      <c r="E18" s="57"/>
      <c r="F18" s="57"/>
      <c r="G18" s="57">
        <v>912.10881299999994</v>
      </c>
      <c r="H18" s="57"/>
      <c r="I18" s="57">
        <v>912.10881299999994</v>
      </c>
      <c r="J18" s="57"/>
    </row>
    <row r="19" spans="1:10" ht="12" customHeight="1" x14ac:dyDescent="0.25">
      <c r="A19" s="55">
        <v>2004</v>
      </c>
      <c r="B19" s="55" t="s">
        <v>15</v>
      </c>
      <c r="C19" s="57"/>
      <c r="D19" s="57"/>
      <c r="E19" s="57"/>
      <c r="F19" s="57"/>
      <c r="G19" s="57">
        <v>912.10881299999994</v>
      </c>
      <c r="H19" s="57"/>
      <c r="I19" s="57">
        <v>912.10881299999994</v>
      </c>
      <c r="J19" s="57"/>
    </row>
    <row r="20" spans="1:10" ht="12" customHeight="1" x14ac:dyDescent="0.25">
      <c r="A20" s="55">
        <v>2005</v>
      </c>
      <c r="B20" s="55" t="s">
        <v>3</v>
      </c>
      <c r="C20" s="57"/>
      <c r="D20" s="57"/>
      <c r="E20" s="57"/>
      <c r="F20" s="57"/>
      <c r="G20" s="57">
        <v>2128.9971960009998</v>
      </c>
      <c r="H20" s="57"/>
      <c r="I20" s="57">
        <v>2128.9971960009998</v>
      </c>
      <c r="J20" s="57"/>
    </row>
    <row r="21" spans="1:10" ht="12" customHeight="1" x14ac:dyDescent="0.25">
      <c r="A21" s="55">
        <v>2005</v>
      </c>
      <c r="B21" s="55" t="s">
        <v>4</v>
      </c>
      <c r="C21" s="57"/>
      <c r="D21" s="57"/>
      <c r="E21" s="57"/>
      <c r="F21" s="57"/>
      <c r="G21" s="57">
        <v>911.83948799999996</v>
      </c>
      <c r="H21" s="57"/>
      <c r="I21" s="57">
        <v>911.83948799999996</v>
      </c>
      <c r="J21" s="57"/>
    </row>
    <row r="22" spans="1:10" ht="12" customHeight="1" x14ac:dyDescent="0.25">
      <c r="A22" s="55">
        <v>2005</v>
      </c>
      <c r="B22" s="55" t="s">
        <v>5</v>
      </c>
      <c r="C22" s="57"/>
      <c r="D22" s="57"/>
      <c r="E22" s="57"/>
      <c r="F22" s="57"/>
      <c r="G22" s="57"/>
      <c r="H22" s="57"/>
      <c r="I22" s="57"/>
      <c r="J22" s="57"/>
    </row>
    <row r="23" spans="1:10" ht="12" customHeight="1" x14ac:dyDescent="0.25">
      <c r="A23" s="55">
        <v>2005</v>
      </c>
      <c r="B23" s="55" t="s">
        <v>6</v>
      </c>
      <c r="C23" s="57"/>
      <c r="D23" s="57"/>
      <c r="E23" s="57"/>
      <c r="F23" s="57"/>
      <c r="G23" s="57"/>
      <c r="H23" s="57"/>
      <c r="I23" s="57"/>
      <c r="J23" s="57"/>
    </row>
    <row r="24" spans="1:10" ht="12" customHeight="1" x14ac:dyDescent="0.25">
      <c r="A24" s="55">
        <v>2005</v>
      </c>
      <c r="B24" s="55" t="s">
        <v>7</v>
      </c>
      <c r="C24" s="57"/>
      <c r="D24" s="57"/>
      <c r="E24" s="57"/>
      <c r="F24" s="57"/>
      <c r="G24" s="57"/>
      <c r="H24" s="57"/>
      <c r="I24" s="57"/>
      <c r="J24" s="57"/>
    </row>
    <row r="25" spans="1:10" ht="12" customHeight="1" x14ac:dyDescent="0.25">
      <c r="A25" s="55">
        <v>2005</v>
      </c>
      <c r="B25" s="55" t="s">
        <v>8</v>
      </c>
      <c r="C25" s="57"/>
      <c r="D25" s="57"/>
      <c r="E25" s="57"/>
      <c r="F25" s="57"/>
      <c r="G25" s="57"/>
      <c r="H25" s="57"/>
      <c r="I25" s="57"/>
      <c r="J25" s="57"/>
    </row>
    <row r="26" spans="1:10" ht="12" customHeight="1" x14ac:dyDescent="0.25">
      <c r="A26" s="55">
        <v>2005</v>
      </c>
      <c r="B26" s="55" t="s">
        <v>9</v>
      </c>
      <c r="C26" s="57"/>
      <c r="D26" s="57"/>
      <c r="E26" s="57"/>
      <c r="F26" s="57"/>
      <c r="G26" s="57"/>
      <c r="H26" s="57"/>
      <c r="I26" s="57"/>
      <c r="J26" s="57"/>
    </row>
    <row r="27" spans="1:10" ht="12" customHeight="1" x14ac:dyDescent="0.25">
      <c r="A27" s="55">
        <v>2005</v>
      </c>
      <c r="B27" s="55" t="s">
        <v>10</v>
      </c>
      <c r="C27" s="57"/>
      <c r="D27" s="57"/>
      <c r="E27" s="57"/>
      <c r="F27" s="57"/>
      <c r="G27" s="57"/>
      <c r="H27" s="57"/>
      <c r="I27" s="57"/>
      <c r="J27" s="57"/>
    </row>
    <row r="28" spans="1:10" ht="12" customHeight="1" x14ac:dyDescent="0.25">
      <c r="A28" s="55">
        <v>2005</v>
      </c>
      <c r="B28" s="55" t="s">
        <v>11</v>
      </c>
      <c r="C28" s="57"/>
      <c r="D28" s="57"/>
      <c r="E28" s="57"/>
      <c r="F28" s="57"/>
      <c r="G28" s="57"/>
      <c r="H28" s="57"/>
      <c r="I28" s="57"/>
      <c r="J28" s="57"/>
    </row>
    <row r="29" spans="1:10" ht="12" customHeight="1" x14ac:dyDescent="0.25">
      <c r="A29" s="55">
        <v>2005</v>
      </c>
      <c r="B29" s="55" t="s">
        <v>12</v>
      </c>
      <c r="C29" s="57"/>
      <c r="D29" s="57"/>
      <c r="E29" s="57"/>
      <c r="F29" s="57"/>
      <c r="G29" s="57"/>
      <c r="H29" s="57"/>
      <c r="I29" s="57"/>
      <c r="J29" s="57"/>
    </row>
    <row r="30" spans="1:10" ht="12" customHeight="1" x14ac:dyDescent="0.25">
      <c r="A30" s="55">
        <v>2005</v>
      </c>
      <c r="B30" s="55" t="s">
        <v>13</v>
      </c>
      <c r="C30" s="57"/>
      <c r="D30" s="57"/>
      <c r="E30" s="57"/>
      <c r="F30" s="57"/>
      <c r="G30" s="57"/>
      <c r="H30" s="57"/>
      <c r="I30" s="57"/>
      <c r="J30" s="57"/>
    </row>
    <row r="31" spans="1:10" ht="12" customHeight="1" x14ac:dyDescent="0.25">
      <c r="A31" s="55">
        <v>2005</v>
      </c>
      <c r="B31" s="55" t="s">
        <v>14</v>
      </c>
      <c r="C31" s="57"/>
      <c r="D31" s="57"/>
      <c r="E31" s="57"/>
      <c r="F31" s="57"/>
      <c r="G31" s="57"/>
      <c r="H31" s="57"/>
      <c r="I31" s="57"/>
      <c r="J31" s="57"/>
    </row>
    <row r="32" spans="1:10" ht="12" customHeight="1" x14ac:dyDescent="0.25">
      <c r="A32" s="55">
        <v>2005</v>
      </c>
      <c r="B32" s="55" t="s">
        <v>15</v>
      </c>
      <c r="C32" s="57"/>
      <c r="D32" s="57"/>
      <c r="E32" s="57"/>
      <c r="F32" s="57"/>
      <c r="G32" s="57">
        <v>3040.8366840009999</v>
      </c>
      <c r="H32" s="57"/>
      <c r="I32" s="57">
        <v>3040.8366840009999</v>
      </c>
      <c r="J32" s="57"/>
    </row>
    <row r="33" spans="1:10" ht="12" customHeight="1" x14ac:dyDescent="0.25">
      <c r="A33" s="55">
        <v>2006</v>
      </c>
      <c r="B33" s="55" t="s">
        <v>3</v>
      </c>
      <c r="C33" s="57"/>
      <c r="D33" s="57"/>
      <c r="E33" s="57"/>
      <c r="F33" s="57"/>
      <c r="G33" s="57"/>
      <c r="H33" s="57"/>
      <c r="I33" s="57"/>
      <c r="J33" s="57"/>
    </row>
    <row r="34" spans="1:10" ht="12" customHeight="1" x14ac:dyDescent="0.25">
      <c r="A34" s="55">
        <v>2006</v>
      </c>
      <c r="B34" s="55" t="s">
        <v>4</v>
      </c>
      <c r="C34" s="57"/>
      <c r="D34" s="57"/>
      <c r="E34" s="57"/>
      <c r="F34" s="57"/>
      <c r="G34" s="57"/>
      <c r="H34" s="57"/>
      <c r="I34" s="57"/>
      <c r="J34" s="57"/>
    </row>
    <row r="35" spans="1:10" ht="12" customHeight="1" x14ac:dyDescent="0.25">
      <c r="A35" s="55">
        <v>2006</v>
      </c>
      <c r="B35" s="55" t="s">
        <v>5</v>
      </c>
      <c r="C35" s="57"/>
      <c r="D35" s="57"/>
      <c r="E35" s="57"/>
      <c r="F35" s="57"/>
      <c r="G35" s="57"/>
      <c r="H35" s="57"/>
      <c r="I35" s="57"/>
      <c r="J35" s="57"/>
    </row>
    <row r="36" spans="1:10" ht="12" customHeight="1" x14ac:dyDescent="0.25">
      <c r="A36" s="55">
        <v>2006</v>
      </c>
      <c r="B36" s="55" t="s">
        <v>6</v>
      </c>
      <c r="C36" s="57"/>
      <c r="D36" s="57"/>
      <c r="E36" s="57"/>
      <c r="F36" s="57"/>
      <c r="G36" s="57"/>
      <c r="H36" s="57"/>
      <c r="I36" s="57"/>
      <c r="J36" s="57"/>
    </row>
    <row r="37" spans="1:10" ht="12" customHeight="1" x14ac:dyDescent="0.25">
      <c r="A37" s="55">
        <v>2006</v>
      </c>
      <c r="B37" s="55" t="s">
        <v>7</v>
      </c>
      <c r="C37" s="57"/>
      <c r="D37" s="57"/>
      <c r="E37" s="57"/>
      <c r="F37" s="57"/>
      <c r="G37" s="57"/>
      <c r="H37" s="57"/>
      <c r="I37" s="57"/>
      <c r="J37" s="57"/>
    </row>
    <row r="38" spans="1:10" ht="12" customHeight="1" x14ac:dyDescent="0.25">
      <c r="A38" s="55">
        <v>2006</v>
      </c>
      <c r="B38" s="55" t="s">
        <v>8</v>
      </c>
      <c r="C38" s="57"/>
      <c r="D38" s="57"/>
      <c r="E38" s="57"/>
      <c r="F38" s="57"/>
      <c r="G38" s="57"/>
      <c r="H38" s="57"/>
      <c r="I38" s="57"/>
      <c r="J38" s="57"/>
    </row>
    <row r="39" spans="1:10" ht="12" customHeight="1" x14ac:dyDescent="0.25">
      <c r="A39" s="55">
        <v>2006</v>
      </c>
      <c r="B39" s="55" t="s">
        <v>9</v>
      </c>
      <c r="C39" s="57"/>
      <c r="D39" s="57"/>
      <c r="E39" s="57"/>
      <c r="F39" s="57"/>
      <c r="G39" s="57"/>
      <c r="H39" s="57"/>
      <c r="I39" s="57"/>
      <c r="J39" s="57"/>
    </row>
    <row r="40" spans="1:10" ht="12" customHeight="1" x14ac:dyDescent="0.25">
      <c r="A40" s="55">
        <v>2006</v>
      </c>
      <c r="B40" s="55" t="s">
        <v>10</v>
      </c>
      <c r="C40" s="57"/>
      <c r="D40" s="57"/>
      <c r="E40" s="57"/>
      <c r="F40" s="57"/>
      <c r="G40" s="57"/>
      <c r="H40" s="57"/>
      <c r="I40" s="57"/>
      <c r="J40" s="57"/>
    </row>
    <row r="41" spans="1:10" ht="12" customHeight="1" x14ac:dyDescent="0.25">
      <c r="A41" s="55">
        <v>2006</v>
      </c>
      <c r="B41" s="55" t="s">
        <v>11</v>
      </c>
      <c r="C41" s="57"/>
      <c r="D41" s="57"/>
      <c r="E41" s="57"/>
      <c r="F41" s="57"/>
      <c r="G41" s="57"/>
      <c r="H41" s="57"/>
      <c r="I41" s="57"/>
      <c r="J41" s="57"/>
    </row>
    <row r="42" spans="1:10" ht="12" customHeight="1" x14ac:dyDescent="0.25">
      <c r="A42" s="55">
        <v>2006</v>
      </c>
      <c r="B42" s="55" t="s">
        <v>12</v>
      </c>
      <c r="C42" s="57"/>
      <c r="D42" s="57"/>
      <c r="E42" s="57"/>
      <c r="F42" s="57"/>
      <c r="G42" s="57"/>
      <c r="H42" s="57"/>
      <c r="I42" s="57"/>
      <c r="J42" s="57"/>
    </row>
    <row r="43" spans="1:10" ht="12" customHeight="1" x14ac:dyDescent="0.25">
      <c r="A43" s="55">
        <v>2006</v>
      </c>
      <c r="B43" s="55" t="s">
        <v>13</v>
      </c>
      <c r="C43" s="57"/>
      <c r="D43" s="57"/>
      <c r="E43" s="57"/>
      <c r="F43" s="57"/>
      <c r="G43" s="57"/>
      <c r="H43" s="57"/>
      <c r="I43" s="57"/>
      <c r="J43" s="57"/>
    </row>
    <row r="44" spans="1:10" ht="12" customHeight="1" x14ac:dyDescent="0.25">
      <c r="A44" s="55">
        <v>2006</v>
      </c>
      <c r="B44" s="55" t="s">
        <v>14</v>
      </c>
      <c r="C44" s="57"/>
      <c r="D44" s="57"/>
      <c r="E44" s="57"/>
      <c r="F44" s="57"/>
      <c r="G44" s="57"/>
      <c r="H44" s="57"/>
      <c r="I44" s="57"/>
      <c r="J44" s="57"/>
    </row>
    <row r="45" spans="1:10" ht="12" customHeight="1" x14ac:dyDescent="0.25">
      <c r="A45" s="55">
        <v>2006</v>
      </c>
      <c r="B45" s="55" t="s">
        <v>15</v>
      </c>
      <c r="C45" s="57"/>
      <c r="D45" s="57"/>
      <c r="E45" s="57"/>
      <c r="F45" s="57"/>
      <c r="G45" s="57"/>
      <c r="H45" s="57"/>
      <c r="I45" s="57"/>
      <c r="J45" s="57"/>
    </row>
    <row r="46" spans="1:10" ht="12" customHeight="1" x14ac:dyDescent="0.25">
      <c r="A46" s="55">
        <v>2007</v>
      </c>
      <c r="B46" s="55" t="s">
        <v>3</v>
      </c>
      <c r="C46" s="57"/>
      <c r="D46" s="57"/>
      <c r="E46" s="57"/>
      <c r="F46" s="57"/>
      <c r="G46" s="57"/>
      <c r="H46" s="57"/>
      <c r="I46" s="57"/>
      <c r="J46" s="57"/>
    </row>
    <row r="47" spans="1:10" ht="12" customHeight="1" x14ac:dyDescent="0.25">
      <c r="A47" s="55">
        <v>2007</v>
      </c>
      <c r="B47" s="55" t="s">
        <v>4</v>
      </c>
      <c r="C47" s="57"/>
      <c r="D47" s="57"/>
      <c r="E47" s="57"/>
      <c r="F47" s="57"/>
      <c r="G47" s="57"/>
      <c r="H47" s="57"/>
      <c r="I47" s="57"/>
      <c r="J47" s="57"/>
    </row>
    <row r="48" spans="1:10" ht="12" customHeight="1" x14ac:dyDescent="0.25">
      <c r="A48" s="55">
        <v>2007</v>
      </c>
      <c r="B48" s="55" t="s">
        <v>5</v>
      </c>
      <c r="C48" s="57"/>
      <c r="D48" s="57"/>
      <c r="E48" s="57"/>
      <c r="F48" s="57"/>
      <c r="G48" s="57"/>
      <c r="H48" s="57"/>
      <c r="I48" s="57"/>
      <c r="J48" s="57"/>
    </row>
    <row r="49" spans="1:10" ht="12" customHeight="1" x14ac:dyDescent="0.25">
      <c r="A49" s="55">
        <v>2007</v>
      </c>
      <c r="B49" s="55" t="s">
        <v>6</v>
      </c>
      <c r="C49" s="57"/>
      <c r="D49" s="57"/>
      <c r="E49" s="57"/>
      <c r="F49" s="57"/>
      <c r="G49" s="57"/>
      <c r="H49" s="57"/>
      <c r="I49" s="57"/>
      <c r="J49" s="57"/>
    </row>
    <row r="50" spans="1:10" ht="12" customHeight="1" x14ac:dyDescent="0.25">
      <c r="A50" s="55">
        <v>2007</v>
      </c>
      <c r="B50" s="55" t="s">
        <v>7</v>
      </c>
      <c r="C50" s="57"/>
      <c r="D50" s="57"/>
      <c r="E50" s="57"/>
      <c r="F50" s="57"/>
      <c r="G50" s="57"/>
      <c r="H50" s="57"/>
      <c r="I50" s="57"/>
      <c r="J50" s="57"/>
    </row>
    <row r="51" spans="1:10" ht="12" customHeight="1" x14ac:dyDescent="0.25">
      <c r="A51" s="55">
        <v>2007</v>
      </c>
      <c r="B51" s="55" t="s">
        <v>8</v>
      </c>
      <c r="C51" s="57"/>
      <c r="D51" s="57"/>
      <c r="E51" s="57"/>
      <c r="F51" s="57"/>
      <c r="G51" s="57"/>
      <c r="H51" s="57"/>
      <c r="I51" s="57"/>
      <c r="J51" s="57"/>
    </row>
    <row r="52" spans="1:10" ht="12" customHeight="1" x14ac:dyDescent="0.25">
      <c r="A52" s="55">
        <v>2007</v>
      </c>
      <c r="B52" s="55" t="s">
        <v>9</v>
      </c>
      <c r="C52" s="57"/>
      <c r="D52" s="57"/>
      <c r="E52" s="57"/>
      <c r="F52" s="57"/>
      <c r="G52" s="57"/>
      <c r="H52" s="57"/>
      <c r="I52" s="57"/>
      <c r="J52" s="57"/>
    </row>
    <row r="53" spans="1:10" ht="12" customHeight="1" x14ac:dyDescent="0.25">
      <c r="A53" s="55">
        <v>2007</v>
      </c>
      <c r="B53" s="55" t="s">
        <v>10</v>
      </c>
      <c r="C53" s="57"/>
      <c r="D53" s="57"/>
      <c r="E53" s="57"/>
      <c r="F53" s="57"/>
      <c r="G53" s="57"/>
      <c r="H53" s="57"/>
      <c r="I53" s="57"/>
      <c r="J53" s="57"/>
    </row>
    <row r="54" spans="1:10" ht="12" customHeight="1" x14ac:dyDescent="0.25">
      <c r="A54" s="55">
        <v>2007</v>
      </c>
      <c r="B54" s="55" t="s">
        <v>11</v>
      </c>
      <c r="C54" s="57"/>
      <c r="D54" s="57"/>
      <c r="E54" s="57"/>
      <c r="F54" s="57"/>
      <c r="G54" s="57"/>
      <c r="H54" s="57"/>
      <c r="I54" s="57"/>
      <c r="J54" s="57"/>
    </row>
    <row r="55" spans="1:10" ht="12" customHeight="1" x14ac:dyDescent="0.25">
      <c r="A55" s="55">
        <v>2007</v>
      </c>
      <c r="B55" s="55" t="s">
        <v>12</v>
      </c>
      <c r="C55" s="57"/>
      <c r="D55" s="57"/>
      <c r="E55" s="57"/>
      <c r="F55" s="57"/>
      <c r="G55" s="57"/>
      <c r="H55" s="57"/>
      <c r="I55" s="57"/>
      <c r="J55" s="57"/>
    </row>
    <row r="56" spans="1:10" ht="12" customHeight="1" x14ac:dyDescent="0.25">
      <c r="A56" s="55">
        <v>2007</v>
      </c>
      <c r="B56" s="55" t="s">
        <v>13</v>
      </c>
      <c r="C56" s="57"/>
      <c r="D56" s="57"/>
      <c r="E56" s="57"/>
      <c r="F56" s="57"/>
      <c r="G56" s="57"/>
      <c r="H56" s="57"/>
      <c r="I56" s="57"/>
      <c r="J56" s="57"/>
    </row>
    <row r="57" spans="1:10" ht="12" customHeight="1" x14ac:dyDescent="0.25">
      <c r="A57" s="55">
        <v>2007</v>
      </c>
      <c r="B57" s="55" t="s">
        <v>14</v>
      </c>
      <c r="C57" s="57"/>
      <c r="D57" s="57"/>
      <c r="E57" s="57"/>
      <c r="F57" s="57"/>
      <c r="G57" s="57"/>
      <c r="H57" s="57"/>
      <c r="I57" s="57"/>
      <c r="J57" s="57"/>
    </row>
    <row r="58" spans="1:10" ht="12" customHeight="1" x14ac:dyDescent="0.25">
      <c r="A58" s="55">
        <v>2007</v>
      </c>
      <c r="B58" s="55" t="s">
        <v>15</v>
      </c>
      <c r="C58" s="57"/>
      <c r="D58" s="57"/>
      <c r="E58" s="57"/>
      <c r="F58" s="57"/>
      <c r="G58" s="57"/>
      <c r="H58" s="57"/>
      <c r="I58" s="57"/>
      <c r="J58" s="57"/>
    </row>
    <row r="59" spans="1:10" ht="12" customHeight="1" x14ac:dyDescent="0.25">
      <c r="A59" s="55">
        <v>2008</v>
      </c>
      <c r="B59" s="55" t="s">
        <v>3</v>
      </c>
      <c r="C59" s="57"/>
      <c r="D59" s="57"/>
      <c r="E59" s="57"/>
      <c r="F59" s="57"/>
      <c r="G59" s="57"/>
      <c r="H59" s="57"/>
      <c r="I59" s="57"/>
      <c r="J59" s="57"/>
    </row>
    <row r="60" spans="1:10" ht="12" customHeight="1" x14ac:dyDescent="0.25">
      <c r="A60" s="55">
        <v>2008</v>
      </c>
      <c r="B60" s="55" t="s">
        <v>4</v>
      </c>
      <c r="C60" s="57"/>
      <c r="D60" s="57"/>
      <c r="E60" s="57"/>
      <c r="F60" s="57"/>
      <c r="G60" s="57"/>
      <c r="H60" s="57"/>
      <c r="I60" s="57"/>
      <c r="J60" s="57"/>
    </row>
    <row r="61" spans="1:10" ht="12" customHeight="1" x14ac:dyDescent="0.25">
      <c r="A61" s="55">
        <v>2008</v>
      </c>
      <c r="B61" s="55" t="s">
        <v>5</v>
      </c>
      <c r="C61" s="57"/>
      <c r="D61" s="57"/>
      <c r="E61" s="57"/>
      <c r="F61" s="57"/>
      <c r="G61" s="57"/>
      <c r="H61" s="57"/>
      <c r="I61" s="57"/>
      <c r="J61" s="57"/>
    </row>
    <row r="62" spans="1:10" ht="12" customHeight="1" x14ac:dyDescent="0.25">
      <c r="A62" s="55">
        <v>2008</v>
      </c>
      <c r="B62" s="55" t="s">
        <v>6</v>
      </c>
      <c r="C62" s="57"/>
      <c r="D62" s="57"/>
      <c r="E62" s="57"/>
      <c r="F62" s="57"/>
      <c r="G62" s="57"/>
      <c r="H62" s="57"/>
      <c r="I62" s="57"/>
      <c r="J62" s="57"/>
    </row>
    <row r="63" spans="1:10" ht="12" customHeight="1" x14ac:dyDescent="0.25">
      <c r="A63" s="55">
        <v>2008</v>
      </c>
      <c r="B63" s="55" t="s">
        <v>7</v>
      </c>
      <c r="C63" s="57"/>
      <c r="D63" s="57"/>
      <c r="E63" s="57"/>
      <c r="F63" s="57"/>
      <c r="G63" s="57"/>
      <c r="H63" s="57"/>
      <c r="I63" s="57"/>
      <c r="J63" s="57"/>
    </row>
    <row r="64" spans="1:10" ht="12" customHeight="1" x14ac:dyDescent="0.25">
      <c r="A64" s="55">
        <v>2008</v>
      </c>
      <c r="B64" s="55" t="s">
        <v>8</v>
      </c>
      <c r="C64" s="57"/>
      <c r="D64" s="57"/>
      <c r="E64" s="57"/>
      <c r="F64" s="57"/>
      <c r="G64" s="57"/>
      <c r="H64" s="57"/>
      <c r="I64" s="57"/>
      <c r="J64" s="57"/>
    </row>
    <row r="65" spans="1:10" ht="12" customHeight="1" x14ac:dyDescent="0.25">
      <c r="A65" s="55">
        <v>2008</v>
      </c>
      <c r="B65" s="55" t="s">
        <v>9</v>
      </c>
      <c r="C65" s="57"/>
      <c r="D65" s="57"/>
      <c r="E65" s="57"/>
      <c r="F65" s="57"/>
      <c r="G65" s="57"/>
      <c r="H65" s="57"/>
      <c r="I65" s="57"/>
      <c r="J65" s="57"/>
    </row>
    <row r="66" spans="1:10" ht="12" customHeight="1" x14ac:dyDescent="0.25">
      <c r="A66" s="55">
        <v>2008</v>
      </c>
      <c r="B66" s="55" t="s">
        <v>10</v>
      </c>
      <c r="C66" s="57"/>
      <c r="D66" s="57"/>
      <c r="E66" s="57"/>
      <c r="F66" s="57"/>
      <c r="G66" s="57"/>
      <c r="H66" s="57"/>
      <c r="I66" s="57"/>
      <c r="J66" s="57"/>
    </row>
    <row r="67" spans="1:10" ht="12" customHeight="1" x14ac:dyDescent="0.25">
      <c r="A67" s="55">
        <v>2008</v>
      </c>
      <c r="B67" s="55" t="s">
        <v>11</v>
      </c>
      <c r="C67" s="57"/>
      <c r="D67" s="57"/>
      <c r="E67" s="57"/>
      <c r="F67" s="57"/>
      <c r="G67" s="57"/>
      <c r="H67" s="57"/>
      <c r="I67" s="57"/>
      <c r="J67" s="57"/>
    </row>
    <row r="68" spans="1:10" ht="12" customHeight="1" x14ac:dyDescent="0.25">
      <c r="A68" s="55">
        <v>2008</v>
      </c>
      <c r="B68" s="55" t="s">
        <v>12</v>
      </c>
      <c r="C68" s="57"/>
      <c r="D68" s="57"/>
      <c r="E68" s="57"/>
      <c r="F68" s="57"/>
      <c r="G68" s="57"/>
      <c r="H68" s="57"/>
      <c r="I68" s="57"/>
      <c r="J68" s="57"/>
    </row>
    <row r="69" spans="1:10" ht="12" customHeight="1" x14ac:dyDescent="0.25">
      <c r="A69" s="55">
        <v>2008</v>
      </c>
      <c r="B69" s="55" t="s">
        <v>13</v>
      </c>
      <c r="C69" s="57"/>
      <c r="D69" s="57"/>
      <c r="E69" s="57"/>
      <c r="F69" s="57"/>
      <c r="G69" s="57"/>
      <c r="H69" s="57"/>
      <c r="I69" s="57"/>
      <c r="J69" s="57"/>
    </row>
    <row r="70" spans="1:10" ht="12" customHeight="1" x14ac:dyDescent="0.25">
      <c r="A70" s="55">
        <v>2008</v>
      </c>
      <c r="B70" s="55" t="s">
        <v>14</v>
      </c>
      <c r="C70" s="57"/>
      <c r="D70" s="57"/>
      <c r="E70" s="57"/>
      <c r="F70" s="57"/>
      <c r="G70" s="57"/>
      <c r="H70" s="57"/>
      <c r="I70" s="57"/>
      <c r="J70" s="57"/>
    </row>
    <row r="71" spans="1:10" ht="12" customHeight="1" x14ac:dyDescent="0.25">
      <c r="A71" s="55">
        <v>2008</v>
      </c>
      <c r="B71" s="55" t="s">
        <v>15</v>
      </c>
      <c r="C71" s="57"/>
      <c r="D71" s="57"/>
      <c r="E71" s="57"/>
      <c r="F71" s="57"/>
      <c r="G71" s="57"/>
      <c r="H71" s="57"/>
      <c r="I71" s="57"/>
      <c r="J71" s="57"/>
    </row>
    <row r="72" spans="1:10" ht="12" customHeight="1" x14ac:dyDescent="0.25">
      <c r="A72" s="55">
        <v>2009</v>
      </c>
      <c r="B72" s="55" t="s">
        <v>3</v>
      </c>
      <c r="C72" s="57"/>
      <c r="D72" s="57"/>
      <c r="E72" s="57"/>
      <c r="F72" s="57"/>
      <c r="G72" s="57"/>
      <c r="H72" s="57"/>
      <c r="I72" s="57"/>
      <c r="J72" s="57"/>
    </row>
    <row r="73" spans="1:10" ht="12" customHeight="1" x14ac:dyDescent="0.25">
      <c r="A73" s="55">
        <v>2009</v>
      </c>
      <c r="B73" s="55" t="s">
        <v>4</v>
      </c>
      <c r="C73" s="57"/>
      <c r="D73" s="57"/>
      <c r="E73" s="57"/>
      <c r="F73" s="57"/>
      <c r="G73" s="57"/>
      <c r="H73" s="57"/>
      <c r="I73" s="57"/>
      <c r="J73" s="57"/>
    </row>
    <row r="74" spans="1:10" ht="12" customHeight="1" x14ac:dyDescent="0.25">
      <c r="A74" s="55">
        <v>2009</v>
      </c>
      <c r="B74" s="55" t="s">
        <v>5</v>
      </c>
      <c r="C74" s="57"/>
      <c r="D74" s="57"/>
      <c r="E74" s="57"/>
      <c r="F74" s="57"/>
      <c r="G74" s="57"/>
      <c r="H74" s="57"/>
      <c r="I74" s="57"/>
      <c r="J74" s="57"/>
    </row>
    <row r="75" spans="1:10" ht="12" customHeight="1" x14ac:dyDescent="0.25">
      <c r="A75" s="55">
        <v>2009</v>
      </c>
      <c r="B75" s="55" t="s">
        <v>6</v>
      </c>
      <c r="C75" s="57"/>
      <c r="D75" s="57"/>
      <c r="E75" s="57"/>
      <c r="F75" s="57"/>
      <c r="G75" s="57"/>
      <c r="H75" s="57"/>
      <c r="I75" s="57"/>
      <c r="J75" s="57"/>
    </row>
    <row r="76" spans="1:10" ht="12" customHeight="1" x14ac:dyDescent="0.25">
      <c r="A76" s="55">
        <v>2009</v>
      </c>
      <c r="B76" s="55" t="s">
        <v>7</v>
      </c>
      <c r="C76" s="57"/>
      <c r="D76" s="57"/>
      <c r="E76" s="57"/>
      <c r="F76" s="57"/>
      <c r="G76" s="57"/>
      <c r="H76" s="57"/>
      <c r="I76" s="57"/>
      <c r="J76" s="57"/>
    </row>
    <row r="77" spans="1:10" ht="12" customHeight="1" x14ac:dyDescent="0.25">
      <c r="A77" s="55">
        <v>2009</v>
      </c>
      <c r="B77" s="55" t="s">
        <v>8</v>
      </c>
      <c r="C77" s="57"/>
      <c r="D77" s="57"/>
      <c r="E77" s="57"/>
      <c r="F77" s="57"/>
      <c r="G77" s="57"/>
      <c r="H77" s="57"/>
      <c r="I77" s="57"/>
      <c r="J77" s="57"/>
    </row>
    <row r="78" spans="1:10" ht="12" customHeight="1" x14ac:dyDescent="0.25">
      <c r="A78" s="55">
        <v>2009</v>
      </c>
      <c r="B78" s="55" t="s">
        <v>9</v>
      </c>
      <c r="C78" s="57"/>
      <c r="D78" s="57"/>
      <c r="E78" s="57"/>
      <c r="F78" s="57"/>
      <c r="G78" s="57"/>
      <c r="H78" s="57"/>
      <c r="I78" s="57"/>
      <c r="J78" s="57"/>
    </row>
    <row r="79" spans="1:10" ht="12" customHeight="1" x14ac:dyDescent="0.25">
      <c r="A79" s="55">
        <v>2009</v>
      </c>
      <c r="B79" s="55" t="s">
        <v>10</v>
      </c>
      <c r="C79" s="57"/>
      <c r="D79" s="57"/>
      <c r="E79" s="57"/>
      <c r="F79" s="57"/>
      <c r="G79" s="57"/>
      <c r="H79" s="57"/>
      <c r="I79" s="57"/>
      <c r="J79" s="57"/>
    </row>
    <row r="80" spans="1:10" ht="12" customHeight="1" x14ac:dyDescent="0.25">
      <c r="A80" s="55">
        <v>2009</v>
      </c>
      <c r="B80" s="55" t="s">
        <v>11</v>
      </c>
      <c r="C80" s="57"/>
      <c r="D80" s="57"/>
      <c r="E80" s="57"/>
      <c r="F80" s="57"/>
      <c r="G80" s="57"/>
      <c r="H80" s="57"/>
      <c r="I80" s="57"/>
      <c r="J80" s="57"/>
    </row>
    <row r="81" spans="1:10" ht="12" customHeight="1" x14ac:dyDescent="0.25">
      <c r="A81" s="55">
        <v>2009</v>
      </c>
      <c r="B81" s="55" t="s">
        <v>12</v>
      </c>
      <c r="C81" s="57"/>
      <c r="D81" s="57"/>
      <c r="E81" s="57"/>
      <c r="F81" s="57"/>
      <c r="G81" s="57"/>
      <c r="H81" s="57"/>
      <c r="I81" s="57"/>
      <c r="J81" s="57"/>
    </row>
    <row r="82" spans="1:10" ht="12" customHeight="1" x14ac:dyDescent="0.25">
      <c r="A82" s="55">
        <v>2009</v>
      </c>
      <c r="B82" s="55" t="s">
        <v>13</v>
      </c>
      <c r="C82" s="57"/>
      <c r="D82" s="57"/>
      <c r="E82" s="57"/>
      <c r="F82" s="57"/>
      <c r="G82" s="57"/>
      <c r="H82" s="57"/>
      <c r="I82" s="57"/>
      <c r="J82" s="57"/>
    </row>
    <row r="83" spans="1:10" ht="12" customHeight="1" x14ac:dyDescent="0.25">
      <c r="A83" s="55">
        <v>2009</v>
      </c>
      <c r="B83" s="55" t="s">
        <v>14</v>
      </c>
      <c r="C83" s="57"/>
      <c r="D83" s="57"/>
      <c r="E83" s="57"/>
      <c r="F83" s="57"/>
      <c r="G83" s="57"/>
      <c r="H83" s="57"/>
      <c r="I83" s="57"/>
      <c r="J83" s="57"/>
    </row>
    <row r="84" spans="1:10" ht="12" customHeight="1" x14ac:dyDescent="0.25">
      <c r="A84" s="55">
        <v>2009</v>
      </c>
      <c r="B84" s="55" t="s">
        <v>15</v>
      </c>
      <c r="C84" s="57"/>
      <c r="D84" s="57"/>
      <c r="E84" s="57"/>
      <c r="F84" s="57"/>
      <c r="G84" s="57"/>
      <c r="H84" s="57"/>
      <c r="I84" s="57"/>
      <c r="J84" s="57"/>
    </row>
    <row r="85" spans="1:10" ht="12" customHeight="1" x14ac:dyDescent="0.25">
      <c r="A85" s="55">
        <v>2010</v>
      </c>
      <c r="B85" s="55" t="s">
        <v>3</v>
      </c>
      <c r="C85" s="57"/>
      <c r="D85" s="57"/>
      <c r="E85" s="57"/>
      <c r="F85" s="57"/>
      <c r="G85" s="57"/>
      <c r="H85" s="57"/>
      <c r="I85" s="57"/>
      <c r="J85" s="57"/>
    </row>
    <row r="86" spans="1:10" ht="12" customHeight="1" x14ac:dyDescent="0.25">
      <c r="A86" s="55">
        <v>2010</v>
      </c>
      <c r="B86" s="55" t="s">
        <v>4</v>
      </c>
      <c r="C86" s="57"/>
      <c r="D86" s="57"/>
      <c r="E86" s="57"/>
      <c r="F86" s="57"/>
      <c r="G86" s="57"/>
      <c r="H86" s="57"/>
      <c r="I86" s="57"/>
      <c r="J86" s="57"/>
    </row>
    <row r="87" spans="1:10" ht="12" customHeight="1" x14ac:dyDescent="0.25">
      <c r="A87" s="55">
        <v>2010</v>
      </c>
      <c r="B87" s="55" t="s">
        <v>5</v>
      </c>
      <c r="C87" s="57"/>
      <c r="D87" s="57"/>
      <c r="E87" s="57"/>
      <c r="F87" s="57"/>
      <c r="G87" s="57"/>
      <c r="H87" s="57"/>
      <c r="I87" s="57"/>
      <c r="J87" s="57"/>
    </row>
    <row r="88" spans="1:10" ht="12" customHeight="1" x14ac:dyDescent="0.25">
      <c r="A88" s="55">
        <v>2010</v>
      </c>
      <c r="B88" s="55" t="s">
        <v>6</v>
      </c>
      <c r="C88" s="57"/>
      <c r="D88" s="57"/>
      <c r="E88" s="57"/>
      <c r="F88" s="57"/>
      <c r="G88" s="57"/>
      <c r="H88" s="57"/>
      <c r="I88" s="57"/>
      <c r="J88" s="57"/>
    </row>
    <row r="89" spans="1:10" ht="12" customHeight="1" x14ac:dyDescent="0.25">
      <c r="A89" s="55">
        <v>2010</v>
      </c>
      <c r="B89" s="55" t="s">
        <v>7</v>
      </c>
      <c r="C89" s="57"/>
      <c r="D89" s="57"/>
      <c r="E89" s="57"/>
      <c r="F89" s="57"/>
      <c r="G89" s="57"/>
      <c r="H89" s="57"/>
      <c r="I89" s="57"/>
      <c r="J89" s="57"/>
    </row>
    <row r="90" spans="1:10" ht="12" customHeight="1" x14ac:dyDescent="0.25">
      <c r="A90" s="55">
        <v>2010</v>
      </c>
      <c r="B90" s="55" t="s">
        <v>8</v>
      </c>
      <c r="C90" s="57"/>
      <c r="D90" s="57"/>
      <c r="E90" s="57"/>
      <c r="F90" s="57"/>
      <c r="G90" s="57"/>
      <c r="H90" s="57"/>
      <c r="I90" s="57"/>
      <c r="J90" s="57"/>
    </row>
    <row r="91" spans="1:10" ht="12" customHeight="1" x14ac:dyDescent="0.25">
      <c r="A91" s="55">
        <v>2010</v>
      </c>
      <c r="B91" s="55" t="s">
        <v>9</v>
      </c>
      <c r="C91" s="57"/>
      <c r="D91" s="57"/>
      <c r="E91" s="57"/>
      <c r="F91" s="57"/>
      <c r="G91" s="57"/>
      <c r="H91" s="57"/>
      <c r="I91" s="57"/>
      <c r="J91" s="57"/>
    </row>
    <row r="92" spans="1:10" ht="12" customHeight="1" x14ac:dyDescent="0.25">
      <c r="A92" s="55">
        <v>2010</v>
      </c>
      <c r="B92" s="55" t="s">
        <v>10</v>
      </c>
      <c r="C92" s="57"/>
      <c r="D92" s="57"/>
      <c r="E92" s="57"/>
      <c r="F92" s="57"/>
      <c r="G92" s="57"/>
      <c r="H92" s="57"/>
      <c r="I92" s="57"/>
      <c r="J92" s="57"/>
    </row>
    <row r="93" spans="1:10" ht="12" customHeight="1" x14ac:dyDescent="0.25">
      <c r="A93" s="55">
        <v>2010</v>
      </c>
      <c r="B93" s="55" t="s">
        <v>11</v>
      </c>
      <c r="C93" s="57"/>
      <c r="D93" s="57"/>
      <c r="E93" s="57"/>
      <c r="F93" s="57"/>
      <c r="G93" s="57"/>
      <c r="H93" s="57"/>
      <c r="I93" s="57"/>
      <c r="J93" s="57"/>
    </row>
    <row r="94" spans="1:10" ht="12" customHeight="1" x14ac:dyDescent="0.25">
      <c r="A94" s="55">
        <v>2010</v>
      </c>
      <c r="B94" s="55" t="s">
        <v>12</v>
      </c>
      <c r="C94" s="57"/>
      <c r="D94" s="57"/>
      <c r="E94" s="57"/>
      <c r="F94" s="57"/>
      <c r="G94" s="57"/>
      <c r="H94" s="57"/>
      <c r="I94" s="57"/>
      <c r="J94" s="57"/>
    </row>
    <row r="95" spans="1:10" ht="12" customHeight="1" x14ac:dyDescent="0.25">
      <c r="A95" s="55">
        <v>2010</v>
      </c>
      <c r="B95" s="55" t="s">
        <v>13</v>
      </c>
      <c r="C95" s="57"/>
      <c r="D95" s="57"/>
      <c r="E95" s="57"/>
      <c r="F95" s="57"/>
      <c r="G95" s="57"/>
      <c r="H95" s="57"/>
      <c r="I95" s="57"/>
      <c r="J95" s="57"/>
    </row>
    <row r="96" spans="1:10" ht="12" customHeight="1" x14ac:dyDescent="0.25">
      <c r="A96" s="55">
        <v>2010</v>
      </c>
      <c r="B96" s="55" t="s">
        <v>14</v>
      </c>
      <c r="C96" s="57"/>
      <c r="D96" s="57"/>
      <c r="E96" s="57"/>
      <c r="F96" s="57"/>
      <c r="G96" s="57"/>
      <c r="H96" s="57"/>
      <c r="I96" s="57"/>
      <c r="J96" s="57"/>
    </row>
    <row r="97" spans="1:10" ht="12" customHeight="1" x14ac:dyDescent="0.25">
      <c r="A97" s="55">
        <v>2010</v>
      </c>
      <c r="B97" s="55" t="s">
        <v>15</v>
      </c>
      <c r="C97" s="57"/>
      <c r="D97" s="57"/>
      <c r="E97" s="57"/>
      <c r="F97" s="57"/>
      <c r="G97" s="57"/>
      <c r="H97" s="57"/>
      <c r="I97" s="57"/>
      <c r="J97" s="57"/>
    </row>
    <row r="98" spans="1:10" ht="12" customHeight="1" x14ac:dyDescent="0.25">
      <c r="A98" s="55">
        <v>2011</v>
      </c>
      <c r="B98" s="55" t="s">
        <v>3</v>
      </c>
      <c r="C98" s="57"/>
      <c r="D98" s="57"/>
      <c r="E98" s="57"/>
      <c r="F98" s="57"/>
      <c r="G98" s="57"/>
      <c r="H98" s="57"/>
      <c r="I98" s="57"/>
      <c r="J98" s="57"/>
    </row>
    <row r="99" spans="1:10" ht="12" customHeight="1" x14ac:dyDescent="0.25">
      <c r="A99" s="55">
        <v>2011</v>
      </c>
      <c r="B99" s="55" t="s">
        <v>4</v>
      </c>
      <c r="C99" s="57"/>
      <c r="D99" s="57"/>
      <c r="E99" s="57"/>
      <c r="F99" s="57"/>
      <c r="G99" s="57"/>
      <c r="H99" s="57"/>
      <c r="I99" s="57"/>
      <c r="J99" s="57"/>
    </row>
    <row r="100" spans="1:10" ht="12" customHeight="1" x14ac:dyDescent="0.25">
      <c r="A100" s="55">
        <v>2011</v>
      </c>
      <c r="B100" s="55" t="s">
        <v>5</v>
      </c>
      <c r="C100" s="57"/>
      <c r="D100" s="57"/>
      <c r="E100" s="57"/>
      <c r="F100" s="57"/>
      <c r="G100" s="57"/>
      <c r="H100" s="57"/>
      <c r="I100" s="57"/>
      <c r="J100" s="57"/>
    </row>
    <row r="101" spans="1:10" ht="12" customHeight="1" x14ac:dyDescent="0.25">
      <c r="A101" s="55">
        <v>2011</v>
      </c>
      <c r="B101" s="55" t="s">
        <v>6</v>
      </c>
      <c r="C101" s="57"/>
      <c r="D101" s="57"/>
      <c r="E101" s="57"/>
      <c r="F101" s="57"/>
      <c r="G101" s="57"/>
      <c r="H101" s="57"/>
      <c r="I101" s="57"/>
      <c r="J101" s="57"/>
    </row>
    <row r="102" spans="1:10" ht="12" customHeight="1" x14ac:dyDescent="0.25">
      <c r="A102" s="55">
        <v>2011</v>
      </c>
      <c r="B102" s="55" t="s">
        <v>7</v>
      </c>
      <c r="C102" s="57"/>
      <c r="D102" s="57"/>
      <c r="E102" s="57"/>
      <c r="F102" s="57"/>
      <c r="G102" s="57"/>
      <c r="H102" s="57"/>
      <c r="I102" s="57"/>
      <c r="J102" s="57"/>
    </row>
    <row r="103" spans="1:10" ht="12" customHeight="1" x14ac:dyDescent="0.25">
      <c r="A103" s="55">
        <v>2011</v>
      </c>
      <c r="B103" s="55" t="s">
        <v>8</v>
      </c>
      <c r="C103" s="57"/>
      <c r="D103" s="57"/>
      <c r="E103" s="57"/>
      <c r="F103" s="57"/>
      <c r="G103" s="57"/>
      <c r="H103" s="57"/>
      <c r="I103" s="57"/>
      <c r="J103" s="57"/>
    </row>
    <row r="104" spans="1:10" ht="12" customHeight="1" x14ac:dyDescent="0.25">
      <c r="A104" s="55">
        <v>2011</v>
      </c>
      <c r="B104" s="55" t="s">
        <v>9</v>
      </c>
      <c r="C104" s="57"/>
      <c r="D104" s="57"/>
      <c r="E104" s="57"/>
      <c r="F104" s="57"/>
      <c r="G104" s="57"/>
      <c r="H104" s="57"/>
      <c r="I104" s="57"/>
      <c r="J104" s="57"/>
    </row>
    <row r="105" spans="1:10" ht="12" customHeight="1" x14ac:dyDescent="0.25">
      <c r="A105" s="55">
        <v>2011</v>
      </c>
      <c r="B105" s="55" t="s">
        <v>10</v>
      </c>
      <c r="C105" s="57"/>
      <c r="D105" s="57"/>
      <c r="E105" s="57"/>
      <c r="F105" s="57"/>
      <c r="G105" s="57"/>
      <c r="H105" s="57"/>
      <c r="I105" s="57"/>
      <c r="J105" s="57"/>
    </row>
    <row r="106" spans="1:10" ht="12" customHeight="1" x14ac:dyDescent="0.25">
      <c r="A106" s="55">
        <v>2011</v>
      </c>
      <c r="B106" s="55" t="s">
        <v>11</v>
      </c>
      <c r="C106" s="57"/>
      <c r="D106" s="57"/>
      <c r="E106" s="57"/>
      <c r="F106" s="57"/>
      <c r="G106" s="57"/>
      <c r="H106" s="57"/>
      <c r="I106" s="57"/>
      <c r="J106" s="57"/>
    </row>
    <row r="107" spans="1:10" ht="12" customHeight="1" x14ac:dyDescent="0.25">
      <c r="A107" s="55">
        <v>2011</v>
      </c>
      <c r="B107" s="55" t="s">
        <v>12</v>
      </c>
      <c r="C107" s="57"/>
      <c r="D107" s="57"/>
      <c r="E107" s="57"/>
      <c r="F107" s="57"/>
      <c r="G107" s="57"/>
      <c r="H107" s="57"/>
      <c r="I107" s="57"/>
      <c r="J107" s="57"/>
    </row>
    <row r="108" spans="1:10" ht="12" customHeight="1" x14ac:dyDescent="0.25">
      <c r="A108" s="55">
        <v>2011</v>
      </c>
      <c r="B108" s="55" t="s">
        <v>13</v>
      </c>
      <c r="C108" s="57"/>
      <c r="D108" s="57"/>
      <c r="E108" s="57"/>
      <c r="F108" s="57"/>
      <c r="G108" s="57"/>
      <c r="H108" s="57"/>
      <c r="I108" s="57"/>
      <c r="J108" s="57"/>
    </row>
    <row r="109" spans="1:10" ht="12" customHeight="1" x14ac:dyDescent="0.25">
      <c r="A109" s="55">
        <v>2011</v>
      </c>
      <c r="B109" s="55" t="s">
        <v>14</v>
      </c>
      <c r="C109" s="57"/>
      <c r="D109" s="57"/>
      <c r="E109" s="57"/>
      <c r="F109" s="57"/>
      <c r="G109" s="57"/>
      <c r="H109" s="57"/>
      <c r="I109" s="57"/>
      <c r="J109" s="57"/>
    </row>
    <row r="110" spans="1:10" ht="12" customHeight="1" x14ac:dyDescent="0.25">
      <c r="A110" s="55">
        <v>2011</v>
      </c>
      <c r="B110" s="55" t="s">
        <v>15</v>
      </c>
      <c r="C110" s="57"/>
      <c r="D110" s="57"/>
      <c r="E110" s="57"/>
      <c r="F110" s="57"/>
      <c r="G110" s="57"/>
      <c r="H110" s="57"/>
      <c r="I110" s="57"/>
      <c r="J110" s="57"/>
    </row>
    <row r="111" spans="1:10" ht="12" customHeight="1" x14ac:dyDescent="0.25">
      <c r="A111" s="55">
        <v>2012</v>
      </c>
      <c r="B111" s="55" t="s">
        <v>3</v>
      </c>
      <c r="C111" s="57"/>
      <c r="D111" s="57"/>
      <c r="E111" s="57"/>
      <c r="F111" s="57"/>
      <c r="G111" s="57"/>
      <c r="H111" s="57"/>
      <c r="I111" s="57"/>
      <c r="J111" s="57"/>
    </row>
    <row r="112" spans="1:10" ht="12" customHeight="1" x14ac:dyDescent="0.25">
      <c r="A112" s="55">
        <v>2012</v>
      </c>
      <c r="B112" s="55" t="s">
        <v>4</v>
      </c>
      <c r="C112" s="57"/>
      <c r="D112" s="57"/>
      <c r="E112" s="57"/>
      <c r="F112" s="57"/>
      <c r="G112" s="57"/>
      <c r="H112" s="57"/>
      <c r="I112" s="57"/>
      <c r="J112" s="57"/>
    </row>
    <row r="113" spans="1:10" ht="12" customHeight="1" x14ac:dyDescent="0.25">
      <c r="A113" s="55">
        <v>2012</v>
      </c>
      <c r="B113" s="55" t="s">
        <v>5</v>
      </c>
      <c r="C113" s="57"/>
      <c r="D113" s="57"/>
      <c r="E113" s="57"/>
      <c r="F113" s="57"/>
      <c r="G113" s="57"/>
      <c r="H113" s="57"/>
      <c r="I113" s="57"/>
      <c r="J113" s="57"/>
    </row>
    <row r="114" spans="1:10" ht="12" customHeight="1" x14ac:dyDescent="0.25">
      <c r="A114" s="55">
        <v>2012</v>
      </c>
      <c r="B114" s="55" t="s">
        <v>6</v>
      </c>
      <c r="C114" s="57"/>
      <c r="D114" s="57"/>
      <c r="E114" s="57"/>
      <c r="F114" s="57"/>
      <c r="G114" s="57"/>
      <c r="H114" s="57"/>
      <c r="I114" s="57"/>
      <c r="J114" s="57"/>
    </row>
    <row r="115" spans="1:10" ht="12" customHeight="1" x14ac:dyDescent="0.25">
      <c r="A115" s="55">
        <v>2012</v>
      </c>
      <c r="B115" s="55" t="s">
        <v>7</v>
      </c>
      <c r="C115" s="57"/>
      <c r="D115" s="57"/>
      <c r="E115" s="57"/>
      <c r="F115" s="57"/>
      <c r="G115" s="57"/>
      <c r="H115" s="57"/>
      <c r="I115" s="57"/>
      <c r="J115" s="57"/>
    </row>
    <row r="116" spans="1:10" ht="12" customHeight="1" x14ac:dyDescent="0.25">
      <c r="A116" s="55">
        <v>2012</v>
      </c>
      <c r="B116" s="55" t="s">
        <v>8</v>
      </c>
      <c r="C116" s="57"/>
      <c r="D116" s="57"/>
      <c r="E116" s="57"/>
      <c r="F116" s="57"/>
      <c r="G116" s="57"/>
      <c r="H116" s="57"/>
      <c r="I116" s="57"/>
      <c r="J116" s="57"/>
    </row>
    <row r="117" spans="1:10" ht="12" customHeight="1" x14ac:dyDescent="0.25">
      <c r="A117" s="55">
        <v>2012</v>
      </c>
      <c r="B117" s="55" t="s">
        <v>9</v>
      </c>
      <c r="C117" s="57"/>
      <c r="D117" s="57"/>
      <c r="E117" s="57"/>
      <c r="F117" s="57"/>
      <c r="G117" s="57"/>
      <c r="H117" s="57"/>
      <c r="I117" s="57"/>
      <c r="J117" s="57"/>
    </row>
    <row r="118" spans="1:10" ht="12" customHeight="1" x14ac:dyDescent="0.25">
      <c r="A118" s="55">
        <v>2012</v>
      </c>
      <c r="B118" s="55" t="s">
        <v>10</v>
      </c>
      <c r="C118" s="57"/>
      <c r="D118" s="57"/>
      <c r="E118" s="57"/>
      <c r="F118" s="57"/>
      <c r="G118" s="57"/>
      <c r="H118" s="57"/>
      <c r="I118" s="57"/>
      <c r="J118" s="57"/>
    </row>
    <row r="119" spans="1:10" ht="12" customHeight="1" x14ac:dyDescent="0.25">
      <c r="A119" s="55">
        <v>2012</v>
      </c>
      <c r="B119" s="55" t="s">
        <v>11</v>
      </c>
      <c r="C119" s="57"/>
      <c r="D119" s="57"/>
      <c r="E119" s="57"/>
      <c r="F119" s="57"/>
      <c r="G119" s="57"/>
      <c r="H119" s="57"/>
      <c r="I119" s="57"/>
      <c r="J119" s="57"/>
    </row>
    <row r="120" spans="1:10" ht="12" customHeight="1" x14ac:dyDescent="0.25">
      <c r="A120" s="55">
        <v>2012</v>
      </c>
      <c r="B120" s="55" t="s">
        <v>12</v>
      </c>
      <c r="C120" s="57"/>
      <c r="D120" s="57"/>
      <c r="E120" s="57"/>
      <c r="F120" s="57"/>
      <c r="G120" s="57"/>
      <c r="H120" s="57"/>
      <c r="I120" s="57"/>
      <c r="J120" s="57"/>
    </row>
    <row r="121" spans="1:10" ht="12" customHeight="1" x14ac:dyDescent="0.25">
      <c r="A121" s="55">
        <v>2012</v>
      </c>
      <c r="B121" s="55" t="s">
        <v>13</v>
      </c>
      <c r="C121" s="57"/>
      <c r="D121" s="57"/>
      <c r="E121" s="57"/>
      <c r="F121" s="57"/>
      <c r="G121" s="57"/>
      <c r="H121" s="57"/>
      <c r="I121" s="57"/>
      <c r="J121" s="57"/>
    </row>
    <row r="122" spans="1:10" ht="12" customHeight="1" x14ac:dyDescent="0.25">
      <c r="A122" s="55">
        <v>2012</v>
      </c>
      <c r="B122" s="55" t="s">
        <v>14</v>
      </c>
      <c r="C122" s="57"/>
      <c r="D122" s="57"/>
      <c r="E122" s="57"/>
      <c r="F122" s="57"/>
      <c r="G122" s="57"/>
      <c r="H122" s="57"/>
      <c r="I122" s="57"/>
      <c r="J122" s="57"/>
    </row>
    <row r="123" spans="1:10" ht="12" customHeight="1" x14ac:dyDescent="0.25">
      <c r="A123" s="55">
        <v>2012</v>
      </c>
      <c r="B123" s="55" t="s">
        <v>15</v>
      </c>
      <c r="C123" s="57"/>
      <c r="D123" s="57"/>
      <c r="E123" s="57"/>
      <c r="F123" s="57"/>
      <c r="G123" s="57"/>
      <c r="H123" s="57"/>
      <c r="I123" s="57"/>
      <c r="J123" s="57"/>
    </row>
    <row r="124" spans="1:10" ht="12" customHeight="1" x14ac:dyDescent="0.25">
      <c r="A124" s="55">
        <v>2013</v>
      </c>
      <c r="B124" s="55" t="s">
        <v>3</v>
      </c>
      <c r="C124" s="57"/>
      <c r="D124" s="57"/>
      <c r="E124" s="57"/>
      <c r="F124" s="57"/>
      <c r="G124" s="57"/>
      <c r="H124" s="57"/>
      <c r="I124" s="57"/>
      <c r="J124" s="57"/>
    </row>
    <row r="125" spans="1:10" ht="12" customHeight="1" x14ac:dyDescent="0.25">
      <c r="A125" s="55">
        <v>2013</v>
      </c>
      <c r="B125" s="55" t="s">
        <v>4</v>
      </c>
      <c r="C125" s="57"/>
      <c r="D125" s="57"/>
      <c r="E125" s="57"/>
      <c r="F125" s="57"/>
      <c r="G125" s="57"/>
      <c r="H125" s="57"/>
      <c r="I125" s="57"/>
      <c r="J125" s="57"/>
    </row>
    <row r="126" spans="1:10" ht="12" customHeight="1" x14ac:dyDescent="0.25">
      <c r="A126" s="55">
        <v>2013</v>
      </c>
      <c r="B126" s="55" t="s">
        <v>5</v>
      </c>
      <c r="C126" s="57"/>
      <c r="D126" s="57"/>
      <c r="E126" s="57"/>
      <c r="F126" s="57"/>
      <c r="G126" s="57"/>
      <c r="H126" s="57"/>
      <c r="I126" s="57"/>
      <c r="J126" s="57"/>
    </row>
    <row r="127" spans="1:10" ht="12" customHeight="1" x14ac:dyDescent="0.25">
      <c r="A127" s="55">
        <v>2013</v>
      </c>
      <c r="B127" s="55" t="s">
        <v>6</v>
      </c>
      <c r="C127" s="57"/>
      <c r="D127" s="57"/>
      <c r="E127" s="57"/>
      <c r="F127" s="57"/>
      <c r="G127" s="57"/>
      <c r="H127" s="57"/>
      <c r="I127" s="57"/>
      <c r="J127" s="57"/>
    </row>
    <row r="128" spans="1:10" ht="12" customHeight="1" x14ac:dyDescent="0.25">
      <c r="A128" s="55">
        <v>2013</v>
      </c>
      <c r="B128" s="55" t="s">
        <v>7</v>
      </c>
      <c r="C128" s="57"/>
      <c r="D128" s="57"/>
      <c r="E128" s="57"/>
      <c r="F128" s="57"/>
      <c r="G128" s="57"/>
      <c r="H128" s="57"/>
      <c r="I128" s="57"/>
      <c r="J128" s="57"/>
    </row>
    <row r="129" spans="1:10" ht="12" customHeight="1" x14ac:dyDescent="0.25">
      <c r="A129" s="55">
        <v>2013</v>
      </c>
      <c r="B129" s="55" t="s">
        <v>8</v>
      </c>
      <c r="C129" s="57"/>
      <c r="D129" s="57"/>
      <c r="E129" s="57"/>
      <c r="F129" s="57"/>
      <c r="G129" s="57"/>
      <c r="H129" s="57"/>
      <c r="I129" s="57"/>
      <c r="J129" s="57"/>
    </row>
    <row r="130" spans="1:10" ht="12" customHeight="1" x14ac:dyDescent="0.25">
      <c r="A130" s="55">
        <v>2013</v>
      </c>
      <c r="B130" s="55" t="s">
        <v>9</v>
      </c>
      <c r="C130" s="57"/>
      <c r="D130" s="57"/>
      <c r="E130" s="57"/>
      <c r="F130" s="57"/>
      <c r="G130" s="57"/>
      <c r="H130" s="57"/>
      <c r="I130" s="57"/>
      <c r="J130" s="57"/>
    </row>
    <row r="131" spans="1:10" ht="12" customHeight="1" x14ac:dyDescent="0.25">
      <c r="A131" s="55">
        <v>2013</v>
      </c>
      <c r="B131" s="55" t="s">
        <v>10</v>
      </c>
      <c r="C131" s="57"/>
      <c r="D131" s="57"/>
      <c r="E131" s="57"/>
      <c r="F131" s="57"/>
      <c r="G131" s="57"/>
      <c r="H131" s="57"/>
      <c r="I131" s="57"/>
      <c r="J131" s="57"/>
    </row>
    <row r="132" spans="1:10" ht="12" customHeight="1" x14ac:dyDescent="0.25">
      <c r="A132" s="55">
        <v>2013</v>
      </c>
      <c r="B132" s="55" t="s">
        <v>11</v>
      </c>
      <c r="C132" s="57"/>
      <c r="D132" s="57"/>
      <c r="E132" s="57"/>
      <c r="F132" s="57"/>
      <c r="G132" s="57"/>
      <c r="H132" s="57"/>
      <c r="I132" s="57"/>
      <c r="J132" s="57"/>
    </row>
    <row r="133" spans="1:10" ht="12" customHeight="1" x14ac:dyDescent="0.25">
      <c r="A133" s="55">
        <v>2013</v>
      </c>
      <c r="B133" s="55" t="s">
        <v>12</v>
      </c>
      <c r="C133" s="57"/>
      <c r="D133" s="57"/>
      <c r="E133" s="57"/>
      <c r="F133" s="57"/>
      <c r="G133" s="57"/>
      <c r="H133" s="57"/>
      <c r="I133" s="57"/>
      <c r="J133" s="57"/>
    </row>
    <row r="134" spans="1:10" ht="12" customHeight="1" x14ac:dyDescent="0.25">
      <c r="A134" s="55">
        <v>2013</v>
      </c>
      <c r="B134" s="55" t="s">
        <v>13</v>
      </c>
      <c r="C134" s="57"/>
      <c r="D134" s="57"/>
      <c r="E134" s="57"/>
      <c r="F134" s="57"/>
      <c r="G134" s="57"/>
      <c r="H134" s="57"/>
      <c r="I134" s="57"/>
      <c r="J134" s="57"/>
    </row>
    <row r="135" spans="1:10" ht="12" customHeight="1" x14ac:dyDescent="0.25">
      <c r="A135" s="55">
        <v>2013</v>
      </c>
      <c r="B135" s="55" t="s">
        <v>14</v>
      </c>
      <c r="C135" s="57"/>
      <c r="D135" s="57"/>
      <c r="E135" s="57"/>
      <c r="F135" s="57"/>
      <c r="G135" s="57"/>
      <c r="H135" s="57"/>
      <c r="I135" s="57"/>
      <c r="J135" s="57"/>
    </row>
    <row r="136" spans="1:10" ht="12" customHeight="1" x14ac:dyDescent="0.25">
      <c r="A136" s="55">
        <v>2013</v>
      </c>
      <c r="B136" s="55" t="s">
        <v>15</v>
      </c>
      <c r="C136" s="57"/>
      <c r="D136" s="57"/>
      <c r="E136" s="57"/>
      <c r="F136" s="57"/>
      <c r="G136" s="57"/>
      <c r="H136" s="57"/>
      <c r="I136" s="57"/>
      <c r="J136" s="57"/>
    </row>
    <row r="137" spans="1:10" ht="12" customHeight="1" x14ac:dyDescent="0.25">
      <c r="A137" s="55">
        <v>2014</v>
      </c>
      <c r="B137" s="55" t="s">
        <v>3</v>
      </c>
      <c r="C137" s="57">
        <v>0</v>
      </c>
      <c r="D137" s="57"/>
      <c r="E137" s="57"/>
      <c r="F137" s="57"/>
      <c r="G137" s="57">
        <v>0</v>
      </c>
      <c r="H137" s="57"/>
      <c r="I137" s="57">
        <v>0</v>
      </c>
      <c r="J137" s="57"/>
    </row>
    <row r="138" spans="1:10" ht="12" customHeight="1" x14ac:dyDescent="0.25">
      <c r="A138" s="55">
        <v>2014</v>
      </c>
      <c r="B138" s="55" t="s">
        <v>4</v>
      </c>
      <c r="C138" s="57">
        <v>0</v>
      </c>
      <c r="D138" s="57"/>
      <c r="E138" s="57"/>
      <c r="F138" s="57"/>
      <c r="G138" s="57">
        <v>0</v>
      </c>
      <c r="H138" s="57"/>
      <c r="I138" s="57">
        <v>0</v>
      </c>
      <c r="J138" s="57"/>
    </row>
    <row r="139" spans="1:10" ht="12" customHeight="1" x14ac:dyDescent="0.25">
      <c r="A139" s="55">
        <v>2014</v>
      </c>
      <c r="B139" s="55" t="s">
        <v>5</v>
      </c>
      <c r="C139" s="57">
        <v>0</v>
      </c>
      <c r="D139" s="57"/>
      <c r="E139" s="57"/>
      <c r="F139" s="57"/>
      <c r="G139" s="57">
        <v>0</v>
      </c>
      <c r="H139" s="57"/>
      <c r="I139" s="57">
        <v>0</v>
      </c>
      <c r="J139" s="57"/>
    </row>
    <row r="140" spans="1:10" ht="12" customHeight="1" x14ac:dyDescent="0.25">
      <c r="A140" s="55">
        <v>2014</v>
      </c>
      <c r="B140" s="55" t="s">
        <v>6</v>
      </c>
      <c r="C140" s="57">
        <v>0</v>
      </c>
      <c r="D140" s="57"/>
      <c r="E140" s="57"/>
      <c r="F140" s="57"/>
      <c r="G140" s="57">
        <v>0</v>
      </c>
      <c r="H140" s="57"/>
      <c r="I140" s="57">
        <v>0</v>
      </c>
      <c r="J140" s="57"/>
    </row>
    <row r="141" spans="1:10" ht="12" customHeight="1" x14ac:dyDescent="0.25">
      <c r="A141" s="55">
        <v>2014</v>
      </c>
      <c r="B141" s="55" t="s">
        <v>7</v>
      </c>
      <c r="C141" s="57">
        <v>0</v>
      </c>
      <c r="D141" s="57"/>
      <c r="E141" s="57"/>
      <c r="F141" s="57"/>
      <c r="G141" s="57">
        <v>0</v>
      </c>
      <c r="H141" s="57"/>
      <c r="I141" s="57">
        <v>0</v>
      </c>
      <c r="J141" s="57"/>
    </row>
    <row r="142" spans="1:10" ht="12" customHeight="1" x14ac:dyDescent="0.25">
      <c r="A142" s="55">
        <v>2014</v>
      </c>
      <c r="B142" s="55" t="s">
        <v>8</v>
      </c>
      <c r="C142" s="57">
        <v>0</v>
      </c>
      <c r="D142" s="57"/>
      <c r="E142" s="57"/>
      <c r="F142" s="57"/>
      <c r="G142" s="57">
        <v>0</v>
      </c>
      <c r="H142" s="57"/>
      <c r="I142" s="57">
        <v>0</v>
      </c>
      <c r="J142" s="57"/>
    </row>
    <row r="143" spans="1:10" ht="12" customHeight="1" x14ac:dyDescent="0.25">
      <c r="A143" s="55">
        <v>2014</v>
      </c>
      <c r="B143" s="55" t="s">
        <v>9</v>
      </c>
      <c r="C143" s="57">
        <v>0</v>
      </c>
      <c r="D143" s="57"/>
      <c r="E143" s="57"/>
      <c r="F143" s="57"/>
      <c r="G143" s="57">
        <v>0</v>
      </c>
      <c r="H143" s="57"/>
      <c r="I143" s="57">
        <v>0</v>
      </c>
      <c r="J143" s="57"/>
    </row>
    <row r="144" spans="1:10" ht="12" customHeight="1" x14ac:dyDescent="0.25">
      <c r="A144" s="55">
        <v>2014</v>
      </c>
      <c r="B144" s="55" t="s">
        <v>10</v>
      </c>
      <c r="C144" s="57">
        <v>0</v>
      </c>
      <c r="D144" s="57"/>
      <c r="E144" s="57"/>
      <c r="F144" s="57"/>
      <c r="G144" s="57">
        <v>0</v>
      </c>
      <c r="H144" s="57"/>
      <c r="I144" s="57">
        <v>0</v>
      </c>
      <c r="J144" s="57"/>
    </row>
    <row r="145" spans="1:10" ht="12" customHeight="1" x14ac:dyDescent="0.25">
      <c r="A145" s="55">
        <v>2014</v>
      </c>
      <c r="B145" s="55" t="s">
        <v>11</v>
      </c>
      <c r="C145" s="57">
        <v>0</v>
      </c>
      <c r="D145" s="57"/>
      <c r="E145" s="57"/>
      <c r="F145" s="57"/>
      <c r="G145" s="57">
        <v>0</v>
      </c>
      <c r="H145" s="57"/>
      <c r="I145" s="57">
        <v>0</v>
      </c>
      <c r="J145" s="57"/>
    </row>
    <row r="146" spans="1:10" ht="12" customHeight="1" x14ac:dyDescent="0.25">
      <c r="A146" s="55">
        <v>2014</v>
      </c>
      <c r="B146" s="55" t="s">
        <v>12</v>
      </c>
      <c r="C146" s="57">
        <v>0</v>
      </c>
      <c r="D146" s="57"/>
      <c r="E146" s="57"/>
      <c r="F146" s="57"/>
      <c r="G146" s="57">
        <v>0</v>
      </c>
      <c r="H146" s="57"/>
      <c r="I146" s="57">
        <v>0</v>
      </c>
      <c r="J146" s="57"/>
    </row>
    <row r="147" spans="1:10" ht="12" customHeight="1" x14ac:dyDescent="0.25">
      <c r="A147" s="55">
        <v>2014</v>
      </c>
      <c r="B147" s="55" t="s">
        <v>13</v>
      </c>
      <c r="C147" s="57">
        <v>0</v>
      </c>
      <c r="D147" s="57"/>
      <c r="E147" s="57"/>
      <c r="F147" s="57"/>
      <c r="G147" s="57">
        <v>0</v>
      </c>
      <c r="H147" s="57"/>
      <c r="I147" s="57">
        <v>0</v>
      </c>
      <c r="J147" s="57"/>
    </row>
    <row r="148" spans="1:10" ht="12" customHeight="1" x14ac:dyDescent="0.25">
      <c r="A148" s="55">
        <v>2014</v>
      </c>
      <c r="B148" s="55" t="s">
        <v>14</v>
      </c>
      <c r="C148" s="57">
        <v>0</v>
      </c>
      <c r="D148" s="57"/>
      <c r="E148" s="57"/>
      <c r="F148" s="57"/>
      <c r="G148" s="57">
        <v>0</v>
      </c>
      <c r="H148" s="57"/>
      <c r="I148" s="57">
        <v>0</v>
      </c>
      <c r="J148" s="57"/>
    </row>
    <row r="149" spans="1:10" ht="12" customHeight="1" x14ac:dyDescent="0.25">
      <c r="A149" s="55">
        <v>2014</v>
      </c>
      <c r="B149" s="55" t="s">
        <v>15</v>
      </c>
      <c r="C149" s="57">
        <v>0</v>
      </c>
      <c r="D149" s="57">
        <v>0</v>
      </c>
      <c r="E149" s="57"/>
      <c r="F149" s="57"/>
      <c r="G149" s="57">
        <v>0</v>
      </c>
      <c r="H149" s="57"/>
      <c r="I149" s="57">
        <v>0</v>
      </c>
      <c r="J149" s="57"/>
    </row>
    <row r="150" spans="1:10" ht="12" customHeight="1" x14ac:dyDescent="0.25">
      <c r="A150" s="55">
        <v>2015</v>
      </c>
      <c r="B150" s="55" t="s">
        <v>3</v>
      </c>
      <c r="C150" s="57">
        <v>0</v>
      </c>
      <c r="D150" s="57"/>
      <c r="E150" s="57"/>
      <c r="F150" s="57"/>
      <c r="G150" s="57">
        <v>0</v>
      </c>
      <c r="H150" s="57"/>
      <c r="I150" s="57">
        <v>0</v>
      </c>
      <c r="J150" s="57"/>
    </row>
    <row r="151" spans="1:10" ht="12" customHeight="1" x14ac:dyDescent="0.25">
      <c r="A151" s="55">
        <v>2015</v>
      </c>
      <c r="B151" s="55" t="s">
        <v>4</v>
      </c>
      <c r="C151" s="57">
        <v>0</v>
      </c>
      <c r="D151" s="57"/>
      <c r="E151" s="57"/>
      <c r="F151" s="57"/>
      <c r="G151" s="57">
        <v>0</v>
      </c>
      <c r="H151" s="57"/>
      <c r="I151" s="57">
        <v>0</v>
      </c>
      <c r="J151" s="57"/>
    </row>
    <row r="152" spans="1:10" ht="12" customHeight="1" x14ac:dyDescent="0.25">
      <c r="A152" s="55">
        <v>2015</v>
      </c>
      <c r="B152" s="55" t="s">
        <v>5</v>
      </c>
      <c r="C152" s="57">
        <v>0</v>
      </c>
      <c r="D152" s="57"/>
      <c r="E152" s="57"/>
      <c r="F152" s="57"/>
      <c r="G152" s="57">
        <v>0</v>
      </c>
      <c r="H152" s="57"/>
      <c r="I152" s="57">
        <v>0</v>
      </c>
      <c r="J152" s="57"/>
    </row>
    <row r="153" spans="1:10" ht="12" customHeight="1" x14ac:dyDescent="0.25">
      <c r="A153" s="55">
        <v>2015</v>
      </c>
      <c r="B153" s="55" t="s">
        <v>6</v>
      </c>
      <c r="C153" s="57">
        <v>0</v>
      </c>
      <c r="D153" s="57"/>
      <c r="E153" s="57"/>
      <c r="F153" s="57"/>
      <c r="G153" s="57">
        <v>0</v>
      </c>
      <c r="H153" s="57"/>
      <c r="I153" s="57">
        <v>0</v>
      </c>
      <c r="J153" s="57"/>
    </row>
    <row r="154" spans="1:10" ht="12" customHeight="1" x14ac:dyDescent="0.25">
      <c r="A154" s="55">
        <v>2015</v>
      </c>
      <c r="B154" s="55" t="s">
        <v>7</v>
      </c>
      <c r="C154" s="57">
        <v>0</v>
      </c>
      <c r="D154" s="57"/>
      <c r="E154" s="57"/>
      <c r="F154" s="57"/>
      <c r="G154" s="57">
        <v>0</v>
      </c>
      <c r="H154" s="57"/>
      <c r="I154" s="57">
        <v>0</v>
      </c>
      <c r="J154" s="57"/>
    </row>
    <row r="155" spans="1:10" ht="12" customHeight="1" x14ac:dyDescent="0.25">
      <c r="A155" s="55">
        <v>2015</v>
      </c>
      <c r="B155" s="55" t="s">
        <v>8</v>
      </c>
      <c r="C155" s="57">
        <v>0</v>
      </c>
      <c r="D155" s="57"/>
      <c r="E155" s="57"/>
      <c r="F155" s="57"/>
      <c r="G155" s="57">
        <v>0</v>
      </c>
      <c r="H155" s="57"/>
      <c r="I155" s="57">
        <v>0</v>
      </c>
      <c r="J155" s="57"/>
    </row>
    <row r="156" spans="1:10" ht="12" customHeight="1" x14ac:dyDescent="0.25">
      <c r="A156" s="55">
        <v>2015</v>
      </c>
      <c r="B156" s="55" t="s">
        <v>9</v>
      </c>
      <c r="C156" s="57">
        <v>0</v>
      </c>
      <c r="D156" s="57"/>
      <c r="E156" s="57"/>
      <c r="F156" s="57"/>
      <c r="G156" s="57">
        <v>0</v>
      </c>
      <c r="H156" s="57"/>
      <c r="I156" s="57">
        <v>0</v>
      </c>
      <c r="J156" s="57"/>
    </row>
    <row r="157" spans="1:10" ht="12" customHeight="1" x14ac:dyDescent="0.25">
      <c r="A157" s="55">
        <v>2015</v>
      </c>
      <c r="B157" s="55" t="s">
        <v>10</v>
      </c>
      <c r="C157" s="57">
        <v>0</v>
      </c>
      <c r="D157" s="57"/>
      <c r="E157" s="57"/>
      <c r="F157" s="57"/>
      <c r="G157" s="57">
        <v>0</v>
      </c>
      <c r="H157" s="57"/>
      <c r="I157" s="57">
        <v>0</v>
      </c>
      <c r="J157" s="57"/>
    </row>
    <row r="158" spans="1:10" ht="12" customHeight="1" x14ac:dyDescent="0.25">
      <c r="A158" s="55">
        <v>2015</v>
      </c>
      <c r="B158" s="55" t="s">
        <v>11</v>
      </c>
      <c r="C158" s="57">
        <v>0</v>
      </c>
      <c r="D158" s="57"/>
      <c r="E158" s="57"/>
      <c r="F158" s="57"/>
      <c r="G158" s="57">
        <v>0</v>
      </c>
      <c r="H158" s="57"/>
      <c r="I158" s="57">
        <v>0</v>
      </c>
      <c r="J158" s="57"/>
    </row>
    <row r="159" spans="1:10" ht="12" customHeight="1" x14ac:dyDescent="0.25">
      <c r="A159" s="55">
        <v>2015</v>
      </c>
      <c r="B159" s="55" t="s">
        <v>12</v>
      </c>
      <c r="C159" s="57">
        <v>0</v>
      </c>
      <c r="D159" s="57"/>
      <c r="E159" s="57"/>
      <c r="F159" s="57"/>
      <c r="G159" s="57">
        <v>0</v>
      </c>
      <c r="H159" s="57"/>
      <c r="I159" s="57">
        <v>0</v>
      </c>
      <c r="J159" s="57"/>
    </row>
    <row r="160" spans="1:10" ht="12" customHeight="1" x14ac:dyDescent="0.25">
      <c r="A160" s="55">
        <v>2015</v>
      </c>
      <c r="B160" s="55" t="s">
        <v>13</v>
      </c>
      <c r="C160" s="57">
        <v>0</v>
      </c>
      <c r="D160" s="57"/>
      <c r="E160" s="57"/>
      <c r="F160" s="57"/>
      <c r="G160" s="57">
        <v>0</v>
      </c>
      <c r="H160" s="57"/>
      <c r="I160" s="57">
        <v>0</v>
      </c>
      <c r="J160" s="57"/>
    </row>
    <row r="161" spans="1:10" ht="12" customHeight="1" x14ac:dyDescent="0.25">
      <c r="A161" s="55">
        <v>2015</v>
      </c>
      <c r="B161" s="55" t="s">
        <v>14</v>
      </c>
      <c r="C161" s="57">
        <v>0</v>
      </c>
      <c r="D161" s="57"/>
      <c r="E161" s="57"/>
      <c r="F161" s="57"/>
      <c r="G161" s="57">
        <v>0</v>
      </c>
      <c r="H161" s="57"/>
      <c r="I161" s="57">
        <v>0</v>
      </c>
      <c r="J161" s="57"/>
    </row>
    <row r="162" spans="1:10" ht="12" customHeight="1" x14ac:dyDescent="0.25">
      <c r="A162" s="55">
        <v>2015</v>
      </c>
      <c r="B162" s="55" t="s">
        <v>15</v>
      </c>
      <c r="C162" s="57">
        <v>0</v>
      </c>
      <c r="D162" s="57">
        <v>0</v>
      </c>
      <c r="E162" s="57"/>
      <c r="F162" s="57"/>
      <c r="G162" s="57">
        <v>0</v>
      </c>
      <c r="H162" s="57"/>
      <c r="I162" s="57">
        <v>0</v>
      </c>
      <c r="J162" s="57"/>
    </row>
    <row r="163" spans="1:10" ht="12" customHeight="1" x14ac:dyDescent="0.25">
      <c r="A163" s="55">
        <v>2016</v>
      </c>
      <c r="B163" s="55" t="s">
        <v>3</v>
      </c>
      <c r="C163" s="57">
        <v>0</v>
      </c>
      <c r="D163" s="57"/>
      <c r="E163" s="57"/>
      <c r="F163" s="57"/>
      <c r="G163" s="57">
        <v>0</v>
      </c>
      <c r="H163" s="57"/>
      <c r="I163" s="57">
        <v>0</v>
      </c>
      <c r="J163" s="57"/>
    </row>
    <row r="164" spans="1:10" ht="12" customHeight="1" x14ac:dyDescent="0.25">
      <c r="A164" s="55">
        <v>2016</v>
      </c>
      <c r="B164" s="55" t="s">
        <v>4</v>
      </c>
      <c r="C164" s="57">
        <v>0</v>
      </c>
      <c r="D164" s="57"/>
      <c r="E164" s="57"/>
      <c r="F164" s="57"/>
      <c r="G164" s="57">
        <v>0</v>
      </c>
      <c r="H164" s="57"/>
      <c r="I164" s="57">
        <v>0</v>
      </c>
      <c r="J164" s="57"/>
    </row>
    <row r="165" spans="1:10" ht="12" customHeight="1" x14ac:dyDescent="0.25">
      <c r="A165" s="55">
        <v>2016</v>
      </c>
      <c r="B165" s="55" t="s">
        <v>5</v>
      </c>
      <c r="C165" s="57">
        <v>0</v>
      </c>
      <c r="D165" s="57"/>
      <c r="E165" s="57"/>
      <c r="F165" s="57"/>
      <c r="G165" s="57">
        <v>0</v>
      </c>
      <c r="H165" s="57"/>
      <c r="I165" s="57">
        <v>0</v>
      </c>
      <c r="J165" s="57"/>
    </row>
    <row r="166" spans="1:10" ht="12" customHeight="1" x14ac:dyDescent="0.25">
      <c r="A166" s="55">
        <v>2016</v>
      </c>
      <c r="B166" s="55" t="s">
        <v>6</v>
      </c>
      <c r="C166" s="57">
        <v>0</v>
      </c>
      <c r="D166" s="57"/>
      <c r="E166" s="57"/>
      <c r="F166" s="57"/>
      <c r="G166" s="57">
        <v>0</v>
      </c>
      <c r="H166" s="57"/>
      <c r="I166" s="57">
        <v>0</v>
      </c>
      <c r="J166" s="57"/>
    </row>
    <row r="167" spans="1:10" ht="12" customHeight="1" x14ac:dyDescent="0.25">
      <c r="A167" s="55">
        <v>2016</v>
      </c>
      <c r="B167" s="55" t="s">
        <v>7</v>
      </c>
      <c r="C167" s="57">
        <v>0</v>
      </c>
      <c r="D167" s="57"/>
      <c r="E167" s="57"/>
      <c r="F167" s="57"/>
      <c r="G167" s="57">
        <v>0</v>
      </c>
      <c r="H167" s="57"/>
      <c r="I167" s="57">
        <v>0</v>
      </c>
      <c r="J167" s="57"/>
    </row>
    <row r="168" spans="1:10" ht="12" customHeight="1" x14ac:dyDescent="0.25">
      <c r="A168" s="55">
        <v>2016</v>
      </c>
      <c r="B168" s="55" t="s">
        <v>8</v>
      </c>
      <c r="C168" s="57">
        <v>0</v>
      </c>
      <c r="D168" s="57"/>
      <c r="E168" s="57"/>
      <c r="F168" s="57"/>
      <c r="G168" s="57">
        <v>0</v>
      </c>
      <c r="H168" s="57"/>
      <c r="I168" s="57">
        <v>0</v>
      </c>
      <c r="J168" s="57"/>
    </row>
    <row r="169" spans="1:10" ht="12" customHeight="1" x14ac:dyDescent="0.25">
      <c r="A169" s="55">
        <v>2016</v>
      </c>
      <c r="B169" s="55" t="s">
        <v>9</v>
      </c>
      <c r="C169" s="57">
        <v>0</v>
      </c>
      <c r="D169" s="57"/>
      <c r="E169" s="57"/>
      <c r="F169" s="57"/>
      <c r="G169" s="57">
        <v>0</v>
      </c>
      <c r="H169" s="57"/>
      <c r="I169" s="57">
        <v>0</v>
      </c>
      <c r="J169" s="57"/>
    </row>
    <row r="170" spans="1:10" ht="12" customHeight="1" x14ac:dyDescent="0.25">
      <c r="A170" s="55">
        <v>2016</v>
      </c>
      <c r="B170" s="55" t="s">
        <v>10</v>
      </c>
      <c r="C170" s="57">
        <v>0</v>
      </c>
      <c r="D170" s="57"/>
      <c r="E170" s="57"/>
      <c r="F170" s="57"/>
      <c r="G170" s="57">
        <v>0</v>
      </c>
      <c r="H170" s="57"/>
      <c r="I170" s="57">
        <v>0</v>
      </c>
      <c r="J170" s="57"/>
    </row>
    <row r="171" spans="1:10" ht="12" customHeight="1" x14ac:dyDescent="0.25">
      <c r="A171" s="55">
        <v>2016</v>
      </c>
      <c r="B171" s="55" t="s">
        <v>11</v>
      </c>
      <c r="C171" s="57">
        <v>0</v>
      </c>
      <c r="D171" s="57"/>
      <c r="E171" s="57"/>
      <c r="F171" s="57"/>
      <c r="G171" s="57">
        <v>0</v>
      </c>
      <c r="H171" s="57"/>
      <c r="I171" s="57">
        <v>0</v>
      </c>
      <c r="J171" s="57"/>
    </row>
    <row r="172" spans="1:10" ht="12" customHeight="1" x14ac:dyDescent="0.25">
      <c r="A172" s="55">
        <v>2016</v>
      </c>
      <c r="B172" s="55" t="s">
        <v>12</v>
      </c>
      <c r="C172" s="57">
        <v>0</v>
      </c>
      <c r="D172" s="57"/>
      <c r="E172" s="57"/>
      <c r="F172" s="57"/>
      <c r="G172" s="57">
        <v>0</v>
      </c>
      <c r="H172" s="57"/>
      <c r="I172" s="57">
        <v>0</v>
      </c>
      <c r="J172" s="57"/>
    </row>
    <row r="173" spans="1:10" ht="12" customHeight="1" x14ac:dyDescent="0.25">
      <c r="A173" s="55">
        <v>2016</v>
      </c>
      <c r="B173" s="55" t="s">
        <v>13</v>
      </c>
      <c r="C173" s="57">
        <v>0</v>
      </c>
      <c r="D173" s="57"/>
      <c r="E173" s="57"/>
      <c r="F173" s="57"/>
      <c r="G173" s="57">
        <v>0</v>
      </c>
      <c r="H173" s="57"/>
      <c r="I173" s="57">
        <v>0</v>
      </c>
      <c r="J173" s="57"/>
    </row>
    <row r="174" spans="1:10" ht="12" customHeight="1" x14ac:dyDescent="0.25">
      <c r="A174" s="55">
        <v>2016</v>
      </c>
      <c r="B174" s="55" t="s">
        <v>14</v>
      </c>
      <c r="C174" s="57">
        <v>0</v>
      </c>
      <c r="D174" s="57"/>
      <c r="E174" s="57"/>
      <c r="F174" s="57"/>
      <c r="G174" s="57">
        <v>0</v>
      </c>
      <c r="H174" s="57"/>
      <c r="I174" s="57">
        <v>0</v>
      </c>
      <c r="J174" s="57"/>
    </row>
    <row r="175" spans="1:10" ht="12" customHeight="1" x14ac:dyDescent="0.25">
      <c r="A175" s="55">
        <v>2016</v>
      </c>
      <c r="B175" s="55" t="s">
        <v>15</v>
      </c>
      <c r="C175" s="57">
        <v>0</v>
      </c>
      <c r="D175" s="57">
        <v>0</v>
      </c>
      <c r="E175" s="57"/>
      <c r="F175" s="57"/>
      <c r="G175" s="57">
        <v>0</v>
      </c>
      <c r="H175" s="57"/>
      <c r="I175" s="57">
        <v>0</v>
      </c>
      <c r="J175" s="57"/>
    </row>
    <row r="176" spans="1:10" ht="12" customHeight="1" x14ac:dyDescent="0.25">
      <c r="A176" s="55">
        <v>2017</v>
      </c>
      <c r="B176" s="55" t="s">
        <v>3</v>
      </c>
      <c r="C176" s="57">
        <v>0</v>
      </c>
      <c r="D176" s="57"/>
      <c r="E176" s="57"/>
      <c r="F176" s="57"/>
      <c r="G176" s="57">
        <v>0</v>
      </c>
      <c r="H176" s="57">
        <v>0</v>
      </c>
      <c r="I176" s="57">
        <v>0</v>
      </c>
      <c r="J176" s="57"/>
    </row>
    <row r="177" spans="1:10" ht="12" customHeight="1" x14ac:dyDescent="0.25">
      <c r="A177" s="55">
        <v>2017</v>
      </c>
      <c r="B177" s="55" t="s">
        <v>4</v>
      </c>
      <c r="C177" s="57">
        <v>0</v>
      </c>
      <c r="D177" s="57"/>
      <c r="E177" s="57"/>
      <c r="F177" s="57"/>
      <c r="G177" s="57">
        <v>0</v>
      </c>
      <c r="H177" s="57">
        <v>0</v>
      </c>
      <c r="I177" s="57">
        <v>0</v>
      </c>
      <c r="J177" s="57"/>
    </row>
    <row r="178" spans="1:10" ht="12" customHeight="1" x14ac:dyDescent="0.25">
      <c r="A178" s="55">
        <v>2017</v>
      </c>
      <c r="B178" s="55" t="s">
        <v>5</v>
      </c>
      <c r="C178" s="57">
        <v>0</v>
      </c>
      <c r="D178" s="57"/>
      <c r="E178" s="57"/>
      <c r="F178" s="57"/>
      <c r="G178" s="57">
        <v>0</v>
      </c>
      <c r="H178" s="57">
        <v>0</v>
      </c>
      <c r="I178" s="57">
        <v>0</v>
      </c>
      <c r="J178" s="57"/>
    </row>
    <row r="179" spans="1:10" ht="12" customHeight="1" x14ac:dyDescent="0.25">
      <c r="A179" s="55">
        <v>2017</v>
      </c>
      <c r="B179" s="55" t="s">
        <v>6</v>
      </c>
      <c r="C179" s="57">
        <v>0</v>
      </c>
      <c r="D179" s="57"/>
      <c r="E179" s="57"/>
      <c r="F179" s="57"/>
      <c r="G179" s="57">
        <v>0</v>
      </c>
      <c r="H179" s="57">
        <v>0</v>
      </c>
      <c r="I179" s="57">
        <v>0</v>
      </c>
      <c r="J179" s="57"/>
    </row>
    <row r="180" spans="1:10" ht="12" customHeight="1" x14ac:dyDescent="0.25">
      <c r="A180" s="55">
        <v>2017</v>
      </c>
      <c r="B180" s="55" t="s">
        <v>7</v>
      </c>
      <c r="C180" s="57">
        <v>0</v>
      </c>
      <c r="D180" s="57"/>
      <c r="E180" s="57"/>
      <c r="F180" s="57"/>
      <c r="G180" s="57">
        <v>0</v>
      </c>
      <c r="H180" s="57">
        <v>0</v>
      </c>
      <c r="I180" s="57">
        <v>0</v>
      </c>
      <c r="J180" s="57"/>
    </row>
    <row r="181" spans="1:10" ht="12" customHeight="1" x14ac:dyDescent="0.25">
      <c r="A181" s="55">
        <v>2017</v>
      </c>
      <c r="B181" s="55" t="s">
        <v>8</v>
      </c>
      <c r="C181" s="57">
        <v>0</v>
      </c>
      <c r="D181" s="57"/>
      <c r="E181" s="57"/>
      <c r="F181" s="57"/>
      <c r="G181" s="57">
        <v>0</v>
      </c>
      <c r="H181" s="57">
        <v>0</v>
      </c>
      <c r="I181" s="57">
        <v>0</v>
      </c>
      <c r="J181" s="57"/>
    </row>
    <row r="182" spans="1:10" ht="12" customHeight="1" x14ac:dyDescent="0.25">
      <c r="A182" s="55">
        <v>2017</v>
      </c>
      <c r="B182" s="55" t="s">
        <v>9</v>
      </c>
      <c r="C182" s="57">
        <v>0</v>
      </c>
      <c r="D182" s="57"/>
      <c r="E182" s="57"/>
      <c r="F182" s="57"/>
      <c r="G182" s="57">
        <v>0</v>
      </c>
      <c r="H182" s="57">
        <v>0</v>
      </c>
      <c r="I182" s="57">
        <v>0</v>
      </c>
      <c r="J182" s="57"/>
    </row>
    <row r="183" spans="1:10" s="69" customFormat="1" ht="12" customHeight="1" x14ac:dyDescent="0.2">
      <c r="A183" s="55">
        <v>2017</v>
      </c>
      <c r="B183" s="55" t="s">
        <v>10</v>
      </c>
      <c r="C183" s="57">
        <v>0</v>
      </c>
      <c r="D183" s="57"/>
      <c r="E183" s="57"/>
      <c r="F183" s="57"/>
      <c r="G183" s="57">
        <v>0</v>
      </c>
      <c r="H183" s="57">
        <v>0</v>
      </c>
      <c r="I183" s="57">
        <v>0</v>
      </c>
      <c r="J183" s="57"/>
    </row>
    <row r="184" spans="1:10" s="69" customFormat="1" ht="12" customHeight="1" x14ac:dyDescent="0.2">
      <c r="A184" s="55">
        <v>2017</v>
      </c>
      <c r="B184" s="55" t="s">
        <v>11</v>
      </c>
      <c r="C184" s="57">
        <v>0</v>
      </c>
      <c r="D184" s="57"/>
      <c r="E184" s="57"/>
      <c r="F184" s="57"/>
      <c r="G184" s="57">
        <v>0</v>
      </c>
      <c r="H184" s="57">
        <v>0</v>
      </c>
      <c r="I184" s="57">
        <v>0</v>
      </c>
      <c r="J184" s="57"/>
    </row>
    <row r="185" spans="1:10" s="69" customFormat="1" ht="12" customHeight="1" x14ac:dyDescent="0.2">
      <c r="A185" s="55">
        <v>2017</v>
      </c>
      <c r="B185" s="55" t="s">
        <v>12</v>
      </c>
      <c r="C185" s="57">
        <v>0</v>
      </c>
      <c r="D185" s="57"/>
      <c r="E185" s="57"/>
      <c r="F185" s="57"/>
      <c r="G185" s="57">
        <v>0</v>
      </c>
      <c r="H185" s="57">
        <v>0</v>
      </c>
      <c r="I185" s="57">
        <v>0</v>
      </c>
      <c r="J185" s="57"/>
    </row>
    <row r="186" spans="1:10" s="69" customFormat="1" ht="12" customHeight="1" x14ac:dyDescent="0.2">
      <c r="A186" s="55">
        <v>2017</v>
      </c>
      <c r="B186" s="55" t="s">
        <v>13</v>
      </c>
      <c r="C186" s="57">
        <v>0</v>
      </c>
      <c r="D186" s="57"/>
      <c r="E186" s="57"/>
      <c r="F186" s="57"/>
      <c r="G186" s="57">
        <v>0</v>
      </c>
      <c r="H186" s="57">
        <v>0</v>
      </c>
      <c r="I186" s="57">
        <v>0</v>
      </c>
      <c r="J186" s="57"/>
    </row>
    <row r="187" spans="1:10" ht="12" customHeight="1" x14ac:dyDescent="0.25">
      <c r="A187" s="55">
        <v>2017</v>
      </c>
      <c r="B187" s="55" t="s">
        <v>14</v>
      </c>
      <c r="C187" s="57">
        <v>0</v>
      </c>
      <c r="D187" s="57"/>
      <c r="E187" s="57"/>
      <c r="F187" s="57"/>
      <c r="G187" s="57">
        <v>0</v>
      </c>
      <c r="H187" s="57">
        <v>0</v>
      </c>
      <c r="I187" s="57">
        <v>0</v>
      </c>
      <c r="J187" s="57"/>
    </row>
    <row r="188" spans="1:10" ht="12" customHeight="1" x14ac:dyDescent="0.25">
      <c r="A188" s="55">
        <v>2017</v>
      </c>
      <c r="B188" s="55" t="s">
        <v>15</v>
      </c>
      <c r="C188" s="57">
        <v>0</v>
      </c>
      <c r="D188" s="57">
        <v>0</v>
      </c>
      <c r="E188" s="57"/>
      <c r="F188" s="57"/>
      <c r="G188" s="57">
        <v>0</v>
      </c>
      <c r="H188" s="57">
        <v>0</v>
      </c>
      <c r="I188" s="57">
        <v>0</v>
      </c>
      <c r="J188" s="57"/>
    </row>
    <row r="189" spans="1:10" ht="12" customHeight="1" x14ac:dyDescent="0.25">
      <c r="A189" s="55">
        <v>2018</v>
      </c>
      <c r="B189" s="55" t="s">
        <v>3</v>
      </c>
      <c r="C189" s="57">
        <v>0</v>
      </c>
      <c r="D189" s="57"/>
      <c r="E189" s="57"/>
      <c r="F189" s="57"/>
      <c r="G189" s="57">
        <v>0</v>
      </c>
      <c r="H189" s="57">
        <v>0</v>
      </c>
      <c r="I189" s="57">
        <v>0</v>
      </c>
      <c r="J189" s="57">
        <v>0</v>
      </c>
    </row>
    <row r="190" spans="1:10" ht="12" customHeight="1" x14ac:dyDescent="0.25">
      <c r="A190" s="55">
        <v>2018</v>
      </c>
      <c r="B190" s="55" t="s">
        <v>4</v>
      </c>
      <c r="C190" s="57">
        <v>0</v>
      </c>
      <c r="D190" s="57"/>
      <c r="E190" s="57"/>
      <c r="F190" s="57"/>
      <c r="G190" s="57">
        <v>0</v>
      </c>
      <c r="H190" s="57">
        <v>0</v>
      </c>
      <c r="I190" s="57">
        <v>0</v>
      </c>
      <c r="J190" s="57">
        <v>0</v>
      </c>
    </row>
    <row r="191" spans="1:10" ht="12" customHeight="1" x14ac:dyDescent="0.25">
      <c r="A191" s="55">
        <v>2018</v>
      </c>
      <c r="B191" s="55" t="s">
        <v>5</v>
      </c>
      <c r="C191" s="57">
        <v>0</v>
      </c>
      <c r="D191" s="57"/>
      <c r="E191" s="57"/>
      <c r="F191" s="57"/>
      <c r="G191" s="57">
        <v>0</v>
      </c>
      <c r="H191" s="57">
        <v>0</v>
      </c>
      <c r="I191" s="57">
        <v>0</v>
      </c>
      <c r="J191" s="57">
        <v>0</v>
      </c>
    </row>
    <row r="192" spans="1:10" ht="12" customHeight="1" x14ac:dyDescent="0.25">
      <c r="A192" s="55">
        <v>2018</v>
      </c>
      <c r="B192" s="55" t="s">
        <v>6</v>
      </c>
      <c r="C192" s="57">
        <v>0</v>
      </c>
      <c r="D192" s="57"/>
      <c r="E192" s="57"/>
      <c r="F192" s="57"/>
      <c r="G192" s="57">
        <v>0</v>
      </c>
      <c r="H192" s="57">
        <v>0</v>
      </c>
      <c r="I192" s="57">
        <v>0</v>
      </c>
      <c r="J192" s="57">
        <v>0</v>
      </c>
    </row>
    <row r="193" spans="1:10" ht="12" customHeight="1" x14ac:dyDescent="0.25">
      <c r="A193" s="55">
        <v>2018</v>
      </c>
      <c r="B193" s="55" t="s">
        <v>7</v>
      </c>
      <c r="C193" s="57">
        <v>0</v>
      </c>
      <c r="D193" s="57"/>
      <c r="E193" s="57"/>
      <c r="F193" s="57"/>
      <c r="G193" s="57">
        <v>0</v>
      </c>
      <c r="H193" s="57">
        <v>0</v>
      </c>
      <c r="I193" s="57">
        <v>0</v>
      </c>
      <c r="J193" s="57">
        <v>0</v>
      </c>
    </row>
    <row r="194" spans="1:10" ht="12" customHeight="1" x14ac:dyDescent="0.25">
      <c r="A194" s="55">
        <v>2018</v>
      </c>
      <c r="B194" s="55" t="s">
        <v>8</v>
      </c>
      <c r="C194" s="57">
        <v>0</v>
      </c>
      <c r="D194" s="57"/>
      <c r="E194" s="57"/>
      <c r="F194" s="57"/>
      <c r="G194" s="57">
        <v>0</v>
      </c>
      <c r="H194" s="57">
        <v>0</v>
      </c>
      <c r="I194" s="57">
        <v>0</v>
      </c>
      <c r="J194" s="57">
        <v>0</v>
      </c>
    </row>
    <row r="195" spans="1:10" ht="12" customHeight="1" x14ac:dyDescent="0.25">
      <c r="A195" s="55">
        <v>2018</v>
      </c>
      <c r="B195" s="55" t="s">
        <v>9</v>
      </c>
      <c r="C195" s="57">
        <v>0</v>
      </c>
      <c r="D195" s="57"/>
      <c r="E195" s="57"/>
      <c r="F195" s="57"/>
      <c r="G195" s="57">
        <v>0</v>
      </c>
      <c r="H195" s="57">
        <v>0</v>
      </c>
      <c r="I195" s="57">
        <v>0</v>
      </c>
      <c r="J195" s="57">
        <v>0</v>
      </c>
    </row>
    <row r="196" spans="1:10" ht="12" customHeight="1" x14ac:dyDescent="0.25">
      <c r="A196" s="55">
        <v>2018</v>
      </c>
      <c r="B196" s="55" t="s">
        <v>10</v>
      </c>
      <c r="C196" s="57">
        <v>0</v>
      </c>
      <c r="D196" s="57"/>
      <c r="E196" s="57"/>
      <c r="F196" s="57"/>
      <c r="G196" s="57">
        <v>0</v>
      </c>
      <c r="H196" s="57">
        <v>0</v>
      </c>
      <c r="I196" s="57">
        <v>0</v>
      </c>
      <c r="J196" s="57">
        <v>0</v>
      </c>
    </row>
    <row r="197" spans="1:10" ht="12" customHeight="1" x14ac:dyDescent="0.25">
      <c r="A197" s="55">
        <v>2018</v>
      </c>
      <c r="B197" s="55" t="s">
        <v>11</v>
      </c>
      <c r="C197" s="57">
        <v>0</v>
      </c>
      <c r="D197" s="57"/>
      <c r="E197" s="57"/>
      <c r="F197" s="57"/>
      <c r="G197" s="57">
        <v>0</v>
      </c>
      <c r="H197" s="57">
        <v>0</v>
      </c>
      <c r="I197" s="57">
        <v>0</v>
      </c>
      <c r="J197" s="57">
        <v>0</v>
      </c>
    </row>
    <row r="198" spans="1:10" ht="12" customHeight="1" x14ac:dyDescent="0.25">
      <c r="A198" s="55">
        <v>2018</v>
      </c>
      <c r="B198" s="55" t="s">
        <v>12</v>
      </c>
      <c r="C198" s="57">
        <v>0</v>
      </c>
      <c r="D198" s="57"/>
      <c r="E198" s="57"/>
      <c r="F198" s="57"/>
      <c r="G198" s="57">
        <v>0</v>
      </c>
      <c r="H198" s="57">
        <v>0</v>
      </c>
      <c r="I198" s="57">
        <v>0</v>
      </c>
      <c r="J198" s="57">
        <v>0</v>
      </c>
    </row>
    <row r="199" spans="1:10" ht="12" customHeight="1" x14ac:dyDescent="0.25">
      <c r="A199" s="55">
        <v>2018</v>
      </c>
      <c r="B199" s="55" t="s">
        <v>13</v>
      </c>
      <c r="C199" s="57">
        <v>0</v>
      </c>
      <c r="D199" s="57"/>
      <c r="E199" s="57"/>
      <c r="F199" s="57"/>
      <c r="G199" s="57">
        <v>0</v>
      </c>
      <c r="H199" s="57">
        <v>0</v>
      </c>
      <c r="I199" s="57">
        <v>0</v>
      </c>
      <c r="J199" s="57">
        <v>0</v>
      </c>
    </row>
    <row r="200" spans="1:10" ht="12" customHeight="1" x14ac:dyDescent="0.25">
      <c r="A200" s="55">
        <v>2018</v>
      </c>
      <c r="B200" s="55" t="s">
        <v>14</v>
      </c>
      <c r="C200" s="57">
        <v>0</v>
      </c>
      <c r="D200" s="57"/>
      <c r="E200" s="57"/>
      <c r="F200" s="57"/>
      <c r="G200" s="57">
        <v>0</v>
      </c>
      <c r="H200" s="57">
        <v>0</v>
      </c>
      <c r="I200" s="57">
        <v>0</v>
      </c>
      <c r="J200" s="57">
        <v>0</v>
      </c>
    </row>
    <row r="201" spans="1:10" ht="12" customHeight="1" x14ac:dyDescent="0.25">
      <c r="A201" s="55">
        <v>2018</v>
      </c>
      <c r="B201" s="55" t="s">
        <v>15</v>
      </c>
      <c r="C201" s="57">
        <v>0</v>
      </c>
      <c r="D201" s="57">
        <v>0</v>
      </c>
      <c r="E201" s="57"/>
      <c r="F201" s="57"/>
      <c r="G201" s="57">
        <v>0</v>
      </c>
      <c r="H201" s="57">
        <v>0</v>
      </c>
      <c r="I201" s="57">
        <v>0</v>
      </c>
      <c r="J201" s="57">
        <v>0</v>
      </c>
    </row>
    <row r="202" spans="1:10" ht="12" customHeight="1" x14ac:dyDescent="0.25">
      <c r="A202" s="55">
        <v>2019</v>
      </c>
      <c r="B202" s="55" t="s">
        <v>3</v>
      </c>
      <c r="C202" s="57">
        <v>0</v>
      </c>
      <c r="D202" s="57"/>
      <c r="E202" s="57"/>
      <c r="F202" s="57"/>
      <c r="G202" s="57">
        <v>0</v>
      </c>
      <c r="H202" s="57">
        <v>0</v>
      </c>
      <c r="I202" s="57">
        <v>0</v>
      </c>
      <c r="J202" s="57">
        <v>0</v>
      </c>
    </row>
    <row r="203" spans="1:10" ht="12" customHeight="1" x14ac:dyDescent="0.25">
      <c r="A203" s="55">
        <v>2019</v>
      </c>
      <c r="B203" s="55" t="s">
        <v>4</v>
      </c>
      <c r="C203" s="57">
        <v>0</v>
      </c>
      <c r="D203" s="57"/>
      <c r="E203" s="57"/>
      <c r="F203" s="57"/>
      <c r="G203" s="57">
        <v>0</v>
      </c>
      <c r="H203" s="57">
        <v>0</v>
      </c>
      <c r="I203" s="57">
        <v>0</v>
      </c>
      <c r="J203" s="57">
        <v>0</v>
      </c>
    </row>
    <row r="204" spans="1:10" ht="12" customHeight="1" x14ac:dyDescent="0.25">
      <c r="A204" s="55">
        <v>2019</v>
      </c>
      <c r="B204" s="55" t="s">
        <v>5</v>
      </c>
      <c r="C204" s="57">
        <v>0</v>
      </c>
      <c r="D204" s="57"/>
      <c r="E204" s="57"/>
      <c r="F204" s="57"/>
      <c r="G204" s="57">
        <v>0</v>
      </c>
      <c r="H204" s="57">
        <v>0</v>
      </c>
      <c r="I204" s="57">
        <v>0</v>
      </c>
      <c r="J204" s="57">
        <v>0</v>
      </c>
    </row>
    <row r="205" spans="1:10" ht="12" customHeight="1" x14ac:dyDescent="0.25">
      <c r="A205" s="55">
        <v>2019</v>
      </c>
      <c r="B205" s="55" t="s">
        <v>6</v>
      </c>
      <c r="C205" s="57">
        <v>0</v>
      </c>
      <c r="D205" s="57"/>
      <c r="E205" s="57"/>
      <c r="F205" s="57"/>
      <c r="G205" s="57">
        <v>0</v>
      </c>
      <c r="H205" s="57">
        <v>0</v>
      </c>
      <c r="I205" s="57">
        <v>0</v>
      </c>
      <c r="J205" s="57">
        <v>0</v>
      </c>
    </row>
    <row r="206" spans="1:10" ht="12" customHeight="1" x14ac:dyDescent="0.25">
      <c r="A206" s="55">
        <v>2019</v>
      </c>
      <c r="B206" s="55" t="s">
        <v>7</v>
      </c>
      <c r="C206" s="57">
        <v>0</v>
      </c>
      <c r="D206" s="57"/>
      <c r="E206" s="57"/>
      <c r="F206" s="57"/>
      <c r="G206" s="57">
        <v>0</v>
      </c>
      <c r="H206" s="57">
        <v>0</v>
      </c>
      <c r="I206" s="57">
        <v>0</v>
      </c>
      <c r="J206" s="57">
        <v>0</v>
      </c>
    </row>
    <row r="207" spans="1:10" ht="12" customHeight="1" x14ac:dyDescent="0.25">
      <c r="A207" s="55">
        <v>2019</v>
      </c>
      <c r="B207" s="55" t="s">
        <v>8</v>
      </c>
      <c r="C207" s="57">
        <v>0</v>
      </c>
      <c r="D207" s="57"/>
      <c r="E207" s="57"/>
      <c r="F207" s="57"/>
      <c r="G207" s="57">
        <v>0</v>
      </c>
      <c r="H207" s="57">
        <v>0</v>
      </c>
      <c r="I207" s="57">
        <v>0</v>
      </c>
      <c r="J207" s="57">
        <v>0</v>
      </c>
    </row>
    <row r="208" spans="1:10" ht="12" customHeight="1" x14ac:dyDescent="0.25">
      <c r="A208" s="55">
        <v>2019</v>
      </c>
      <c r="B208" s="55" t="s">
        <v>9</v>
      </c>
      <c r="C208" s="57">
        <v>0</v>
      </c>
      <c r="D208" s="57"/>
      <c r="E208" s="57"/>
      <c r="F208" s="57"/>
      <c r="G208" s="57">
        <v>0</v>
      </c>
      <c r="H208" s="57">
        <v>0</v>
      </c>
      <c r="I208" s="57">
        <v>0</v>
      </c>
      <c r="J208" s="57">
        <v>0</v>
      </c>
    </row>
    <row r="209" spans="1:10" ht="12" customHeight="1" x14ac:dyDescent="0.25">
      <c r="A209" s="55">
        <v>2019</v>
      </c>
      <c r="B209" s="55" t="s">
        <v>10</v>
      </c>
      <c r="C209" s="57">
        <v>0</v>
      </c>
      <c r="D209" s="57"/>
      <c r="E209" s="57"/>
      <c r="F209" s="57"/>
      <c r="G209" s="57">
        <v>0</v>
      </c>
      <c r="H209" s="57">
        <v>0</v>
      </c>
      <c r="I209" s="57">
        <v>0</v>
      </c>
      <c r="J209" s="57">
        <v>0</v>
      </c>
    </row>
    <row r="210" spans="1:10" ht="12" customHeight="1" x14ac:dyDescent="0.25">
      <c r="A210" s="55">
        <v>2019</v>
      </c>
      <c r="B210" s="55" t="s">
        <v>11</v>
      </c>
      <c r="C210" s="57">
        <v>0</v>
      </c>
      <c r="D210" s="57"/>
      <c r="E210" s="57"/>
      <c r="F210" s="57"/>
      <c r="G210" s="57">
        <v>0</v>
      </c>
      <c r="H210" s="57">
        <v>0</v>
      </c>
      <c r="I210" s="57">
        <v>0</v>
      </c>
      <c r="J210" s="57">
        <v>0</v>
      </c>
    </row>
    <row r="211" spans="1:10" ht="12" customHeight="1" x14ac:dyDescent="0.25">
      <c r="A211" s="55">
        <v>2019</v>
      </c>
      <c r="B211" s="55" t="s">
        <v>12</v>
      </c>
      <c r="C211" s="57">
        <v>0</v>
      </c>
      <c r="D211" s="57"/>
      <c r="E211" s="57"/>
      <c r="F211" s="57"/>
      <c r="G211" s="57">
        <v>0</v>
      </c>
      <c r="H211" s="57">
        <v>0</v>
      </c>
      <c r="I211" s="57">
        <v>0</v>
      </c>
      <c r="J211" s="57">
        <v>0</v>
      </c>
    </row>
    <row r="212" spans="1:10" ht="12" customHeight="1" x14ac:dyDescent="0.25">
      <c r="A212" s="55">
        <v>2019</v>
      </c>
      <c r="B212" s="55" t="s">
        <v>13</v>
      </c>
      <c r="C212" s="57">
        <v>0</v>
      </c>
      <c r="D212" s="57"/>
      <c r="E212" s="57"/>
      <c r="F212" s="57"/>
      <c r="G212" s="57">
        <v>0</v>
      </c>
      <c r="H212" s="57">
        <v>0</v>
      </c>
      <c r="I212" s="57">
        <v>0</v>
      </c>
      <c r="J212" s="57">
        <v>0</v>
      </c>
    </row>
    <row r="213" spans="1:10" ht="12" customHeight="1" x14ac:dyDescent="0.25">
      <c r="A213" s="55">
        <v>2019</v>
      </c>
      <c r="B213" s="55" t="s">
        <v>14</v>
      </c>
      <c r="C213" s="57">
        <v>0</v>
      </c>
      <c r="D213" s="57"/>
      <c r="E213" s="57"/>
      <c r="F213" s="57"/>
      <c r="G213" s="57">
        <v>0</v>
      </c>
      <c r="H213" s="57">
        <v>0</v>
      </c>
      <c r="I213" s="57">
        <v>0</v>
      </c>
      <c r="J213" s="57">
        <v>0</v>
      </c>
    </row>
    <row r="214" spans="1:10" ht="12" customHeight="1" x14ac:dyDescent="0.25">
      <c r="A214" s="55">
        <v>2019</v>
      </c>
      <c r="B214" s="55" t="s">
        <v>15</v>
      </c>
      <c r="C214" s="57">
        <v>0</v>
      </c>
      <c r="D214" s="57">
        <v>0</v>
      </c>
      <c r="E214" s="57"/>
      <c r="F214" s="57"/>
      <c r="G214" s="57">
        <v>0</v>
      </c>
      <c r="H214" s="57">
        <v>0</v>
      </c>
      <c r="I214" s="57">
        <v>0</v>
      </c>
      <c r="J214" s="57">
        <v>0</v>
      </c>
    </row>
    <row r="215" spans="1:10" ht="12" customHeight="1" x14ac:dyDescent="0.25">
      <c r="A215" s="55">
        <v>2020</v>
      </c>
      <c r="B215" s="55" t="s">
        <v>3</v>
      </c>
      <c r="C215" s="57">
        <v>0</v>
      </c>
      <c r="D215" s="57"/>
      <c r="E215" s="57"/>
      <c r="F215" s="57"/>
      <c r="G215" s="57">
        <v>0</v>
      </c>
      <c r="H215" s="57">
        <v>0</v>
      </c>
      <c r="I215" s="57">
        <v>0</v>
      </c>
      <c r="J215" s="57">
        <v>0</v>
      </c>
    </row>
    <row r="216" spans="1:10" ht="12" customHeight="1" x14ac:dyDescent="0.25">
      <c r="A216" s="55">
        <v>2020</v>
      </c>
      <c r="B216" s="55" t="s">
        <v>4</v>
      </c>
      <c r="C216" s="57">
        <v>0</v>
      </c>
      <c r="D216" s="57"/>
      <c r="E216" s="57"/>
      <c r="F216" s="57"/>
      <c r="G216" s="57">
        <v>0</v>
      </c>
      <c r="H216" s="57">
        <v>0</v>
      </c>
      <c r="I216" s="57">
        <v>0</v>
      </c>
      <c r="J216" s="57">
        <v>0</v>
      </c>
    </row>
    <row r="217" spans="1:10" ht="12" customHeight="1" x14ac:dyDescent="0.25">
      <c r="A217" s="55">
        <v>2020</v>
      </c>
      <c r="B217" s="55" t="s">
        <v>5</v>
      </c>
      <c r="C217" s="57">
        <v>0</v>
      </c>
      <c r="D217" s="57"/>
      <c r="E217" s="57"/>
      <c r="F217" s="57"/>
      <c r="G217" s="57">
        <v>0</v>
      </c>
      <c r="H217" s="57">
        <v>0</v>
      </c>
      <c r="I217" s="57">
        <v>0</v>
      </c>
      <c r="J217" s="57">
        <v>0</v>
      </c>
    </row>
    <row r="218" spans="1:10" ht="12" customHeight="1" x14ac:dyDescent="0.25">
      <c r="A218" s="55">
        <v>2020</v>
      </c>
      <c r="B218" s="55" t="s">
        <v>6</v>
      </c>
      <c r="C218" s="57">
        <v>0</v>
      </c>
      <c r="D218" s="57"/>
      <c r="E218" s="57"/>
      <c r="F218" s="57"/>
      <c r="G218" s="57">
        <v>0</v>
      </c>
      <c r="H218" s="57">
        <v>0</v>
      </c>
      <c r="I218" s="57">
        <v>0</v>
      </c>
      <c r="J218" s="57">
        <v>0</v>
      </c>
    </row>
    <row r="219" spans="1:10" ht="12" customHeight="1" x14ac:dyDescent="0.25">
      <c r="A219" s="55">
        <v>2020</v>
      </c>
      <c r="B219" s="55" t="s">
        <v>7</v>
      </c>
      <c r="C219" s="57">
        <v>0</v>
      </c>
      <c r="D219" s="57"/>
      <c r="E219" s="57"/>
      <c r="F219" s="57"/>
      <c r="G219" s="57">
        <v>0</v>
      </c>
      <c r="H219" s="57">
        <v>0</v>
      </c>
      <c r="I219" s="57">
        <v>0</v>
      </c>
      <c r="J219" s="57">
        <v>0</v>
      </c>
    </row>
    <row r="220" spans="1:10" ht="12" customHeight="1" x14ac:dyDescent="0.25">
      <c r="A220" s="55">
        <v>2020</v>
      </c>
      <c r="B220" s="55" t="s">
        <v>8</v>
      </c>
      <c r="C220" s="57">
        <v>0</v>
      </c>
      <c r="D220" s="57"/>
      <c r="E220" s="57"/>
      <c r="F220" s="57"/>
      <c r="G220" s="57">
        <v>0</v>
      </c>
      <c r="H220" s="57">
        <v>0</v>
      </c>
      <c r="I220" s="57">
        <v>0</v>
      </c>
      <c r="J220" s="57">
        <v>0</v>
      </c>
    </row>
    <row r="221" spans="1:10" ht="12" customHeight="1" x14ac:dyDescent="0.25">
      <c r="A221" s="55">
        <v>2020</v>
      </c>
      <c r="B221" s="55" t="s">
        <v>9</v>
      </c>
      <c r="C221" s="57">
        <v>0</v>
      </c>
      <c r="D221" s="57"/>
      <c r="E221" s="57">
        <v>0</v>
      </c>
      <c r="F221" s="57">
        <v>0</v>
      </c>
      <c r="G221" s="57">
        <v>0</v>
      </c>
      <c r="H221" s="57">
        <v>0</v>
      </c>
      <c r="I221" s="57">
        <v>0</v>
      </c>
      <c r="J221" s="57">
        <v>0</v>
      </c>
    </row>
    <row r="222" spans="1:10" ht="12" customHeight="1" x14ac:dyDescent="0.25">
      <c r="A222" s="55">
        <v>2020</v>
      </c>
      <c r="B222" s="55" t="s">
        <v>10</v>
      </c>
      <c r="C222" s="57">
        <v>0</v>
      </c>
      <c r="D222" s="57"/>
      <c r="E222" s="57">
        <v>0</v>
      </c>
      <c r="F222" s="57">
        <v>0</v>
      </c>
      <c r="G222" s="57">
        <v>0</v>
      </c>
      <c r="H222" s="57">
        <v>0</v>
      </c>
      <c r="I222" s="57">
        <v>0</v>
      </c>
      <c r="J222" s="57">
        <v>0</v>
      </c>
    </row>
    <row r="223" spans="1:10" ht="12" customHeight="1" x14ac:dyDescent="0.25">
      <c r="A223" s="55">
        <v>2020</v>
      </c>
      <c r="B223" s="55" t="s">
        <v>11</v>
      </c>
      <c r="C223" s="57">
        <v>0</v>
      </c>
      <c r="D223" s="57"/>
      <c r="E223" s="57">
        <v>0</v>
      </c>
      <c r="F223" s="57">
        <v>0</v>
      </c>
      <c r="G223" s="57">
        <v>0</v>
      </c>
      <c r="H223" s="57">
        <v>0</v>
      </c>
      <c r="I223" s="57">
        <v>0</v>
      </c>
      <c r="J223" s="57">
        <v>0</v>
      </c>
    </row>
    <row r="224" spans="1:10" ht="12" customHeight="1" x14ac:dyDescent="0.25">
      <c r="A224" s="55">
        <v>2020</v>
      </c>
      <c r="B224" s="55" t="s">
        <v>12</v>
      </c>
      <c r="C224" s="57">
        <v>0</v>
      </c>
      <c r="D224" s="57"/>
      <c r="E224" s="57">
        <v>0</v>
      </c>
      <c r="F224" s="57">
        <v>0</v>
      </c>
      <c r="G224" s="57">
        <v>0</v>
      </c>
      <c r="H224" s="57">
        <v>0</v>
      </c>
      <c r="I224" s="57">
        <v>0</v>
      </c>
      <c r="J224" s="57">
        <v>0</v>
      </c>
    </row>
    <row r="225" spans="1:10" ht="12" customHeight="1" x14ac:dyDescent="0.25">
      <c r="A225" s="55">
        <v>2020</v>
      </c>
      <c r="B225" s="55" t="s">
        <v>13</v>
      </c>
      <c r="C225" s="57">
        <v>0</v>
      </c>
      <c r="D225" s="57"/>
      <c r="E225" s="57">
        <v>0</v>
      </c>
      <c r="F225" s="57">
        <v>0</v>
      </c>
      <c r="G225" s="57">
        <v>0</v>
      </c>
      <c r="H225" s="57">
        <v>0</v>
      </c>
      <c r="I225" s="57">
        <v>0</v>
      </c>
      <c r="J225" s="57">
        <v>0</v>
      </c>
    </row>
    <row r="226" spans="1:10" ht="12" customHeight="1" x14ac:dyDescent="0.25">
      <c r="A226" s="55">
        <v>2020</v>
      </c>
      <c r="B226" s="55" t="s">
        <v>14</v>
      </c>
      <c r="C226" s="57">
        <v>0</v>
      </c>
      <c r="D226" s="57"/>
      <c r="E226" s="57">
        <v>0</v>
      </c>
      <c r="F226" s="57">
        <v>0</v>
      </c>
      <c r="G226" s="57">
        <v>0</v>
      </c>
      <c r="H226" s="57">
        <v>0</v>
      </c>
      <c r="I226" s="57">
        <v>0</v>
      </c>
      <c r="J226" s="57">
        <v>0</v>
      </c>
    </row>
    <row r="227" spans="1:10" ht="12" customHeight="1" x14ac:dyDescent="0.25">
      <c r="A227" s="55">
        <v>2020</v>
      </c>
      <c r="B227" s="55" t="s">
        <v>15</v>
      </c>
      <c r="C227" s="57">
        <v>0</v>
      </c>
      <c r="D227" s="57">
        <v>0</v>
      </c>
      <c r="E227" s="57">
        <v>0</v>
      </c>
      <c r="F227" s="57">
        <v>0</v>
      </c>
      <c r="G227" s="57">
        <v>0</v>
      </c>
      <c r="H227" s="57">
        <v>0</v>
      </c>
      <c r="I227" s="57">
        <v>0</v>
      </c>
      <c r="J227" s="57">
        <v>0</v>
      </c>
    </row>
    <row r="228" spans="1:10" ht="12" customHeight="1" x14ac:dyDescent="0.25">
      <c r="A228" s="55">
        <v>2021</v>
      </c>
      <c r="B228" s="55" t="s">
        <v>3</v>
      </c>
      <c r="C228" s="57">
        <v>0</v>
      </c>
      <c r="D228" s="57"/>
      <c r="E228" s="57">
        <v>0</v>
      </c>
      <c r="F228" s="57">
        <v>0</v>
      </c>
      <c r="G228" s="57">
        <v>0</v>
      </c>
      <c r="H228" s="57">
        <v>0</v>
      </c>
      <c r="I228" s="57">
        <v>0</v>
      </c>
      <c r="J228" s="57">
        <v>0</v>
      </c>
    </row>
    <row r="229" spans="1:10" ht="12" customHeight="1" x14ac:dyDescent="0.25">
      <c r="A229" s="55">
        <v>2021</v>
      </c>
      <c r="B229" s="55" t="s">
        <v>4</v>
      </c>
      <c r="C229" s="57">
        <v>0</v>
      </c>
      <c r="D229" s="57"/>
      <c r="E229" s="57">
        <v>0</v>
      </c>
      <c r="F229" s="57">
        <v>0</v>
      </c>
      <c r="G229" s="57">
        <v>0</v>
      </c>
      <c r="H229" s="57">
        <v>0</v>
      </c>
      <c r="I229" s="57">
        <v>0</v>
      </c>
      <c r="J229" s="57">
        <v>0</v>
      </c>
    </row>
    <row r="230" spans="1:10" ht="12" customHeight="1" x14ac:dyDescent="0.25">
      <c r="A230" s="55">
        <v>2021</v>
      </c>
      <c r="B230" s="55" t="s">
        <v>5</v>
      </c>
      <c r="C230" s="57">
        <v>0</v>
      </c>
      <c r="D230" s="57"/>
      <c r="E230" s="57">
        <v>0</v>
      </c>
      <c r="F230" s="57">
        <v>0</v>
      </c>
      <c r="G230" s="57">
        <v>0</v>
      </c>
      <c r="H230" s="57">
        <v>0</v>
      </c>
      <c r="I230" s="57">
        <v>0</v>
      </c>
      <c r="J230" s="57">
        <v>0</v>
      </c>
    </row>
    <row r="231" spans="1:10" ht="12" customHeight="1" x14ac:dyDescent="0.25">
      <c r="A231" s="55">
        <v>2021</v>
      </c>
      <c r="B231" s="55" t="s">
        <v>6</v>
      </c>
      <c r="C231" s="57">
        <v>0</v>
      </c>
      <c r="D231" s="57"/>
      <c r="E231" s="57">
        <v>0</v>
      </c>
      <c r="F231" s="57">
        <v>0</v>
      </c>
      <c r="G231" s="57">
        <v>0</v>
      </c>
      <c r="H231" s="57">
        <v>0</v>
      </c>
      <c r="I231" s="57">
        <v>0</v>
      </c>
      <c r="J231" s="57">
        <v>0</v>
      </c>
    </row>
    <row r="232" spans="1:10" ht="12" customHeight="1" x14ac:dyDescent="0.25">
      <c r="A232" s="55">
        <v>2021</v>
      </c>
      <c r="B232" s="55" t="s">
        <v>7</v>
      </c>
      <c r="C232" s="57">
        <v>0</v>
      </c>
      <c r="D232" s="57"/>
      <c r="E232" s="57">
        <v>0</v>
      </c>
      <c r="F232" s="57">
        <v>0</v>
      </c>
      <c r="G232" s="57">
        <v>0</v>
      </c>
      <c r="H232" s="57">
        <v>0</v>
      </c>
      <c r="I232" s="57">
        <v>0</v>
      </c>
      <c r="J232" s="57"/>
    </row>
    <row r="233" spans="1:10" ht="12" customHeight="1" x14ac:dyDescent="0.25">
      <c r="A233" s="55">
        <v>2021</v>
      </c>
      <c r="B233" s="55" t="s">
        <v>8</v>
      </c>
      <c r="C233" s="57">
        <v>0</v>
      </c>
      <c r="D233" s="57"/>
      <c r="E233" s="57">
        <v>0</v>
      </c>
      <c r="F233" s="57">
        <v>0</v>
      </c>
      <c r="G233" s="57">
        <v>0</v>
      </c>
      <c r="H233" s="57">
        <v>0</v>
      </c>
      <c r="I233" s="57">
        <v>0</v>
      </c>
      <c r="J233" s="57"/>
    </row>
    <row r="234" spans="1:10" ht="12" customHeight="1" x14ac:dyDescent="0.25">
      <c r="A234" s="55">
        <v>2021</v>
      </c>
      <c r="B234" s="55" t="s">
        <v>9</v>
      </c>
      <c r="C234" s="57">
        <v>0</v>
      </c>
      <c r="D234" s="57"/>
      <c r="E234" s="57">
        <v>0</v>
      </c>
      <c r="F234" s="57">
        <v>0</v>
      </c>
      <c r="G234" s="57">
        <v>0</v>
      </c>
      <c r="H234" s="57">
        <v>0</v>
      </c>
      <c r="I234" s="57">
        <v>0</v>
      </c>
      <c r="J234" s="57"/>
    </row>
    <row r="235" spans="1:10" ht="12" customHeight="1" x14ac:dyDescent="0.25">
      <c r="A235" s="55">
        <v>2021</v>
      </c>
      <c r="B235" s="55" t="s">
        <v>10</v>
      </c>
      <c r="C235" s="57">
        <v>0</v>
      </c>
      <c r="D235" s="57"/>
      <c r="E235" s="57">
        <v>0</v>
      </c>
      <c r="F235" s="57">
        <v>0</v>
      </c>
      <c r="G235" s="57">
        <v>0</v>
      </c>
      <c r="H235" s="57">
        <v>168.30257</v>
      </c>
      <c r="I235" s="57">
        <v>168.30257</v>
      </c>
      <c r="J235" s="57"/>
    </row>
    <row r="236" spans="1:10" ht="12" customHeight="1" x14ac:dyDescent="0.25">
      <c r="A236" s="55">
        <v>2021</v>
      </c>
      <c r="B236" s="55" t="s">
        <v>11</v>
      </c>
      <c r="C236" s="57">
        <v>0</v>
      </c>
      <c r="D236" s="57"/>
      <c r="E236" s="57">
        <v>0</v>
      </c>
      <c r="F236" s="57">
        <v>0</v>
      </c>
      <c r="G236" s="57">
        <v>0</v>
      </c>
      <c r="H236" s="57">
        <v>0</v>
      </c>
      <c r="I236" s="57">
        <v>0</v>
      </c>
      <c r="J236" s="57"/>
    </row>
    <row r="237" spans="1:10" ht="12" customHeight="1" x14ac:dyDescent="0.25">
      <c r="A237" s="55">
        <v>2021</v>
      </c>
      <c r="B237" s="55" t="s">
        <v>12</v>
      </c>
      <c r="C237" s="57">
        <v>0</v>
      </c>
      <c r="D237" s="57"/>
      <c r="E237" s="57">
        <v>0</v>
      </c>
      <c r="F237" s="57">
        <v>0</v>
      </c>
      <c r="G237" s="57">
        <v>0</v>
      </c>
      <c r="H237" s="57">
        <v>0</v>
      </c>
      <c r="I237" s="57">
        <v>0</v>
      </c>
      <c r="J237" s="57"/>
    </row>
    <row r="238" spans="1:10" ht="12" customHeight="1" x14ac:dyDescent="0.25">
      <c r="A238" s="55">
        <v>2021</v>
      </c>
      <c r="B238" s="55" t="s">
        <v>13</v>
      </c>
      <c r="C238" s="57">
        <v>669.83420999999998</v>
      </c>
      <c r="D238" s="57"/>
      <c r="E238" s="57">
        <v>0</v>
      </c>
      <c r="F238" s="57">
        <v>0</v>
      </c>
      <c r="G238" s="57">
        <v>0</v>
      </c>
      <c r="H238" s="57">
        <v>0</v>
      </c>
      <c r="I238" s="57">
        <v>669.83420999999998</v>
      </c>
      <c r="J238" s="57"/>
    </row>
    <row r="239" spans="1:10" ht="12" customHeight="1" x14ac:dyDescent="0.25">
      <c r="A239" s="55">
        <v>2021</v>
      </c>
      <c r="B239" s="55" t="s">
        <v>14</v>
      </c>
      <c r="C239" s="57">
        <v>172.29642999999999</v>
      </c>
      <c r="D239" s="57"/>
      <c r="E239" s="57">
        <v>0</v>
      </c>
      <c r="F239" s="57">
        <v>0</v>
      </c>
      <c r="G239" s="57">
        <v>0</v>
      </c>
      <c r="H239" s="57">
        <v>0</v>
      </c>
      <c r="I239" s="57">
        <v>172.29642999999999</v>
      </c>
      <c r="J239" s="57"/>
    </row>
    <row r="240" spans="1:10" ht="12" customHeight="1" x14ac:dyDescent="0.25">
      <c r="A240" s="55">
        <v>2021</v>
      </c>
      <c r="B240" s="55" t="s">
        <v>15</v>
      </c>
      <c r="C240" s="57">
        <v>842.13063999999997</v>
      </c>
      <c r="D240" s="57">
        <v>0</v>
      </c>
      <c r="E240" s="57">
        <v>0</v>
      </c>
      <c r="F240" s="57">
        <v>0</v>
      </c>
      <c r="G240" s="57">
        <v>0</v>
      </c>
      <c r="H240" s="57">
        <v>168.30257</v>
      </c>
      <c r="I240" s="57">
        <v>1010.4332099999999</v>
      </c>
      <c r="J240" s="57"/>
    </row>
    <row r="241" spans="1:10" ht="12" customHeight="1" x14ac:dyDescent="0.25">
      <c r="A241" s="55">
        <v>2022</v>
      </c>
      <c r="B241" s="55" t="s">
        <v>3</v>
      </c>
      <c r="C241" s="57">
        <v>0</v>
      </c>
      <c r="D241" s="57"/>
      <c r="E241" s="57">
        <v>0</v>
      </c>
      <c r="F241" s="57">
        <v>0</v>
      </c>
      <c r="G241" s="57">
        <v>0</v>
      </c>
      <c r="H241" s="57">
        <v>0</v>
      </c>
      <c r="I241" s="57">
        <v>0</v>
      </c>
      <c r="J241" s="57"/>
    </row>
    <row r="242" spans="1:10" ht="12" customHeight="1" x14ac:dyDescent="0.25">
      <c r="A242" s="55">
        <v>2022</v>
      </c>
      <c r="B242" s="55" t="s">
        <v>4</v>
      </c>
      <c r="C242" s="57">
        <v>0</v>
      </c>
      <c r="D242" s="57"/>
      <c r="E242" s="57">
        <v>0</v>
      </c>
      <c r="F242" s="57">
        <v>0</v>
      </c>
      <c r="G242" s="57">
        <v>0</v>
      </c>
      <c r="H242" s="57">
        <v>0</v>
      </c>
      <c r="I242" s="57">
        <v>0</v>
      </c>
      <c r="J242" s="57"/>
    </row>
    <row r="243" spans="1:10" ht="12" customHeight="1" x14ac:dyDescent="0.25">
      <c r="A243" s="55">
        <v>2022</v>
      </c>
      <c r="B243" s="55" t="s">
        <v>5</v>
      </c>
      <c r="C243" s="57">
        <v>0</v>
      </c>
      <c r="D243" s="57"/>
      <c r="E243" s="57">
        <v>0</v>
      </c>
      <c r="F243" s="57">
        <v>0</v>
      </c>
      <c r="G243" s="57">
        <v>0</v>
      </c>
      <c r="H243" s="57">
        <v>0</v>
      </c>
      <c r="I243" s="57">
        <v>0</v>
      </c>
      <c r="J243" s="57"/>
    </row>
    <row r="244" spans="1:10" ht="12" customHeight="1" x14ac:dyDescent="0.25">
      <c r="A244" s="55">
        <v>2022</v>
      </c>
      <c r="B244" s="55" t="s">
        <v>6</v>
      </c>
      <c r="C244" s="57">
        <v>0</v>
      </c>
      <c r="D244" s="57"/>
      <c r="E244" s="57">
        <v>167.39046999999999</v>
      </c>
      <c r="F244" s="57">
        <v>0</v>
      </c>
      <c r="G244" s="57">
        <v>0</v>
      </c>
      <c r="H244" s="57">
        <v>0</v>
      </c>
      <c r="I244" s="57">
        <v>167.39046999999999</v>
      </c>
      <c r="J244" s="57"/>
    </row>
    <row r="245" spans="1:10" ht="12" customHeight="1" x14ac:dyDescent="0.25">
      <c r="A245" s="55">
        <v>2022</v>
      </c>
      <c r="B245" s="55" t="s">
        <v>7</v>
      </c>
      <c r="C245" s="57">
        <v>0</v>
      </c>
      <c r="D245" s="57"/>
      <c r="E245" s="57">
        <v>0</v>
      </c>
      <c r="F245" s="57">
        <v>0</v>
      </c>
      <c r="G245" s="57">
        <v>0</v>
      </c>
      <c r="H245" s="57">
        <v>0</v>
      </c>
      <c r="I245" s="57">
        <v>0</v>
      </c>
      <c r="J245" s="57"/>
    </row>
    <row r="246" spans="1:10" ht="12" customHeight="1" x14ac:dyDescent="0.25">
      <c r="A246" s="55">
        <v>2022</v>
      </c>
      <c r="B246" s="55" t="s">
        <v>8</v>
      </c>
      <c r="C246" s="57">
        <v>0</v>
      </c>
      <c r="D246" s="57"/>
      <c r="E246" s="57">
        <v>0</v>
      </c>
      <c r="F246" s="57">
        <v>0</v>
      </c>
      <c r="G246" s="57">
        <v>0</v>
      </c>
      <c r="H246" s="57">
        <v>0</v>
      </c>
      <c r="I246" s="57">
        <v>0</v>
      </c>
      <c r="J246" s="57"/>
    </row>
    <row r="247" spans="1:10" ht="12" customHeight="1" x14ac:dyDescent="0.25">
      <c r="A247" s="55">
        <v>2022</v>
      </c>
      <c r="B247" s="55" t="s">
        <v>9</v>
      </c>
      <c r="C247" s="57">
        <v>0</v>
      </c>
      <c r="D247" s="57"/>
      <c r="E247" s="57">
        <v>0</v>
      </c>
      <c r="F247" s="57">
        <v>0</v>
      </c>
      <c r="G247" s="57">
        <v>0</v>
      </c>
      <c r="H247" s="57">
        <v>0</v>
      </c>
      <c r="I247" s="57">
        <v>0</v>
      </c>
      <c r="J247" s="57"/>
    </row>
    <row r="248" spans="1:10" ht="12" customHeight="1" x14ac:dyDescent="0.25">
      <c r="A248" s="55">
        <v>2022</v>
      </c>
      <c r="B248" s="55" t="s">
        <v>10</v>
      </c>
      <c r="C248" s="57">
        <v>0</v>
      </c>
      <c r="D248" s="57"/>
      <c r="E248" s="57">
        <v>0</v>
      </c>
      <c r="F248" s="57">
        <v>0</v>
      </c>
      <c r="G248" s="57">
        <v>0</v>
      </c>
      <c r="H248" s="57">
        <v>0</v>
      </c>
      <c r="I248" s="57">
        <v>0</v>
      </c>
      <c r="J248" s="57">
        <v>0</v>
      </c>
    </row>
    <row r="249" spans="1:10" ht="12" customHeight="1" x14ac:dyDescent="0.25">
      <c r="A249" s="55">
        <v>2022</v>
      </c>
      <c r="B249" s="55" t="s">
        <v>11</v>
      </c>
      <c r="C249" s="57">
        <v>58.301519999999996</v>
      </c>
      <c r="D249" s="57"/>
      <c r="E249" s="57">
        <v>0</v>
      </c>
      <c r="F249" s="57">
        <v>154.28510999999997</v>
      </c>
      <c r="G249" s="57">
        <v>78.434839999999994</v>
      </c>
      <c r="H249" s="57">
        <v>0</v>
      </c>
      <c r="I249" s="57">
        <v>291.02146999999997</v>
      </c>
      <c r="J249" s="57">
        <v>0</v>
      </c>
    </row>
    <row r="250" spans="1:10" ht="12" customHeight="1" x14ac:dyDescent="0.25">
      <c r="A250" s="55">
        <v>2022</v>
      </c>
      <c r="B250" s="55" t="s">
        <v>12</v>
      </c>
      <c r="C250" s="57">
        <v>0</v>
      </c>
      <c r="D250" s="57"/>
      <c r="E250" s="57">
        <v>0</v>
      </c>
      <c r="F250" s="57">
        <v>0</v>
      </c>
      <c r="G250" s="57">
        <v>0</v>
      </c>
      <c r="H250" s="57">
        <v>0</v>
      </c>
      <c r="I250" s="57">
        <v>0</v>
      </c>
      <c r="J250" s="57">
        <v>0</v>
      </c>
    </row>
    <row r="251" spans="1:10" ht="12" customHeight="1" x14ac:dyDescent="0.25">
      <c r="A251" s="55">
        <v>2022</v>
      </c>
      <c r="B251" s="55" t="s">
        <v>13</v>
      </c>
      <c r="C251" s="57">
        <v>0</v>
      </c>
      <c r="D251" s="57"/>
      <c r="E251" s="57">
        <v>0</v>
      </c>
      <c r="F251" s="57">
        <v>0</v>
      </c>
      <c r="G251" s="57">
        <v>0</v>
      </c>
      <c r="H251" s="57">
        <v>0</v>
      </c>
      <c r="I251" s="57">
        <v>0</v>
      </c>
      <c r="J251" s="57">
        <v>0</v>
      </c>
    </row>
    <row r="252" spans="1:10" ht="12" customHeight="1" x14ac:dyDescent="0.25">
      <c r="A252" s="55">
        <v>2022</v>
      </c>
      <c r="B252" s="55" t="s">
        <v>14</v>
      </c>
      <c r="C252" s="57">
        <v>0</v>
      </c>
      <c r="D252" s="57"/>
      <c r="E252" s="57">
        <v>0</v>
      </c>
      <c r="F252" s="57">
        <v>0</v>
      </c>
      <c r="G252" s="57">
        <v>0</v>
      </c>
      <c r="H252" s="57">
        <v>0</v>
      </c>
      <c r="I252" s="57">
        <v>0</v>
      </c>
      <c r="J252" s="57">
        <v>0</v>
      </c>
    </row>
    <row r="253" spans="1:10" ht="12" customHeight="1" x14ac:dyDescent="0.25">
      <c r="A253" s="55">
        <v>2022</v>
      </c>
      <c r="B253" s="55" t="s">
        <v>15</v>
      </c>
      <c r="C253" s="57">
        <v>58.301519999999996</v>
      </c>
      <c r="D253" s="57">
        <v>0</v>
      </c>
      <c r="E253" s="57">
        <v>167.39046999999999</v>
      </c>
      <c r="F253" s="57">
        <v>154.28510999999997</v>
      </c>
      <c r="G253" s="57">
        <v>78.434839999999994</v>
      </c>
      <c r="H253" s="57">
        <v>0</v>
      </c>
      <c r="I253" s="57">
        <v>458.41193999999996</v>
      </c>
      <c r="J253" s="57"/>
    </row>
    <row r="254" spans="1:10" ht="12" customHeight="1" x14ac:dyDescent="0.25">
      <c r="A254" s="55">
        <v>2023</v>
      </c>
      <c r="B254" s="55" t="s">
        <v>3</v>
      </c>
      <c r="C254" s="57">
        <v>70.424530000000004</v>
      </c>
      <c r="D254" s="57"/>
      <c r="E254" s="57">
        <v>0</v>
      </c>
      <c r="F254" s="57">
        <v>0</v>
      </c>
      <c r="G254" s="57">
        <v>0</v>
      </c>
      <c r="H254" s="57">
        <v>0</v>
      </c>
      <c r="I254" s="57">
        <v>70.424530000000004</v>
      </c>
      <c r="J254" s="57"/>
    </row>
    <row r="255" spans="1:10" ht="12" customHeight="1" x14ac:dyDescent="0.25">
      <c r="A255" s="55">
        <v>2023</v>
      </c>
      <c r="B255" s="55" t="s">
        <v>4</v>
      </c>
      <c r="C255" s="57">
        <v>0</v>
      </c>
      <c r="D255" s="57"/>
      <c r="E255" s="57">
        <v>0</v>
      </c>
      <c r="F255" s="57">
        <v>0</v>
      </c>
      <c r="G255" s="57">
        <v>0</v>
      </c>
      <c r="H255" s="57">
        <v>0</v>
      </c>
      <c r="I255" s="57">
        <v>0</v>
      </c>
      <c r="J255" s="57"/>
    </row>
    <row r="256" spans="1:10" ht="12" customHeight="1" x14ac:dyDescent="0.25">
      <c r="A256" s="55">
        <v>2023</v>
      </c>
      <c r="B256" s="55" t="s">
        <v>5</v>
      </c>
      <c r="C256" s="57">
        <v>0</v>
      </c>
      <c r="D256" s="57"/>
      <c r="E256" s="57">
        <v>0</v>
      </c>
      <c r="F256" s="57">
        <v>0</v>
      </c>
      <c r="G256" s="57">
        <v>0</v>
      </c>
      <c r="H256" s="57">
        <v>0</v>
      </c>
      <c r="I256" s="57">
        <v>0</v>
      </c>
      <c r="J256" s="57"/>
    </row>
    <row r="257" spans="1:10" ht="12" customHeight="1" x14ac:dyDescent="0.25">
      <c r="A257" s="55">
        <v>2023</v>
      </c>
      <c r="B257" s="55" t="s">
        <v>6</v>
      </c>
      <c r="C257" s="57">
        <v>0</v>
      </c>
      <c r="D257" s="57"/>
      <c r="E257" s="57">
        <v>0</v>
      </c>
      <c r="F257" s="57">
        <v>0</v>
      </c>
      <c r="G257" s="57">
        <v>0</v>
      </c>
      <c r="H257" s="57">
        <v>0</v>
      </c>
      <c r="I257" s="57">
        <v>0</v>
      </c>
      <c r="J257" s="57"/>
    </row>
    <row r="258" spans="1:10" ht="12" customHeight="1" x14ac:dyDescent="0.25">
      <c r="A258" s="55">
        <v>2023</v>
      </c>
      <c r="B258" s="55" t="s">
        <v>7</v>
      </c>
      <c r="C258" s="57">
        <v>0</v>
      </c>
      <c r="D258" s="57"/>
      <c r="E258" s="57">
        <v>0</v>
      </c>
      <c r="F258" s="57">
        <v>0</v>
      </c>
      <c r="G258" s="57">
        <v>0</v>
      </c>
      <c r="H258" s="57">
        <v>0</v>
      </c>
      <c r="I258" s="57">
        <v>0</v>
      </c>
      <c r="J258" s="57"/>
    </row>
    <row r="259" spans="1:10" ht="12" customHeight="1" x14ac:dyDescent="0.25">
      <c r="A259" s="55">
        <v>2023</v>
      </c>
      <c r="B259" s="55" t="s">
        <v>8</v>
      </c>
      <c r="C259" s="57">
        <v>0</v>
      </c>
      <c r="D259" s="57"/>
      <c r="E259" s="57">
        <v>0</v>
      </c>
      <c r="F259" s="57">
        <v>0</v>
      </c>
      <c r="G259" s="57">
        <v>0</v>
      </c>
      <c r="H259" s="57">
        <v>0</v>
      </c>
      <c r="I259" s="57">
        <v>0</v>
      </c>
      <c r="J259" s="57"/>
    </row>
    <row r="260" spans="1:10" ht="12" customHeight="1" x14ac:dyDescent="0.25">
      <c r="A260" s="55">
        <v>2023</v>
      </c>
      <c r="B260" s="55" t="s">
        <v>9</v>
      </c>
      <c r="C260" s="57">
        <v>0</v>
      </c>
      <c r="D260" s="57"/>
      <c r="E260" s="57">
        <v>0</v>
      </c>
      <c r="F260" s="57">
        <v>0</v>
      </c>
      <c r="G260" s="57">
        <v>0</v>
      </c>
      <c r="H260" s="57">
        <v>0</v>
      </c>
      <c r="I260" s="57">
        <v>0</v>
      </c>
      <c r="J260" s="57"/>
    </row>
    <row r="261" spans="1:10" ht="12" customHeight="1" x14ac:dyDescent="0.25">
      <c r="A261" s="55">
        <v>2023</v>
      </c>
      <c r="B261" s="55" t="s">
        <v>10</v>
      </c>
      <c r="C261" s="57">
        <v>0</v>
      </c>
      <c r="D261" s="57"/>
      <c r="E261" s="57">
        <v>0</v>
      </c>
      <c r="F261" s="57">
        <v>0</v>
      </c>
      <c r="G261" s="57">
        <v>0</v>
      </c>
      <c r="H261" s="57">
        <v>0</v>
      </c>
      <c r="I261" s="57">
        <v>0</v>
      </c>
      <c r="J261" s="57"/>
    </row>
    <row r="262" spans="1:10" ht="12" customHeight="1" x14ac:dyDescent="0.25">
      <c r="A262" s="55">
        <v>2023</v>
      </c>
      <c r="B262" s="55" t="s">
        <v>11</v>
      </c>
      <c r="C262" s="57">
        <v>0</v>
      </c>
      <c r="D262" s="57"/>
      <c r="E262" s="57">
        <v>0</v>
      </c>
      <c r="F262" s="57">
        <v>0</v>
      </c>
      <c r="G262" s="57">
        <v>0</v>
      </c>
      <c r="H262" s="57">
        <v>0</v>
      </c>
      <c r="I262" s="57">
        <v>0</v>
      </c>
      <c r="J262" s="57"/>
    </row>
    <row r="263" spans="1:10" ht="12" customHeight="1" x14ac:dyDescent="0.25">
      <c r="A263" s="55">
        <v>2023</v>
      </c>
      <c r="B263" s="55" t="s">
        <v>12</v>
      </c>
      <c r="C263" s="57">
        <v>0</v>
      </c>
      <c r="D263" s="57"/>
      <c r="E263" s="57">
        <v>0</v>
      </c>
      <c r="F263" s="57">
        <v>0</v>
      </c>
      <c r="G263" s="57">
        <v>0</v>
      </c>
      <c r="H263" s="57">
        <v>0</v>
      </c>
      <c r="I263" s="57">
        <v>0</v>
      </c>
      <c r="J263" s="57"/>
    </row>
    <row r="264" spans="1:10" ht="12" customHeight="1" x14ac:dyDescent="0.25">
      <c r="A264" s="55">
        <v>2023</v>
      </c>
      <c r="B264" s="55" t="s">
        <v>13</v>
      </c>
      <c r="C264" s="57">
        <v>0</v>
      </c>
      <c r="D264" s="57"/>
      <c r="E264" s="57">
        <v>0</v>
      </c>
      <c r="F264" s="57">
        <v>0</v>
      </c>
      <c r="G264" s="57">
        <v>0</v>
      </c>
      <c r="H264" s="57">
        <v>0</v>
      </c>
      <c r="I264" s="57">
        <v>0</v>
      </c>
      <c r="J264" s="57"/>
    </row>
    <row r="265" spans="1:10" ht="12" customHeight="1" x14ac:dyDescent="0.25">
      <c r="A265" s="55">
        <v>2023</v>
      </c>
      <c r="B265" s="56" t="s">
        <v>14</v>
      </c>
      <c r="C265" s="45">
        <v>0</v>
      </c>
      <c r="D265" s="45"/>
      <c r="E265" s="45">
        <v>0</v>
      </c>
      <c r="F265" s="45">
        <v>0</v>
      </c>
      <c r="G265" s="45">
        <v>0</v>
      </c>
      <c r="H265" s="45">
        <v>0</v>
      </c>
      <c r="I265" s="45">
        <v>0</v>
      </c>
      <c r="J265" s="45"/>
    </row>
    <row r="266" spans="1:10" ht="12" customHeight="1" x14ac:dyDescent="0.25">
      <c r="A266" s="55">
        <v>2023</v>
      </c>
      <c r="B266" s="56" t="s">
        <v>15</v>
      </c>
      <c r="C266" s="45">
        <v>70.424530000000004</v>
      </c>
      <c r="D266" s="45">
        <v>0</v>
      </c>
      <c r="E266" s="45">
        <v>0</v>
      </c>
      <c r="F266" s="45">
        <v>0</v>
      </c>
      <c r="G266" s="45">
        <v>0</v>
      </c>
      <c r="H266" s="45">
        <v>0</v>
      </c>
      <c r="I266" s="45">
        <v>70.424530000000004</v>
      </c>
      <c r="J266" s="45"/>
    </row>
    <row r="267" spans="1:10" ht="12" customHeight="1" x14ac:dyDescent="0.25">
      <c r="A267" s="91">
        <v>2024</v>
      </c>
      <c r="B267" s="92" t="s">
        <v>3</v>
      </c>
      <c r="C267" s="45">
        <v>0</v>
      </c>
      <c r="D267" s="45"/>
      <c r="E267" s="45">
        <v>0</v>
      </c>
      <c r="F267" s="45">
        <v>0</v>
      </c>
      <c r="G267" s="45">
        <v>0</v>
      </c>
      <c r="H267" s="45">
        <v>0</v>
      </c>
      <c r="I267" s="45">
        <v>0</v>
      </c>
      <c r="J267" s="45"/>
    </row>
    <row r="268" spans="1:10" ht="12" customHeight="1" x14ac:dyDescent="0.25">
      <c r="A268" s="91">
        <v>2024</v>
      </c>
      <c r="B268" s="92" t="s">
        <v>4</v>
      </c>
      <c r="C268" s="45">
        <v>0</v>
      </c>
      <c r="D268" s="45"/>
      <c r="E268" s="45">
        <v>0</v>
      </c>
      <c r="F268" s="45">
        <v>0</v>
      </c>
      <c r="G268" s="45">
        <v>0</v>
      </c>
      <c r="H268" s="45">
        <v>0</v>
      </c>
      <c r="I268" s="45">
        <v>0</v>
      </c>
      <c r="J268" s="45"/>
    </row>
    <row r="269" spans="1:10" ht="12" customHeight="1" x14ac:dyDescent="0.25">
      <c r="A269" s="91">
        <v>2024</v>
      </c>
      <c r="B269" s="92" t="s">
        <v>5</v>
      </c>
      <c r="C269" s="45">
        <v>0</v>
      </c>
      <c r="D269" s="45"/>
      <c r="E269" s="45">
        <v>0</v>
      </c>
      <c r="F269" s="45">
        <v>0</v>
      </c>
      <c r="G269" s="45">
        <v>0</v>
      </c>
      <c r="H269" s="45">
        <v>0</v>
      </c>
      <c r="I269" s="45">
        <v>0</v>
      </c>
      <c r="J269" s="45"/>
    </row>
    <row r="270" spans="1:10" ht="12" customHeight="1" x14ac:dyDescent="0.25">
      <c r="A270" s="91">
        <v>2024</v>
      </c>
      <c r="B270" s="92" t="s">
        <v>6</v>
      </c>
      <c r="C270" s="45">
        <v>0</v>
      </c>
      <c r="D270" s="45"/>
      <c r="E270" s="45">
        <v>0</v>
      </c>
      <c r="F270" s="45">
        <v>0</v>
      </c>
      <c r="G270" s="45">
        <v>0</v>
      </c>
      <c r="H270" s="45">
        <v>0</v>
      </c>
      <c r="I270" s="45">
        <v>0</v>
      </c>
      <c r="J270" s="45"/>
    </row>
    <row r="271" spans="1:10" ht="12" customHeight="1" x14ac:dyDescent="0.25">
      <c r="A271" s="91">
        <v>2024</v>
      </c>
      <c r="B271" s="92" t="s">
        <v>7</v>
      </c>
      <c r="C271" s="45">
        <v>0</v>
      </c>
      <c r="D271" s="45"/>
      <c r="E271" s="45">
        <v>0</v>
      </c>
      <c r="F271" s="45">
        <v>0</v>
      </c>
      <c r="G271" s="45">
        <v>0</v>
      </c>
      <c r="H271" s="45">
        <v>0</v>
      </c>
      <c r="I271" s="45">
        <v>0</v>
      </c>
      <c r="J271" s="45"/>
    </row>
    <row r="272" spans="1:10" ht="12" customHeight="1" x14ac:dyDescent="0.25">
      <c r="A272" s="91">
        <v>2024</v>
      </c>
      <c r="B272" s="92" t="s">
        <v>8</v>
      </c>
      <c r="C272" s="45">
        <v>0</v>
      </c>
      <c r="D272" s="45"/>
      <c r="E272" s="45">
        <v>0</v>
      </c>
      <c r="F272" s="45">
        <v>0</v>
      </c>
      <c r="G272" s="45">
        <v>0</v>
      </c>
      <c r="H272" s="45">
        <v>0</v>
      </c>
      <c r="I272" s="45">
        <v>0</v>
      </c>
      <c r="J272" s="45"/>
    </row>
    <row r="273" spans="1:10" ht="12" customHeight="1" x14ac:dyDescent="0.25">
      <c r="A273" s="91">
        <v>2024</v>
      </c>
      <c r="B273" s="92" t="s">
        <v>9</v>
      </c>
      <c r="C273" s="45">
        <v>0</v>
      </c>
      <c r="D273" s="45"/>
      <c r="E273" s="45">
        <v>0</v>
      </c>
      <c r="F273" s="45">
        <v>0</v>
      </c>
      <c r="G273" s="45">
        <v>0</v>
      </c>
      <c r="H273" s="45">
        <v>0</v>
      </c>
      <c r="I273" s="45">
        <v>0</v>
      </c>
      <c r="J273" s="45"/>
    </row>
    <row r="274" spans="1:10" ht="12" customHeight="1" x14ac:dyDescent="0.25">
      <c r="A274" s="91">
        <v>2024</v>
      </c>
      <c r="B274" s="92" t="s">
        <v>10</v>
      </c>
      <c r="C274" s="45">
        <v>0</v>
      </c>
      <c r="D274" s="45"/>
      <c r="E274" s="45">
        <v>0</v>
      </c>
      <c r="F274" s="45">
        <v>0</v>
      </c>
      <c r="G274" s="45">
        <v>0</v>
      </c>
      <c r="H274" s="45">
        <v>0</v>
      </c>
      <c r="I274" s="45">
        <v>0</v>
      </c>
      <c r="J274" s="45"/>
    </row>
    <row r="275" spans="1:10" ht="12" customHeight="1" x14ac:dyDescent="0.25">
      <c r="A275" s="91">
        <v>2024</v>
      </c>
      <c r="B275" s="92" t="s">
        <v>11</v>
      </c>
      <c r="C275" s="45">
        <v>0</v>
      </c>
      <c r="D275" s="45"/>
      <c r="E275" s="45">
        <v>0</v>
      </c>
      <c r="F275" s="45">
        <v>0</v>
      </c>
      <c r="G275" s="45">
        <v>0</v>
      </c>
      <c r="H275" s="45">
        <v>0</v>
      </c>
      <c r="I275" s="45">
        <v>0</v>
      </c>
      <c r="J275" s="45"/>
    </row>
    <row r="276" spans="1:10" ht="12" customHeight="1" x14ac:dyDescent="0.25">
      <c r="A276" s="91">
        <v>2024</v>
      </c>
      <c r="B276" s="92" t="s">
        <v>12</v>
      </c>
      <c r="C276" s="45">
        <v>0</v>
      </c>
      <c r="D276" s="45"/>
      <c r="E276" s="45">
        <v>0</v>
      </c>
      <c r="F276" s="45">
        <v>79.695959999999999</v>
      </c>
      <c r="G276" s="45">
        <v>0</v>
      </c>
      <c r="H276" s="45">
        <v>0</v>
      </c>
      <c r="I276" s="45">
        <v>79.695959999999999</v>
      </c>
      <c r="J276" s="45"/>
    </row>
    <row r="277" spans="1:10" ht="12" customHeight="1" x14ac:dyDescent="0.25">
      <c r="A277" s="91">
        <v>2024</v>
      </c>
      <c r="B277" s="92" t="s">
        <v>13</v>
      </c>
      <c r="C277" s="45">
        <v>0</v>
      </c>
      <c r="D277" s="45"/>
      <c r="E277" s="45">
        <v>0</v>
      </c>
      <c r="F277" s="45">
        <v>0</v>
      </c>
      <c r="G277" s="45">
        <v>0</v>
      </c>
      <c r="H277" s="45">
        <v>0</v>
      </c>
      <c r="I277" s="45">
        <v>0</v>
      </c>
      <c r="J277" s="45"/>
    </row>
    <row r="278" spans="1:10" ht="12" customHeight="1" x14ac:dyDescent="0.25">
      <c r="A278" s="91">
        <v>2024</v>
      </c>
      <c r="B278" s="92" t="s">
        <v>14</v>
      </c>
      <c r="C278" s="45">
        <v>0</v>
      </c>
      <c r="D278" s="45"/>
      <c r="E278" s="45">
        <v>0</v>
      </c>
      <c r="F278" s="45">
        <v>0</v>
      </c>
      <c r="G278" s="45">
        <v>0</v>
      </c>
      <c r="H278" s="45">
        <v>0</v>
      </c>
      <c r="I278" s="45">
        <v>0</v>
      </c>
      <c r="J278" s="45"/>
    </row>
    <row r="279" spans="1:10" ht="12" customHeight="1" x14ac:dyDescent="0.25">
      <c r="A279" s="91">
        <v>2024</v>
      </c>
      <c r="B279" s="92" t="s">
        <v>15</v>
      </c>
      <c r="C279" s="45">
        <v>0</v>
      </c>
      <c r="D279" s="45">
        <v>0</v>
      </c>
      <c r="E279" s="45">
        <v>0</v>
      </c>
      <c r="F279" s="45">
        <v>79.695959999999999</v>
      </c>
      <c r="G279" s="45">
        <v>0</v>
      </c>
      <c r="H279" s="45">
        <v>0</v>
      </c>
      <c r="I279" s="45">
        <v>79.695959999999999</v>
      </c>
      <c r="J279" s="45"/>
    </row>
    <row r="280" spans="1:10" ht="12" customHeight="1" x14ac:dyDescent="0.25">
      <c r="A280" s="55">
        <v>2025</v>
      </c>
      <c r="B280" s="56" t="s">
        <v>3</v>
      </c>
      <c r="C280" s="45">
        <v>0</v>
      </c>
      <c r="D280" s="45"/>
      <c r="E280" s="45">
        <v>0</v>
      </c>
      <c r="F280" s="45">
        <v>0</v>
      </c>
      <c r="G280" s="45">
        <v>0</v>
      </c>
      <c r="H280" s="45">
        <v>0</v>
      </c>
      <c r="I280" s="45">
        <v>0</v>
      </c>
      <c r="J280" s="45"/>
    </row>
    <row r="281" spans="1:10" ht="12" customHeight="1" x14ac:dyDescent="0.25">
      <c r="A281" s="55">
        <v>2025</v>
      </c>
      <c r="B281" s="56" t="s">
        <v>4</v>
      </c>
      <c r="C281" s="45">
        <v>0</v>
      </c>
      <c r="D281" s="45"/>
      <c r="E281" s="45">
        <v>0</v>
      </c>
      <c r="F281" s="45">
        <v>0</v>
      </c>
      <c r="G281" s="45">
        <v>0</v>
      </c>
      <c r="H281" s="45">
        <v>0</v>
      </c>
      <c r="I281" s="45">
        <v>0</v>
      </c>
      <c r="J281" s="45"/>
    </row>
    <row r="282" spans="1:10" ht="12" customHeight="1" x14ac:dyDescent="0.25">
      <c r="A282" s="55">
        <v>2025</v>
      </c>
      <c r="B282" s="56" t="s">
        <v>5</v>
      </c>
      <c r="C282" s="45">
        <v>0</v>
      </c>
      <c r="D282" s="45"/>
      <c r="E282" s="45">
        <v>0</v>
      </c>
      <c r="F282" s="45">
        <v>0</v>
      </c>
      <c r="G282" s="45">
        <v>0</v>
      </c>
      <c r="H282" s="45">
        <v>0</v>
      </c>
      <c r="I282" s="45">
        <v>0</v>
      </c>
      <c r="J282" s="45"/>
    </row>
    <row r="283" spans="1:10" ht="12" customHeight="1" x14ac:dyDescent="0.25">
      <c r="A283" s="55">
        <v>2025</v>
      </c>
      <c r="B283" s="56" t="s">
        <v>6</v>
      </c>
      <c r="C283" s="45">
        <v>0</v>
      </c>
      <c r="D283" s="45"/>
      <c r="E283" s="45">
        <v>0</v>
      </c>
      <c r="F283" s="45">
        <v>0</v>
      </c>
      <c r="G283" s="45">
        <v>0</v>
      </c>
      <c r="H283" s="45">
        <v>0</v>
      </c>
      <c r="I283" s="45">
        <v>0</v>
      </c>
      <c r="J283" s="45"/>
    </row>
    <row r="284" spans="1:10" ht="12" customHeight="1" x14ac:dyDescent="0.25">
      <c r="A284" s="55">
        <v>2025</v>
      </c>
      <c r="B284" s="56" t="s">
        <v>7</v>
      </c>
      <c r="C284" s="45">
        <v>0</v>
      </c>
      <c r="D284" s="45"/>
      <c r="E284" s="45">
        <v>0</v>
      </c>
      <c r="F284" s="45">
        <v>0</v>
      </c>
      <c r="G284" s="45">
        <v>0</v>
      </c>
      <c r="H284" s="45">
        <v>0</v>
      </c>
      <c r="I284" s="45">
        <v>0</v>
      </c>
      <c r="J284" s="45"/>
    </row>
    <row r="285" spans="1:10" ht="12" customHeight="1" x14ac:dyDescent="0.25">
      <c r="A285" s="55">
        <v>2025</v>
      </c>
      <c r="B285" s="56" t="s">
        <v>8</v>
      </c>
      <c r="C285" s="45">
        <v>0</v>
      </c>
      <c r="D285" s="45"/>
      <c r="E285" s="45">
        <v>0</v>
      </c>
      <c r="F285" s="45">
        <v>0</v>
      </c>
      <c r="G285" s="45">
        <v>0</v>
      </c>
      <c r="H285" s="45">
        <v>0</v>
      </c>
      <c r="I285" s="45">
        <v>0</v>
      </c>
      <c r="J285" s="45"/>
    </row>
    <row r="286" spans="1:10" ht="12" customHeight="1" x14ac:dyDescent="0.25">
      <c r="A286" s="55">
        <v>2025</v>
      </c>
      <c r="B286" s="56" t="s">
        <v>9</v>
      </c>
      <c r="C286" s="45">
        <v>0</v>
      </c>
      <c r="D286" s="45"/>
      <c r="E286" s="45">
        <v>0</v>
      </c>
      <c r="F286" s="45">
        <v>0</v>
      </c>
      <c r="G286" s="45">
        <v>0</v>
      </c>
      <c r="H286" s="45">
        <v>0</v>
      </c>
      <c r="I286" s="45">
        <v>0</v>
      </c>
      <c r="J286" s="45"/>
    </row>
    <row r="287" spans="1:10" ht="12" customHeight="1" x14ac:dyDescent="0.25">
      <c r="A287" s="55">
        <v>2025</v>
      </c>
      <c r="B287" s="56" t="s">
        <v>10</v>
      </c>
      <c r="C287" s="45">
        <v>0</v>
      </c>
      <c r="D287" s="45"/>
      <c r="E287" s="45">
        <v>0</v>
      </c>
      <c r="F287" s="45">
        <v>0</v>
      </c>
      <c r="G287" s="45">
        <v>0</v>
      </c>
      <c r="H287" s="45">
        <v>0</v>
      </c>
      <c r="I287" s="45">
        <v>0</v>
      </c>
      <c r="J287" s="45"/>
    </row>
    <row r="288" spans="1:10" ht="12" customHeight="1" x14ac:dyDescent="0.25">
      <c r="A288" s="55">
        <v>2025</v>
      </c>
      <c r="B288" s="56" t="s">
        <v>11</v>
      </c>
      <c r="C288" s="45">
        <v>0</v>
      </c>
      <c r="D288" s="45"/>
      <c r="E288" s="45">
        <v>0</v>
      </c>
      <c r="F288" s="45">
        <v>0</v>
      </c>
      <c r="G288" s="45">
        <v>0</v>
      </c>
      <c r="H288" s="45">
        <v>0</v>
      </c>
      <c r="I288" s="45">
        <v>0</v>
      </c>
      <c r="J288" s="45"/>
    </row>
    <row r="289" spans="1:10" ht="12" customHeight="1" x14ac:dyDescent="0.25">
      <c r="A289" s="55">
        <v>2025</v>
      </c>
      <c r="B289" s="56" t="s">
        <v>12</v>
      </c>
      <c r="C289" s="45">
        <v>0</v>
      </c>
      <c r="D289" s="45"/>
      <c r="E289" s="45">
        <v>0</v>
      </c>
      <c r="F289" s="45">
        <v>0</v>
      </c>
      <c r="G289" s="45">
        <v>0</v>
      </c>
      <c r="H289" s="45">
        <v>0</v>
      </c>
      <c r="I289" s="45">
        <v>0</v>
      </c>
      <c r="J289" s="45"/>
    </row>
    <row r="290" spans="1:10" ht="12" customHeight="1" x14ac:dyDescent="0.25">
      <c r="A290" s="55">
        <v>2025</v>
      </c>
      <c r="B290" s="56" t="s">
        <v>13</v>
      </c>
      <c r="C290" s="45">
        <v>0</v>
      </c>
      <c r="D290" s="45"/>
      <c r="E290" s="45">
        <v>0</v>
      </c>
      <c r="F290" s="45">
        <v>0</v>
      </c>
      <c r="G290" s="45">
        <v>0</v>
      </c>
      <c r="H290" s="45">
        <v>0</v>
      </c>
      <c r="I290" s="45">
        <v>0</v>
      </c>
      <c r="J290" s="45"/>
    </row>
    <row r="291" spans="1:10" ht="12" customHeight="1" x14ac:dyDescent="0.25">
      <c r="A291" s="99">
        <v>2025</v>
      </c>
      <c r="B291" s="56" t="s">
        <v>14</v>
      </c>
      <c r="C291" s="45">
        <v>0</v>
      </c>
      <c r="D291" s="45"/>
      <c r="E291" s="45">
        <v>0</v>
      </c>
      <c r="F291" s="45">
        <v>0</v>
      </c>
      <c r="G291" s="45">
        <v>0</v>
      </c>
      <c r="H291" s="45">
        <v>0</v>
      </c>
      <c r="I291" s="45">
        <v>0</v>
      </c>
    </row>
    <row r="292" spans="1:10" ht="12" customHeight="1" x14ac:dyDescent="0.25">
      <c r="A292" s="99">
        <v>2025</v>
      </c>
      <c r="B292" s="56" t="s">
        <v>15</v>
      </c>
      <c r="C292" s="45">
        <v>0</v>
      </c>
      <c r="D292" s="45">
        <v>0</v>
      </c>
      <c r="E292" s="45">
        <v>0</v>
      </c>
      <c r="F292" s="45">
        <v>0</v>
      </c>
      <c r="G292" s="45">
        <v>0</v>
      </c>
      <c r="H292" s="45">
        <v>0</v>
      </c>
      <c r="I292" s="45">
        <v>0</v>
      </c>
    </row>
    <row r="293" spans="1:10" ht="12" customHeight="1" x14ac:dyDescent="0.25">
      <c r="A293" s="91">
        <v>2026</v>
      </c>
      <c r="B293" s="92" t="s">
        <v>3</v>
      </c>
      <c r="C293" s="45">
        <v>0</v>
      </c>
      <c r="D293" s="45"/>
      <c r="E293" s="45">
        <v>0</v>
      </c>
      <c r="F293" s="45">
        <v>0</v>
      </c>
      <c r="G293" s="45">
        <v>0</v>
      </c>
      <c r="H293" s="45">
        <v>0</v>
      </c>
      <c r="I293" s="45">
        <v>0</v>
      </c>
      <c r="J293" s="45"/>
    </row>
    <row r="294" spans="1:10" ht="12" customHeight="1" x14ac:dyDescent="0.25">
      <c r="A294" s="91">
        <v>2026</v>
      </c>
      <c r="B294" s="92" t="s">
        <v>4</v>
      </c>
      <c r="C294" s="45">
        <v>0</v>
      </c>
      <c r="D294" s="45"/>
      <c r="E294" s="45">
        <v>0</v>
      </c>
      <c r="F294" s="45">
        <v>0</v>
      </c>
      <c r="G294" s="45">
        <v>0</v>
      </c>
      <c r="H294" s="45">
        <v>0</v>
      </c>
      <c r="I294" s="45">
        <v>0</v>
      </c>
      <c r="J294" s="45"/>
    </row>
    <row r="295" spans="1:10" ht="12" customHeight="1" x14ac:dyDescent="0.25">
      <c r="A295" s="91">
        <v>2026</v>
      </c>
      <c r="B295" s="92" t="s">
        <v>5</v>
      </c>
      <c r="C295" s="45">
        <v>0</v>
      </c>
      <c r="D295" s="45"/>
      <c r="E295" s="45">
        <v>0</v>
      </c>
      <c r="F295" s="45">
        <v>0</v>
      </c>
      <c r="G295" s="45">
        <v>0</v>
      </c>
      <c r="H295" s="45">
        <v>0</v>
      </c>
      <c r="I295" s="45">
        <v>0</v>
      </c>
      <c r="J295" s="45"/>
    </row>
    <row r="296" spans="1:10" ht="12" customHeight="1" x14ac:dyDescent="0.25">
      <c r="A296" s="91">
        <v>2026</v>
      </c>
      <c r="B296" s="92" t="s">
        <v>6</v>
      </c>
      <c r="C296" s="45">
        <v>0</v>
      </c>
      <c r="D296" s="45"/>
      <c r="E296" s="45">
        <v>0</v>
      </c>
      <c r="F296" s="45">
        <v>0</v>
      </c>
      <c r="G296" s="45">
        <v>0</v>
      </c>
      <c r="H296" s="45">
        <v>0</v>
      </c>
      <c r="I296" s="45">
        <v>0</v>
      </c>
      <c r="J296" s="45"/>
    </row>
    <row r="297" spans="1:10" ht="12" customHeight="1" x14ac:dyDescent="0.25">
      <c r="A297" s="91">
        <v>2026</v>
      </c>
      <c r="B297" s="92" t="s">
        <v>7</v>
      </c>
      <c r="C297" s="45">
        <v>0</v>
      </c>
      <c r="D297" s="45"/>
      <c r="E297" s="45">
        <v>0</v>
      </c>
      <c r="F297" s="45">
        <v>0</v>
      </c>
      <c r="G297" s="45">
        <v>0</v>
      </c>
      <c r="H297" s="45">
        <v>0</v>
      </c>
      <c r="I297" s="45">
        <v>0</v>
      </c>
      <c r="J297" s="45"/>
    </row>
    <row r="298" spans="1:10" ht="12" customHeight="1" x14ac:dyDescent="0.25">
      <c r="A298" s="91">
        <v>2026</v>
      </c>
      <c r="B298" s="92" t="s">
        <v>8</v>
      </c>
      <c r="C298" s="45">
        <v>0</v>
      </c>
      <c r="D298" s="45"/>
      <c r="E298" s="45">
        <v>0</v>
      </c>
      <c r="F298" s="45">
        <v>0</v>
      </c>
      <c r="G298" s="45">
        <v>0</v>
      </c>
      <c r="H298" s="45">
        <v>0</v>
      </c>
      <c r="I298" s="45">
        <v>0</v>
      </c>
      <c r="J298" s="45"/>
    </row>
    <row r="299" spans="1:10" ht="12" customHeight="1" x14ac:dyDescent="0.25">
      <c r="A299" s="91">
        <v>2026</v>
      </c>
      <c r="B299" s="92" t="s">
        <v>9</v>
      </c>
      <c r="C299" s="45">
        <v>0</v>
      </c>
      <c r="D299" s="45"/>
      <c r="E299" s="45">
        <v>0</v>
      </c>
      <c r="F299" s="45">
        <v>0</v>
      </c>
      <c r="G299" s="45">
        <v>0</v>
      </c>
      <c r="H299" s="45">
        <v>0</v>
      </c>
      <c r="I299" s="45">
        <v>0</v>
      </c>
      <c r="J299" s="45"/>
    </row>
    <row r="300" spans="1:10" ht="12" customHeight="1" x14ac:dyDescent="0.25">
      <c r="A300" s="91" t="s">
        <v>64</v>
      </c>
      <c r="B300" s="92" t="s">
        <v>64</v>
      </c>
      <c r="C300" s="45">
        <v>0</v>
      </c>
      <c r="D300" s="45"/>
      <c r="E300" s="45">
        <v>0</v>
      </c>
      <c r="F300" s="45">
        <v>0</v>
      </c>
      <c r="G300" s="45">
        <v>0</v>
      </c>
      <c r="H300" s="45">
        <v>0</v>
      </c>
      <c r="I300" s="45">
        <v>0</v>
      </c>
      <c r="J300" s="45"/>
    </row>
    <row r="301" spans="1:10" ht="12" customHeight="1" x14ac:dyDescent="0.25">
      <c r="A301" s="91" t="s">
        <v>64</v>
      </c>
      <c r="B301" s="92" t="s">
        <v>64</v>
      </c>
      <c r="C301" s="45">
        <v>0</v>
      </c>
      <c r="D301" s="45"/>
      <c r="E301" s="45">
        <v>0</v>
      </c>
      <c r="F301" s="45">
        <v>0</v>
      </c>
      <c r="G301" s="45">
        <v>0</v>
      </c>
      <c r="H301" s="45">
        <v>0</v>
      </c>
      <c r="I301" s="45">
        <v>0</v>
      </c>
      <c r="J301" s="45"/>
    </row>
    <row r="302" spans="1:10" ht="12" customHeight="1" x14ac:dyDescent="0.25">
      <c r="A302" s="91" t="s">
        <v>64</v>
      </c>
      <c r="B302" s="92" t="s">
        <v>64</v>
      </c>
      <c r="C302" s="45">
        <v>0</v>
      </c>
      <c r="D302" s="45"/>
      <c r="E302" s="45">
        <v>0</v>
      </c>
      <c r="F302" s="45">
        <v>0</v>
      </c>
      <c r="G302" s="45">
        <v>0</v>
      </c>
      <c r="H302" s="45">
        <v>0</v>
      </c>
      <c r="I302" s="45">
        <v>0</v>
      </c>
      <c r="J302" s="45"/>
    </row>
    <row r="303" spans="1:10" ht="12" customHeight="1" x14ac:dyDescent="0.25">
      <c r="A303" s="91" t="s">
        <v>64</v>
      </c>
      <c r="B303" s="92" t="s">
        <v>64</v>
      </c>
      <c r="C303" s="45">
        <v>0</v>
      </c>
      <c r="D303" s="45"/>
      <c r="E303" s="45">
        <v>0</v>
      </c>
      <c r="F303" s="45">
        <v>0</v>
      </c>
      <c r="G303" s="45">
        <v>0</v>
      </c>
      <c r="H303" s="45">
        <v>0</v>
      </c>
      <c r="I303" s="45">
        <v>0</v>
      </c>
      <c r="J303" s="45"/>
    </row>
    <row r="304" spans="1:10" ht="12" customHeight="1" x14ac:dyDescent="0.25">
      <c r="A304" s="91" t="s">
        <v>64</v>
      </c>
      <c r="B304" s="92" t="s">
        <v>64</v>
      </c>
      <c r="C304" s="45">
        <v>0</v>
      </c>
      <c r="D304" s="45"/>
      <c r="E304" s="45">
        <v>0</v>
      </c>
      <c r="F304" s="45">
        <v>0</v>
      </c>
      <c r="G304" s="45">
        <v>0</v>
      </c>
      <c r="H304" s="45">
        <v>0</v>
      </c>
      <c r="I304" s="45">
        <v>0</v>
      </c>
      <c r="J304" s="45"/>
    </row>
    <row r="305" spans="1:10" ht="12" customHeight="1" x14ac:dyDescent="0.25">
      <c r="A305" s="91"/>
      <c r="B305" s="92"/>
      <c r="C305" s="45"/>
      <c r="D305" s="45"/>
      <c r="E305" s="45"/>
      <c r="F305" s="45"/>
      <c r="G305" s="45"/>
      <c r="H305" s="45"/>
      <c r="I305" s="45"/>
      <c r="J305" s="45"/>
    </row>
    <row r="306" spans="1:10" ht="12" customHeight="1" x14ac:dyDescent="0.25">
      <c r="B306" s="56" t="s">
        <v>64</v>
      </c>
      <c r="C306" s="45">
        <v>0</v>
      </c>
      <c r="D306" s="45"/>
      <c r="E306" s="45"/>
      <c r="F306" s="45"/>
      <c r="G306" s="45">
        <v>0</v>
      </c>
      <c r="H306" s="45"/>
      <c r="I306" s="45">
        <v>0</v>
      </c>
    </row>
    <row r="307" spans="1:10" ht="12" customHeight="1" x14ac:dyDescent="0.25">
      <c r="B307" s="56" t="s">
        <v>64</v>
      </c>
      <c r="C307" s="45">
        <v>0</v>
      </c>
      <c r="D307" s="45"/>
      <c r="E307" s="45"/>
      <c r="F307" s="45"/>
      <c r="G307" s="45">
        <v>0</v>
      </c>
      <c r="H307" s="45"/>
      <c r="I307" s="45">
        <v>0</v>
      </c>
    </row>
    <row r="308" spans="1:10" ht="12" customHeight="1" x14ac:dyDescent="0.25">
      <c r="B308" s="56" t="s">
        <v>64</v>
      </c>
      <c r="C308" s="45">
        <v>0</v>
      </c>
      <c r="D308" s="45"/>
      <c r="E308" s="45"/>
      <c r="F308" s="45"/>
      <c r="G308" s="45">
        <v>0</v>
      </c>
      <c r="H308" s="45"/>
      <c r="I308" s="45">
        <v>0</v>
      </c>
    </row>
    <row r="309" spans="1:10" ht="12" customHeight="1" x14ac:dyDescent="0.25">
      <c r="B309" s="56" t="s">
        <v>64</v>
      </c>
      <c r="C309" s="45">
        <v>0</v>
      </c>
      <c r="D309" s="45"/>
      <c r="E309" s="45"/>
      <c r="F309" s="45"/>
      <c r="G309" s="45">
        <v>0</v>
      </c>
      <c r="H309" s="45"/>
      <c r="I309" s="45">
        <v>0</v>
      </c>
    </row>
    <row r="310" spans="1:10" ht="12" customHeight="1" x14ac:dyDescent="0.25">
      <c r="B310" s="56" t="s">
        <v>64</v>
      </c>
      <c r="C310" s="45">
        <v>0</v>
      </c>
      <c r="D310" s="45"/>
      <c r="E310" s="45"/>
      <c r="F310" s="45"/>
      <c r="G310" s="45">
        <v>0</v>
      </c>
      <c r="H310" s="45"/>
      <c r="I310" s="45">
        <v>0</v>
      </c>
    </row>
    <row r="311" spans="1:10" ht="12" customHeight="1" x14ac:dyDescent="0.25">
      <c r="B311" s="56" t="s">
        <v>64</v>
      </c>
      <c r="C311" s="45">
        <v>0</v>
      </c>
      <c r="D311" s="45"/>
      <c r="E311" s="45"/>
      <c r="F311" s="45"/>
      <c r="G311" s="45">
        <v>0</v>
      </c>
      <c r="H311" s="45"/>
      <c r="I311" s="45">
        <v>0</v>
      </c>
    </row>
    <row r="312" spans="1:10" ht="12" customHeight="1" x14ac:dyDescent="0.25">
      <c r="B312" s="56" t="s">
        <v>64</v>
      </c>
      <c r="C312" s="45">
        <v>0</v>
      </c>
      <c r="D312" s="45"/>
      <c r="E312" s="45"/>
      <c r="F312" s="45"/>
      <c r="G312" s="45">
        <v>0</v>
      </c>
      <c r="H312" s="45"/>
      <c r="I312" s="45">
        <v>0</v>
      </c>
    </row>
    <row r="313" spans="1:10" ht="12" customHeight="1" x14ac:dyDescent="0.25">
      <c r="B313" s="56" t="s">
        <v>64</v>
      </c>
      <c r="C313" s="45">
        <v>0</v>
      </c>
      <c r="D313" s="45"/>
      <c r="E313" s="45"/>
      <c r="F313" s="45"/>
      <c r="G313" s="45">
        <v>0</v>
      </c>
      <c r="H313" s="45"/>
      <c r="I313" s="45">
        <v>0</v>
      </c>
    </row>
    <row r="314" spans="1:10" ht="12" customHeight="1" x14ac:dyDescent="0.25">
      <c r="B314" s="56" t="s">
        <v>64</v>
      </c>
      <c r="C314" s="45">
        <v>0</v>
      </c>
      <c r="D314" s="45"/>
      <c r="E314" s="45"/>
      <c r="F314" s="45"/>
      <c r="G314" s="45">
        <v>0</v>
      </c>
      <c r="H314" s="45"/>
      <c r="I314" s="45">
        <v>0</v>
      </c>
    </row>
    <row r="315" spans="1:10" ht="12" customHeight="1" x14ac:dyDescent="0.25">
      <c r="B315" s="56" t="s">
        <v>64</v>
      </c>
      <c r="C315" s="45">
        <v>0</v>
      </c>
      <c r="D315" s="45"/>
      <c r="E315" s="45"/>
      <c r="F315" s="45"/>
      <c r="G315" s="45">
        <v>0</v>
      </c>
      <c r="H315" s="45"/>
      <c r="I315" s="45">
        <v>0</v>
      </c>
    </row>
    <row r="316" spans="1:10" ht="12" customHeight="1" x14ac:dyDescent="0.25">
      <c r="B316" s="56" t="s">
        <v>64</v>
      </c>
      <c r="C316" s="45">
        <v>0</v>
      </c>
      <c r="D316" s="45"/>
      <c r="E316" s="45"/>
      <c r="F316" s="45"/>
      <c r="G316" s="45">
        <v>0</v>
      </c>
      <c r="H316" s="45"/>
      <c r="I316" s="45">
        <v>0</v>
      </c>
    </row>
    <row r="317" spans="1:10" ht="12" customHeight="1" x14ac:dyDescent="0.25">
      <c r="B317" s="56" t="s">
        <v>64</v>
      </c>
      <c r="C317" s="45">
        <v>0</v>
      </c>
      <c r="D317" s="45"/>
      <c r="E317" s="45"/>
      <c r="F317" s="45"/>
      <c r="G317" s="45">
        <v>0</v>
      </c>
      <c r="H317" s="45"/>
      <c r="I317" s="45">
        <v>0</v>
      </c>
    </row>
    <row r="318" spans="1:10" ht="12" customHeight="1" x14ac:dyDescent="0.25">
      <c r="B318" s="56" t="s">
        <v>64</v>
      </c>
      <c r="C318" s="45">
        <v>0</v>
      </c>
      <c r="D318" s="45"/>
      <c r="E318" s="45"/>
      <c r="F318" s="45"/>
      <c r="G318" s="45">
        <v>0</v>
      </c>
      <c r="H318" s="45"/>
      <c r="I318" s="45">
        <v>0</v>
      </c>
    </row>
    <row r="319" spans="1:10" ht="12" customHeight="1" x14ac:dyDescent="0.25">
      <c r="B319" s="56" t="s">
        <v>64</v>
      </c>
      <c r="C319" s="45">
        <v>0</v>
      </c>
      <c r="D319" s="45"/>
      <c r="E319" s="45"/>
      <c r="F319" s="45"/>
      <c r="G319" s="45">
        <v>0</v>
      </c>
      <c r="H319" s="45"/>
      <c r="I319" s="45">
        <v>0</v>
      </c>
    </row>
    <row r="320" spans="1:10" ht="12" customHeight="1" x14ac:dyDescent="0.25">
      <c r="B320" s="56" t="s">
        <v>64</v>
      </c>
      <c r="C320" s="45">
        <v>0</v>
      </c>
      <c r="D320" s="45"/>
      <c r="E320" s="45"/>
      <c r="F320" s="45"/>
      <c r="G320" s="45">
        <v>0</v>
      </c>
      <c r="H320" s="45"/>
      <c r="I320" s="45">
        <v>0</v>
      </c>
    </row>
    <row r="321" spans="2:9" ht="12" customHeight="1" x14ac:dyDescent="0.25">
      <c r="B321" s="56" t="s">
        <v>64</v>
      </c>
      <c r="C321" s="45">
        <v>0</v>
      </c>
      <c r="D321" s="45"/>
      <c r="E321" s="45"/>
      <c r="F321" s="45"/>
      <c r="G321" s="45">
        <v>0</v>
      </c>
      <c r="H321" s="45"/>
      <c r="I321" s="45">
        <v>0</v>
      </c>
    </row>
    <row r="322" spans="2:9" ht="12" customHeight="1" x14ac:dyDescent="0.25">
      <c r="B322" s="56" t="s">
        <v>64</v>
      </c>
      <c r="C322" s="45">
        <v>0</v>
      </c>
      <c r="D322" s="45"/>
      <c r="E322" s="45"/>
      <c r="F322" s="45"/>
      <c r="G322" s="45">
        <v>0</v>
      </c>
      <c r="H322" s="45"/>
      <c r="I322" s="45">
        <v>0</v>
      </c>
    </row>
    <row r="323" spans="2:9" ht="12" customHeight="1" x14ac:dyDescent="0.25">
      <c r="B323" s="56" t="s">
        <v>64</v>
      </c>
      <c r="C323" s="45">
        <v>0</v>
      </c>
      <c r="D323" s="45"/>
      <c r="E323" s="45"/>
      <c r="F323" s="45"/>
      <c r="G323" s="45">
        <v>0</v>
      </c>
      <c r="H323" s="45"/>
      <c r="I323" s="45">
        <v>0</v>
      </c>
    </row>
    <row r="324" spans="2:9" ht="12" customHeight="1" x14ac:dyDescent="0.25">
      <c r="B324" s="56" t="s">
        <v>64</v>
      </c>
      <c r="C324" s="45">
        <v>0</v>
      </c>
      <c r="D324" s="45"/>
      <c r="E324" s="45"/>
      <c r="F324" s="45"/>
      <c r="G324" s="45">
        <v>0</v>
      </c>
      <c r="H324" s="45"/>
      <c r="I324" s="45">
        <v>0</v>
      </c>
    </row>
    <row r="325" spans="2:9" ht="12" customHeight="1" x14ac:dyDescent="0.25">
      <c r="B325" s="56" t="s">
        <v>64</v>
      </c>
      <c r="C325" s="45">
        <v>0</v>
      </c>
      <c r="D325" s="45"/>
      <c r="E325" s="45"/>
      <c r="F325" s="45"/>
      <c r="G325" s="45">
        <v>0</v>
      </c>
      <c r="H325" s="45"/>
      <c r="I325" s="45">
        <v>0</v>
      </c>
    </row>
    <row r="326" spans="2:9" ht="12" customHeight="1" x14ac:dyDescent="0.25">
      <c r="B326" s="56" t="s">
        <v>64</v>
      </c>
      <c r="C326" s="45">
        <v>0</v>
      </c>
      <c r="D326" s="45"/>
      <c r="E326" s="45"/>
      <c r="F326" s="45"/>
      <c r="G326" s="45">
        <v>0</v>
      </c>
      <c r="H326" s="45"/>
      <c r="I326" s="45">
        <v>0</v>
      </c>
    </row>
    <row r="327" spans="2:9" ht="12" customHeight="1" x14ac:dyDescent="0.25">
      <c r="B327" s="56" t="s">
        <v>64</v>
      </c>
      <c r="C327" s="45">
        <v>0</v>
      </c>
      <c r="D327" s="45"/>
      <c r="E327" s="45"/>
      <c r="F327" s="45"/>
      <c r="G327" s="45">
        <v>0</v>
      </c>
      <c r="H327" s="45"/>
      <c r="I327" s="45">
        <v>0</v>
      </c>
    </row>
    <row r="328" spans="2:9" ht="12" customHeight="1" x14ac:dyDescent="0.25">
      <c r="B328" s="56" t="s">
        <v>64</v>
      </c>
      <c r="C328" s="45">
        <v>0</v>
      </c>
      <c r="D328" s="45"/>
      <c r="E328" s="45"/>
      <c r="F328" s="45"/>
      <c r="G328" s="45">
        <v>0</v>
      </c>
      <c r="H328" s="45"/>
      <c r="I328" s="45">
        <v>0</v>
      </c>
    </row>
    <row r="329" spans="2:9" ht="12" customHeight="1" x14ac:dyDescent="0.25">
      <c r="B329" s="56" t="s">
        <v>64</v>
      </c>
      <c r="C329" s="45">
        <v>0</v>
      </c>
      <c r="D329" s="45"/>
      <c r="E329" s="45"/>
      <c r="F329" s="45"/>
      <c r="G329" s="45">
        <v>0</v>
      </c>
      <c r="H329" s="45"/>
      <c r="I329" s="45">
        <v>0</v>
      </c>
    </row>
    <row r="330" spans="2:9" ht="12" customHeight="1" x14ac:dyDescent="0.25">
      <c r="B330" s="56" t="s">
        <v>64</v>
      </c>
      <c r="C330" s="45">
        <v>0</v>
      </c>
      <c r="D330" s="45"/>
      <c r="E330" s="45"/>
      <c r="F330" s="45"/>
      <c r="G330" s="45">
        <v>0</v>
      </c>
      <c r="H330" s="45"/>
      <c r="I330" s="45">
        <v>0</v>
      </c>
    </row>
    <row r="331" spans="2:9" ht="12" customHeight="1" x14ac:dyDescent="0.25">
      <c r="B331" s="56" t="s">
        <v>64</v>
      </c>
      <c r="C331" s="45">
        <v>0</v>
      </c>
      <c r="D331" s="45"/>
      <c r="E331" s="45"/>
      <c r="F331" s="45"/>
      <c r="G331" s="45">
        <v>0</v>
      </c>
      <c r="H331" s="45"/>
      <c r="I331" s="45">
        <v>0</v>
      </c>
    </row>
    <row r="332" spans="2:9" ht="12" customHeight="1" x14ac:dyDescent="0.25">
      <c r="B332" s="56" t="s">
        <v>64</v>
      </c>
      <c r="C332" s="45">
        <v>0</v>
      </c>
      <c r="D332" s="45"/>
      <c r="E332" s="45"/>
      <c r="F332" s="45"/>
      <c r="G332" s="45">
        <v>0</v>
      </c>
      <c r="H332" s="45"/>
      <c r="I332" s="45">
        <v>0</v>
      </c>
    </row>
    <row r="333" spans="2:9" ht="12" customHeight="1" x14ac:dyDescent="0.25">
      <c r="B333" s="56" t="s">
        <v>64</v>
      </c>
      <c r="C333" s="45">
        <v>0</v>
      </c>
      <c r="D333" s="45"/>
      <c r="E333" s="45"/>
      <c r="F333" s="45"/>
      <c r="G333" s="45">
        <v>0</v>
      </c>
      <c r="H333" s="45"/>
      <c r="I333" s="45">
        <v>0</v>
      </c>
    </row>
    <row r="334" spans="2:9" ht="12" customHeight="1" x14ac:dyDescent="0.25">
      <c r="B334" s="56" t="s">
        <v>64</v>
      </c>
      <c r="C334" s="45">
        <v>0</v>
      </c>
      <c r="D334" s="45"/>
      <c r="E334" s="45"/>
      <c r="F334" s="45"/>
      <c r="G334" s="45">
        <v>0</v>
      </c>
      <c r="H334" s="45"/>
      <c r="I334" s="45">
        <v>0</v>
      </c>
    </row>
    <row r="335" spans="2:9" ht="12" customHeight="1" x14ac:dyDescent="0.25">
      <c r="B335" s="56" t="s">
        <v>64</v>
      </c>
      <c r="C335" s="45">
        <v>0</v>
      </c>
      <c r="D335" s="45"/>
      <c r="E335" s="45"/>
      <c r="F335" s="45"/>
      <c r="G335" s="45">
        <v>0</v>
      </c>
      <c r="H335" s="45"/>
      <c r="I335" s="45">
        <v>0</v>
      </c>
    </row>
    <row r="336" spans="2:9" ht="12" customHeight="1" x14ac:dyDescent="0.25">
      <c r="B336" s="56" t="s">
        <v>64</v>
      </c>
      <c r="C336" s="45">
        <v>0</v>
      </c>
      <c r="D336" s="45"/>
      <c r="E336" s="45"/>
      <c r="F336" s="45"/>
      <c r="G336" s="45">
        <v>0</v>
      </c>
      <c r="H336" s="45"/>
      <c r="I336" s="45">
        <v>0</v>
      </c>
    </row>
    <row r="337" spans="2:9" ht="12" customHeight="1" x14ac:dyDescent="0.25">
      <c r="B337" s="56" t="s">
        <v>64</v>
      </c>
      <c r="C337" s="45">
        <v>0</v>
      </c>
      <c r="D337" s="45"/>
      <c r="E337" s="45"/>
      <c r="F337" s="45"/>
      <c r="G337" s="45">
        <v>0</v>
      </c>
      <c r="H337" s="45"/>
      <c r="I337" s="45">
        <v>0</v>
      </c>
    </row>
    <row r="338" spans="2:9" ht="12" customHeight="1" x14ac:dyDescent="0.25">
      <c r="B338" s="56" t="s">
        <v>64</v>
      </c>
      <c r="C338" s="45">
        <v>0</v>
      </c>
      <c r="D338" s="45"/>
      <c r="E338" s="45"/>
      <c r="F338" s="45"/>
      <c r="G338" s="45">
        <v>0</v>
      </c>
      <c r="H338" s="45"/>
      <c r="I338" s="45">
        <v>0</v>
      </c>
    </row>
    <row r="339" spans="2:9" ht="12" customHeight="1" x14ac:dyDescent="0.25">
      <c r="B339" s="56" t="s">
        <v>64</v>
      </c>
      <c r="C339" s="45">
        <v>0</v>
      </c>
      <c r="D339" s="45"/>
      <c r="E339" s="45"/>
      <c r="F339" s="45"/>
      <c r="G339" s="45">
        <v>0</v>
      </c>
      <c r="H339" s="45"/>
      <c r="I339" s="45">
        <v>0</v>
      </c>
    </row>
    <row r="340" spans="2:9" ht="12" customHeight="1" x14ac:dyDescent="0.25">
      <c r="B340" s="56" t="s">
        <v>64</v>
      </c>
      <c r="C340" s="45">
        <v>0</v>
      </c>
      <c r="D340" s="45"/>
      <c r="E340" s="45"/>
      <c r="F340" s="45"/>
      <c r="G340" s="45">
        <v>0</v>
      </c>
      <c r="H340" s="45"/>
      <c r="I340" s="45">
        <v>0</v>
      </c>
    </row>
    <row r="341" spans="2:9" ht="12" customHeight="1" x14ac:dyDescent="0.25">
      <c r="B341" s="56" t="s">
        <v>64</v>
      </c>
      <c r="C341" s="45">
        <v>0</v>
      </c>
      <c r="D341" s="45"/>
      <c r="E341" s="45"/>
      <c r="F341" s="45"/>
      <c r="G341" s="45">
        <v>0</v>
      </c>
      <c r="H341" s="45"/>
      <c r="I341" s="45">
        <v>0</v>
      </c>
    </row>
    <row r="342" spans="2:9" ht="12" customHeight="1" x14ac:dyDescent="0.25">
      <c r="B342" s="56" t="s">
        <v>64</v>
      </c>
      <c r="C342" s="45">
        <v>0</v>
      </c>
      <c r="D342" s="45"/>
      <c r="E342" s="45"/>
      <c r="F342" s="45"/>
      <c r="G342" s="45">
        <v>0</v>
      </c>
      <c r="H342" s="45"/>
      <c r="I342" s="45">
        <v>0</v>
      </c>
    </row>
    <row r="343" spans="2:9" ht="12" customHeight="1" x14ac:dyDescent="0.25">
      <c r="B343" s="56" t="s">
        <v>64</v>
      </c>
      <c r="C343" s="45">
        <v>0</v>
      </c>
      <c r="D343" s="45"/>
      <c r="E343" s="45"/>
      <c r="F343" s="45"/>
      <c r="G343" s="45">
        <v>0</v>
      </c>
      <c r="H343" s="45"/>
      <c r="I343" s="45">
        <v>0</v>
      </c>
    </row>
    <row r="344" spans="2:9" ht="12" customHeight="1" x14ac:dyDescent="0.25">
      <c r="B344" s="56" t="s">
        <v>64</v>
      </c>
      <c r="C344" s="45">
        <v>0</v>
      </c>
      <c r="D344" s="45"/>
      <c r="E344" s="45"/>
      <c r="F344" s="45"/>
      <c r="G344" s="45">
        <v>0</v>
      </c>
      <c r="H344" s="45"/>
      <c r="I344" s="45">
        <v>0</v>
      </c>
    </row>
    <row r="345" spans="2:9" ht="12" customHeight="1" x14ac:dyDescent="0.25">
      <c r="B345" s="56" t="s">
        <v>64</v>
      </c>
      <c r="C345" s="45">
        <v>0</v>
      </c>
      <c r="D345" s="45"/>
      <c r="E345" s="45"/>
      <c r="F345" s="45"/>
      <c r="G345" s="45">
        <v>0</v>
      </c>
      <c r="H345" s="45"/>
      <c r="I345" s="45">
        <v>0</v>
      </c>
    </row>
    <row r="346" spans="2:9" ht="12" customHeight="1" x14ac:dyDescent="0.25">
      <c r="B346" s="56" t="s">
        <v>64</v>
      </c>
      <c r="C346" s="45">
        <v>0</v>
      </c>
      <c r="D346" s="45"/>
      <c r="E346" s="45"/>
      <c r="F346" s="45"/>
      <c r="G346" s="45">
        <v>0</v>
      </c>
      <c r="H346" s="45"/>
      <c r="I346" s="45">
        <v>0</v>
      </c>
    </row>
    <row r="347" spans="2:9" ht="12" customHeight="1" x14ac:dyDescent="0.25">
      <c r="B347" s="56" t="s">
        <v>64</v>
      </c>
      <c r="C347" s="45">
        <v>0</v>
      </c>
      <c r="D347" s="45"/>
      <c r="E347" s="45"/>
      <c r="F347" s="45"/>
      <c r="G347" s="45">
        <v>0</v>
      </c>
      <c r="H347" s="45"/>
      <c r="I347" s="45">
        <v>0</v>
      </c>
    </row>
    <row r="348" spans="2:9" ht="12" customHeight="1" x14ac:dyDescent="0.25">
      <c r="B348" s="56" t="s">
        <v>64</v>
      </c>
      <c r="C348" s="45">
        <v>0</v>
      </c>
      <c r="D348" s="45"/>
      <c r="E348" s="45"/>
      <c r="F348" s="45"/>
      <c r="G348" s="45">
        <v>0</v>
      </c>
      <c r="H348" s="45"/>
      <c r="I348" s="45">
        <v>0</v>
      </c>
    </row>
    <row r="349" spans="2:9" ht="12" customHeight="1" x14ac:dyDescent="0.25">
      <c r="B349" s="56" t="s">
        <v>64</v>
      </c>
      <c r="C349" s="45">
        <v>0</v>
      </c>
      <c r="D349" s="45"/>
      <c r="E349" s="45"/>
      <c r="F349" s="45"/>
      <c r="G349" s="45">
        <v>0</v>
      </c>
      <c r="H349" s="45"/>
      <c r="I349" s="45">
        <v>0</v>
      </c>
    </row>
    <row r="350" spans="2:9" ht="12" customHeight="1" x14ac:dyDescent="0.25">
      <c r="B350" s="56" t="s">
        <v>64</v>
      </c>
      <c r="C350" s="45">
        <v>0</v>
      </c>
      <c r="D350" s="45"/>
      <c r="E350" s="45"/>
      <c r="F350" s="45"/>
      <c r="G350" s="45">
        <v>0</v>
      </c>
      <c r="H350" s="45"/>
      <c r="I350" s="45">
        <v>0</v>
      </c>
    </row>
    <row r="351" spans="2:9" ht="12" customHeight="1" x14ac:dyDescent="0.25">
      <c r="B351" s="56" t="s">
        <v>64</v>
      </c>
      <c r="C351" s="45">
        <v>0</v>
      </c>
      <c r="D351" s="45"/>
      <c r="E351" s="45"/>
      <c r="F351" s="45"/>
      <c r="G351" s="45">
        <v>0</v>
      </c>
      <c r="H351" s="45"/>
      <c r="I351" s="45">
        <v>0</v>
      </c>
    </row>
    <row r="352" spans="2:9" ht="12" customHeight="1" x14ac:dyDescent="0.25">
      <c r="B352" s="56" t="s">
        <v>64</v>
      </c>
      <c r="C352" s="45">
        <v>0</v>
      </c>
      <c r="D352" s="45"/>
      <c r="E352" s="45"/>
      <c r="F352" s="45"/>
      <c r="G352" s="45">
        <v>0</v>
      </c>
      <c r="H352" s="45"/>
      <c r="I352" s="45">
        <v>0</v>
      </c>
    </row>
    <row r="353" spans="2:9" ht="12" customHeight="1" x14ac:dyDescent="0.25">
      <c r="B353" s="56" t="s">
        <v>64</v>
      </c>
      <c r="C353" s="45">
        <v>0</v>
      </c>
      <c r="D353" s="45"/>
      <c r="E353" s="45"/>
      <c r="F353" s="45"/>
      <c r="G353" s="45">
        <v>0</v>
      </c>
      <c r="H353" s="45"/>
      <c r="I353" s="45">
        <v>0</v>
      </c>
    </row>
    <row r="354" spans="2:9" ht="12" customHeight="1" x14ac:dyDescent="0.25">
      <c r="B354" s="56" t="s">
        <v>64</v>
      </c>
      <c r="C354" s="45">
        <v>0</v>
      </c>
      <c r="D354" s="45"/>
      <c r="E354" s="45"/>
      <c r="F354" s="45"/>
      <c r="G354" s="45">
        <v>0</v>
      </c>
      <c r="H354" s="45"/>
      <c r="I354" s="45">
        <v>0</v>
      </c>
    </row>
    <row r="355" spans="2:9" ht="12" customHeight="1" x14ac:dyDescent="0.25">
      <c r="B355" s="56" t="s">
        <v>64</v>
      </c>
      <c r="C355" s="45">
        <v>0</v>
      </c>
      <c r="D355" s="45"/>
      <c r="E355" s="45"/>
      <c r="F355" s="45"/>
      <c r="G355" s="45">
        <v>0</v>
      </c>
      <c r="H355" s="45"/>
      <c r="I355" s="45">
        <v>0</v>
      </c>
    </row>
    <row r="356" spans="2:9" ht="12" customHeight="1" x14ac:dyDescent="0.25">
      <c r="B356" s="56" t="s">
        <v>64</v>
      </c>
      <c r="C356" s="45">
        <v>0</v>
      </c>
      <c r="D356" s="45"/>
      <c r="E356" s="45"/>
      <c r="F356" s="45"/>
      <c r="G356" s="45">
        <v>0</v>
      </c>
      <c r="H356" s="45"/>
      <c r="I356" s="45">
        <v>0</v>
      </c>
    </row>
    <row r="357" spans="2:9" ht="12" customHeight="1" x14ac:dyDescent="0.25">
      <c r="B357" s="56" t="s">
        <v>64</v>
      </c>
      <c r="C357" s="45">
        <v>0</v>
      </c>
      <c r="D357" s="45"/>
      <c r="E357" s="45"/>
      <c r="F357" s="45"/>
      <c r="G357" s="45">
        <v>0</v>
      </c>
      <c r="H357" s="45"/>
      <c r="I357" s="45">
        <v>0</v>
      </c>
    </row>
    <row r="358" spans="2:9" ht="12" customHeight="1" x14ac:dyDescent="0.25">
      <c r="B358" s="56" t="s">
        <v>64</v>
      </c>
      <c r="C358" s="45">
        <v>0</v>
      </c>
      <c r="D358" s="45"/>
      <c r="E358" s="45"/>
      <c r="F358" s="45"/>
      <c r="G358" s="45">
        <v>0</v>
      </c>
      <c r="H358" s="45"/>
      <c r="I358" s="45">
        <v>0</v>
      </c>
    </row>
    <row r="359" spans="2:9" ht="12" customHeight="1" x14ac:dyDescent="0.25">
      <c r="B359" s="56" t="s">
        <v>64</v>
      </c>
      <c r="C359" s="45">
        <v>0</v>
      </c>
      <c r="D359" s="45"/>
      <c r="E359" s="45"/>
      <c r="F359" s="45"/>
      <c r="G359" s="45">
        <v>0</v>
      </c>
      <c r="H359" s="45"/>
      <c r="I359" s="45">
        <v>0</v>
      </c>
    </row>
    <row r="360" spans="2:9" ht="12" customHeight="1" x14ac:dyDescent="0.25">
      <c r="B360" s="56" t="s">
        <v>64</v>
      </c>
      <c r="C360" s="45">
        <v>0</v>
      </c>
      <c r="D360" s="45"/>
      <c r="E360" s="45"/>
      <c r="F360" s="45"/>
      <c r="G360" s="45">
        <v>0</v>
      </c>
      <c r="H360" s="45"/>
      <c r="I360" s="45">
        <v>0</v>
      </c>
    </row>
    <row r="361" spans="2:9" ht="12" customHeight="1" x14ac:dyDescent="0.25">
      <c r="B361" s="56" t="s">
        <v>64</v>
      </c>
      <c r="C361" s="45">
        <v>0</v>
      </c>
      <c r="D361" s="45"/>
      <c r="E361" s="45"/>
      <c r="F361" s="45"/>
      <c r="G361" s="45">
        <v>0</v>
      </c>
      <c r="H361" s="45"/>
      <c r="I361" s="45">
        <v>0</v>
      </c>
    </row>
    <row r="362" spans="2:9" ht="12" customHeight="1" x14ac:dyDescent="0.25">
      <c r="B362" s="56" t="s">
        <v>64</v>
      </c>
      <c r="C362" s="45">
        <v>0</v>
      </c>
      <c r="D362" s="45"/>
      <c r="E362" s="45"/>
      <c r="F362" s="45"/>
      <c r="G362" s="45">
        <v>0</v>
      </c>
      <c r="H362" s="45"/>
      <c r="I362" s="45">
        <v>0</v>
      </c>
    </row>
    <row r="363" spans="2:9" ht="12" customHeight="1" x14ac:dyDescent="0.25">
      <c r="B363" s="56" t="s">
        <v>64</v>
      </c>
      <c r="C363" s="45">
        <v>0</v>
      </c>
      <c r="D363" s="45"/>
      <c r="E363" s="45"/>
      <c r="F363" s="45"/>
      <c r="G363" s="45">
        <v>0</v>
      </c>
      <c r="H363" s="45"/>
      <c r="I363" s="45">
        <v>0</v>
      </c>
    </row>
    <row r="364" spans="2:9" ht="12" customHeight="1" x14ac:dyDescent="0.25">
      <c r="B364" s="56" t="s">
        <v>64</v>
      </c>
      <c r="C364" s="45">
        <v>0</v>
      </c>
      <c r="D364" s="45"/>
      <c r="E364" s="45"/>
      <c r="F364" s="45"/>
      <c r="G364" s="45">
        <v>0</v>
      </c>
      <c r="H364" s="45"/>
      <c r="I364" s="45">
        <v>0</v>
      </c>
    </row>
    <row r="365" spans="2:9" ht="12" customHeight="1" x14ac:dyDescent="0.25">
      <c r="B365" s="56" t="s">
        <v>64</v>
      </c>
      <c r="C365" s="45">
        <v>0</v>
      </c>
      <c r="D365" s="45"/>
      <c r="E365" s="45"/>
      <c r="F365" s="45"/>
      <c r="G365" s="45">
        <v>0</v>
      </c>
      <c r="H365" s="45"/>
      <c r="I365" s="45">
        <v>0</v>
      </c>
    </row>
    <row r="366" spans="2:9" ht="12" customHeight="1" x14ac:dyDescent="0.25">
      <c r="B366" s="56" t="s">
        <v>64</v>
      </c>
      <c r="C366" s="45">
        <v>0</v>
      </c>
      <c r="D366" s="45"/>
      <c r="E366" s="45"/>
      <c r="F366" s="45"/>
      <c r="G366" s="45">
        <v>0</v>
      </c>
      <c r="H366" s="45"/>
      <c r="I366" s="45">
        <v>0</v>
      </c>
    </row>
    <row r="367" spans="2:9" x14ac:dyDescent="0.25">
      <c r="B367" s="56" t="s">
        <v>64</v>
      </c>
      <c r="C367" s="45">
        <v>0</v>
      </c>
      <c r="D367" s="45"/>
      <c r="E367" s="45"/>
      <c r="F367" s="45"/>
      <c r="G367" s="45">
        <v>0</v>
      </c>
      <c r="H367" s="45"/>
      <c r="I367" s="45">
        <v>0</v>
      </c>
    </row>
    <row r="368" spans="2:9" x14ac:dyDescent="0.25">
      <c r="B368" s="56" t="s">
        <v>64</v>
      </c>
      <c r="C368" s="45">
        <v>0</v>
      </c>
      <c r="D368" s="45"/>
      <c r="E368" s="45"/>
      <c r="F368" s="45"/>
      <c r="G368" s="45">
        <v>0</v>
      </c>
      <c r="H368" s="45"/>
      <c r="I368" s="45">
        <v>0</v>
      </c>
    </row>
    <row r="369" spans="2:9" x14ac:dyDescent="0.25">
      <c r="B369" s="56" t="s">
        <v>64</v>
      </c>
      <c r="C369" s="45">
        <v>0</v>
      </c>
      <c r="D369" s="45"/>
      <c r="E369" s="45"/>
      <c r="F369" s="45"/>
      <c r="G369" s="45">
        <v>0</v>
      </c>
      <c r="H369" s="45"/>
      <c r="I369" s="45">
        <v>0</v>
      </c>
    </row>
    <row r="370" spans="2:9" x14ac:dyDescent="0.25">
      <c r="B370" s="56" t="s">
        <v>64</v>
      </c>
      <c r="C370" s="45">
        <v>0</v>
      </c>
      <c r="D370" s="45"/>
      <c r="E370" s="45"/>
      <c r="F370" s="45"/>
      <c r="G370" s="45">
        <v>0</v>
      </c>
      <c r="H370" s="45"/>
      <c r="I370" s="45">
        <v>0</v>
      </c>
    </row>
    <row r="371" spans="2:9" x14ac:dyDescent="0.25">
      <c r="B371" s="56" t="s">
        <v>64</v>
      </c>
      <c r="C371" s="45">
        <v>0</v>
      </c>
      <c r="D371" s="45"/>
      <c r="E371" s="45"/>
      <c r="F371" s="45"/>
      <c r="G371" s="45">
        <v>0</v>
      </c>
      <c r="H371" s="45"/>
      <c r="I371" s="45">
        <v>0</v>
      </c>
    </row>
    <row r="372" spans="2:9" x14ac:dyDescent="0.25">
      <c r="B372" s="56" t="s">
        <v>64</v>
      </c>
      <c r="C372" s="45">
        <v>0</v>
      </c>
      <c r="D372" s="45"/>
      <c r="E372" s="45"/>
      <c r="F372" s="45"/>
      <c r="G372" s="45">
        <v>0</v>
      </c>
      <c r="H372" s="45"/>
      <c r="I372" s="45">
        <v>0</v>
      </c>
    </row>
    <row r="373" spans="2:9" x14ac:dyDescent="0.25">
      <c r="B373" s="56" t="s">
        <v>64</v>
      </c>
      <c r="C373" s="45">
        <v>0</v>
      </c>
      <c r="D373" s="45"/>
      <c r="E373" s="45"/>
      <c r="F373" s="45"/>
      <c r="G373" s="45">
        <v>0</v>
      </c>
      <c r="H373" s="45"/>
      <c r="I373" s="45">
        <v>0</v>
      </c>
    </row>
    <row r="374" spans="2:9" x14ac:dyDescent="0.25">
      <c r="B374" s="56" t="s">
        <v>64</v>
      </c>
      <c r="C374" s="45">
        <v>0</v>
      </c>
      <c r="D374" s="45"/>
      <c r="E374" s="45"/>
      <c r="F374" s="45"/>
      <c r="G374" s="45">
        <v>0</v>
      </c>
      <c r="H374" s="45"/>
      <c r="I374" s="45">
        <v>0</v>
      </c>
    </row>
    <row r="375" spans="2:9" x14ac:dyDescent="0.25">
      <c r="B375" s="56" t="s">
        <v>64</v>
      </c>
      <c r="C375" s="45">
        <v>0</v>
      </c>
      <c r="D375" s="45"/>
      <c r="E375" s="45"/>
      <c r="F375" s="45"/>
      <c r="G375" s="45">
        <v>0</v>
      </c>
      <c r="H375" s="45"/>
      <c r="I375" s="45">
        <v>0</v>
      </c>
    </row>
    <row r="376" spans="2:9" x14ac:dyDescent="0.25">
      <c r="B376" s="56" t="s">
        <v>64</v>
      </c>
      <c r="C376" s="45">
        <v>0</v>
      </c>
      <c r="D376" s="45"/>
      <c r="E376" s="45"/>
      <c r="F376" s="45"/>
      <c r="G376" s="45">
        <v>0</v>
      </c>
      <c r="H376" s="45"/>
      <c r="I376" s="45">
        <v>0</v>
      </c>
    </row>
    <row r="377" spans="2:9" x14ac:dyDescent="0.25">
      <c r="B377" s="56" t="s">
        <v>64</v>
      </c>
      <c r="C377" s="45">
        <v>0</v>
      </c>
      <c r="D377" s="45"/>
      <c r="E377" s="45"/>
      <c r="F377" s="45"/>
      <c r="G377" s="45">
        <v>0</v>
      </c>
      <c r="H377" s="45"/>
      <c r="I377" s="45">
        <v>0</v>
      </c>
    </row>
    <row r="378" spans="2:9" x14ac:dyDescent="0.25">
      <c r="B378" s="56" t="s">
        <v>64</v>
      </c>
      <c r="C378" s="45">
        <v>0</v>
      </c>
      <c r="D378" s="45"/>
      <c r="E378" s="45"/>
      <c r="F378" s="45"/>
      <c r="G378" s="45">
        <v>0</v>
      </c>
      <c r="H378" s="45"/>
      <c r="I378" s="45">
        <v>0</v>
      </c>
    </row>
    <row r="379" spans="2:9" x14ac:dyDescent="0.25">
      <c r="B379" s="56" t="s">
        <v>64</v>
      </c>
      <c r="C379" s="45">
        <v>0</v>
      </c>
      <c r="D379" s="45"/>
      <c r="E379" s="45"/>
      <c r="F379" s="45"/>
      <c r="G379" s="45">
        <v>0</v>
      </c>
      <c r="H379" s="45"/>
      <c r="I379" s="45">
        <v>0</v>
      </c>
    </row>
    <row r="380" spans="2:9" x14ac:dyDescent="0.25">
      <c r="B380" s="56" t="s">
        <v>64</v>
      </c>
      <c r="C380" s="45">
        <v>0</v>
      </c>
      <c r="D380" s="45"/>
      <c r="E380" s="45"/>
      <c r="F380" s="45"/>
      <c r="G380" s="45">
        <v>0</v>
      </c>
      <c r="H380" s="45"/>
      <c r="I380" s="45">
        <v>0</v>
      </c>
    </row>
    <row r="381" spans="2:9" x14ac:dyDescent="0.25">
      <c r="B381" s="56" t="s">
        <v>64</v>
      </c>
      <c r="C381" s="45">
        <v>0</v>
      </c>
      <c r="D381" s="45"/>
      <c r="E381" s="45"/>
      <c r="F381" s="45"/>
      <c r="G381" s="45">
        <v>0</v>
      </c>
      <c r="H381" s="45"/>
      <c r="I381" s="45">
        <v>0</v>
      </c>
    </row>
    <row r="382" spans="2:9" x14ac:dyDescent="0.25">
      <c r="B382" s="56" t="s">
        <v>64</v>
      </c>
      <c r="C382" s="45">
        <v>0</v>
      </c>
      <c r="D382" s="45"/>
      <c r="E382" s="45"/>
      <c r="F382" s="45"/>
      <c r="G382" s="45">
        <v>0</v>
      </c>
      <c r="H382" s="45"/>
      <c r="I382" s="45">
        <v>0</v>
      </c>
    </row>
    <row r="383" spans="2:9" x14ac:dyDescent="0.25">
      <c r="B383" s="56" t="s">
        <v>64</v>
      </c>
      <c r="C383" s="45">
        <v>0</v>
      </c>
      <c r="D383" s="45"/>
      <c r="E383" s="45"/>
      <c r="F383" s="45"/>
      <c r="G383" s="45">
        <v>0</v>
      </c>
      <c r="H383" s="45"/>
      <c r="I383" s="45">
        <v>0</v>
      </c>
    </row>
    <row r="384" spans="2:9" x14ac:dyDescent="0.25">
      <c r="B384" s="56" t="s">
        <v>64</v>
      </c>
      <c r="C384" s="45">
        <v>0</v>
      </c>
      <c r="D384" s="45"/>
      <c r="E384" s="45"/>
      <c r="F384" s="45"/>
      <c r="G384" s="45">
        <v>0</v>
      </c>
      <c r="H384" s="45"/>
      <c r="I384" s="45">
        <v>0</v>
      </c>
    </row>
    <row r="385" spans="2:9" x14ac:dyDescent="0.25">
      <c r="B385" s="56" t="s">
        <v>64</v>
      </c>
      <c r="C385" s="45">
        <v>0</v>
      </c>
      <c r="D385" s="45"/>
      <c r="E385" s="45"/>
      <c r="F385" s="45"/>
      <c r="G385" s="45">
        <v>0</v>
      </c>
      <c r="H385" s="45"/>
      <c r="I385" s="45">
        <v>0</v>
      </c>
    </row>
    <row r="386" spans="2:9" x14ac:dyDescent="0.25">
      <c r="B386" s="56" t="s">
        <v>64</v>
      </c>
      <c r="C386" s="45">
        <v>0</v>
      </c>
      <c r="D386" s="45"/>
      <c r="E386" s="45"/>
      <c r="F386" s="45"/>
      <c r="G386" s="45">
        <v>0</v>
      </c>
      <c r="H386" s="45"/>
      <c r="I386" s="45">
        <v>0</v>
      </c>
    </row>
    <row r="387" spans="2:9" x14ac:dyDescent="0.25">
      <c r="B387" s="56" t="s">
        <v>64</v>
      </c>
      <c r="C387" s="45">
        <v>0</v>
      </c>
      <c r="D387" s="45"/>
      <c r="E387" s="45"/>
      <c r="F387" s="45"/>
      <c r="G387" s="45">
        <v>0</v>
      </c>
      <c r="H387" s="45"/>
      <c r="I387" s="45">
        <v>0</v>
      </c>
    </row>
    <row r="388" spans="2:9" x14ac:dyDescent="0.25">
      <c r="B388" s="56" t="s">
        <v>64</v>
      </c>
      <c r="C388" s="45">
        <v>0</v>
      </c>
      <c r="D388" s="45"/>
      <c r="E388" s="45"/>
      <c r="F388" s="45"/>
      <c r="G388" s="45">
        <v>0</v>
      </c>
      <c r="H388" s="45"/>
      <c r="I388" s="45">
        <v>0</v>
      </c>
    </row>
    <row r="389" spans="2:9" x14ac:dyDescent="0.25">
      <c r="B389" s="56" t="s">
        <v>64</v>
      </c>
      <c r="C389" s="45">
        <v>0</v>
      </c>
      <c r="D389" s="45"/>
      <c r="E389" s="45"/>
      <c r="F389" s="45"/>
      <c r="G389" s="45">
        <v>0</v>
      </c>
      <c r="H389" s="45"/>
      <c r="I389" s="45">
        <v>0</v>
      </c>
    </row>
    <row r="390" spans="2:9" x14ac:dyDescent="0.25">
      <c r="B390" s="56" t="s">
        <v>64</v>
      </c>
      <c r="C390" s="45">
        <v>0</v>
      </c>
      <c r="D390" s="45"/>
      <c r="E390" s="45"/>
      <c r="F390" s="45"/>
      <c r="G390" s="45">
        <v>0</v>
      </c>
      <c r="H390" s="45"/>
      <c r="I390" s="45">
        <v>0</v>
      </c>
    </row>
    <row r="391" spans="2:9" x14ac:dyDescent="0.25">
      <c r="B391" s="56" t="s">
        <v>64</v>
      </c>
      <c r="C391" s="45">
        <v>0</v>
      </c>
      <c r="D391" s="45"/>
      <c r="E391" s="45"/>
      <c r="F391" s="45"/>
      <c r="G391" s="45">
        <v>0</v>
      </c>
      <c r="H391" s="45"/>
      <c r="I391" s="45">
        <v>0</v>
      </c>
    </row>
    <row r="392" spans="2:9" x14ac:dyDescent="0.25">
      <c r="B392" s="56" t="s">
        <v>64</v>
      </c>
      <c r="C392" s="45">
        <v>0</v>
      </c>
      <c r="D392" s="45"/>
      <c r="E392" s="45"/>
      <c r="F392" s="45"/>
      <c r="G392" s="45">
        <v>0</v>
      </c>
      <c r="H392" s="45"/>
      <c r="I392" s="45">
        <v>0</v>
      </c>
    </row>
    <row r="393" spans="2:9" x14ac:dyDescent="0.25">
      <c r="B393" s="56" t="s">
        <v>64</v>
      </c>
      <c r="C393" s="45">
        <v>0</v>
      </c>
      <c r="D393" s="45"/>
      <c r="E393" s="45"/>
      <c r="F393" s="45"/>
      <c r="G393" s="45">
        <v>0</v>
      </c>
      <c r="H393" s="45"/>
      <c r="I393" s="45">
        <v>0</v>
      </c>
    </row>
    <row r="394" spans="2:9" x14ac:dyDescent="0.25">
      <c r="B394" s="56" t="s">
        <v>64</v>
      </c>
      <c r="C394" s="45">
        <v>0</v>
      </c>
      <c r="D394" s="45"/>
      <c r="E394" s="45"/>
      <c r="F394" s="45"/>
      <c r="G394" s="45">
        <v>0</v>
      </c>
      <c r="H394" s="45"/>
      <c r="I394" s="45">
        <v>0</v>
      </c>
    </row>
    <row r="395" spans="2:9" x14ac:dyDescent="0.25">
      <c r="B395" s="56" t="s">
        <v>64</v>
      </c>
      <c r="C395" s="45">
        <v>0</v>
      </c>
      <c r="D395" s="45"/>
      <c r="E395" s="45"/>
      <c r="F395" s="45"/>
      <c r="G395" s="45">
        <v>0</v>
      </c>
      <c r="H395" s="45"/>
      <c r="I395" s="45">
        <v>0</v>
      </c>
    </row>
    <row r="396" spans="2:9" x14ac:dyDescent="0.25">
      <c r="B396" s="56" t="s">
        <v>64</v>
      </c>
      <c r="C396" s="45">
        <v>0</v>
      </c>
      <c r="D396" s="45"/>
      <c r="E396" s="45"/>
      <c r="F396" s="45"/>
      <c r="G396" s="45">
        <v>0</v>
      </c>
      <c r="H396" s="45"/>
      <c r="I396" s="45">
        <v>0</v>
      </c>
    </row>
    <row r="397" spans="2:9" x14ac:dyDescent="0.25">
      <c r="B397" s="56" t="s">
        <v>64</v>
      </c>
      <c r="C397" s="45">
        <v>0</v>
      </c>
      <c r="D397" s="45"/>
      <c r="E397" s="45"/>
      <c r="F397" s="45"/>
      <c r="G397" s="45">
        <v>0</v>
      </c>
      <c r="H397" s="45"/>
      <c r="I397" s="45">
        <v>0</v>
      </c>
    </row>
    <row r="398" spans="2:9" x14ac:dyDescent="0.25">
      <c r="B398" s="56" t="s">
        <v>64</v>
      </c>
      <c r="C398" s="45">
        <v>0</v>
      </c>
      <c r="D398" s="45"/>
      <c r="E398" s="45"/>
      <c r="F398" s="45"/>
      <c r="G398" s="45">
        <v>0</v>
      </c>
      <c r="H398" s="45"/>
      <c r="I398" s="45">
        <v>0</v>
      </c>
    </row>
    <row r="399" spans="2:9" x14ac:dyDescent="0.25">
      <c r="B399" s="56" t="s">
        <v>64</v>
      </c>
      <c r="C399" s="45">
        <v>0</v>
      </c>
      <c r="D399" s="45"/>
      <c r="E399" s="45"/>
      <c r="F399" s="45"/>
      <c r="G399" s="45">
        <v>0</v>
      </c>
      <c r="H399" s="45"/>
      <c r="I399" s="45">
        <v>0</v>
      </c>
    </row>
    <row r="400" spans="2:9" x14ac:dyDescent="0.25">
      <c r="B400" s="56" t="s">
        <v>64</v>
      </c>
      <c r="C400" s="45">
        <v>0</v>
      </c>
      <c r="D400" s="45"/>
      <c r="E400" s="45"/>
      <c r="F400" s="45"/>
      <c r="G400" s="45">
        <v>0</v>
      </c>
      <c r="H400" s="45"/>
      <c r="I400" s="45">
        <v>0</v>
      </c>
    </row>
    <row r="401" spans="2:9" x14ac:dyDescent="0.25">
      <c r="B401" s="56" t="s">
        <v>64</v>
      </c>
      <c r="C401" s="45">
        <v>0</v>
      </c>
      <c r="D401" s="45"/>
      <c r="E401" s="45"/>
      <c r="F401" s="45"/>
      <c r="G401" s="45">
        <v>0</v>
      </c>
      <c r="H401" s="45"/>
      <c r="I401" s="45">
        <v>0</v>
      </c>
    </row>
    <row r="402" spans="2:9" x14ac:dyDescent="0.25">
      <c r="B402" s="56" t="s">
        <v>64</v>
      </c>
      <c r="C402" s="45">
        <v>0</v>
      </c>
      <c r="D402" s="45"/>
      <c r="E402" s="45"/>
      <c r="F402" s="45"/>
      <c r="G402" s="45">
        <v>0</v>
      </c>
      <c r="H402" s="45"/>
      <c r="I402" s="45">
        <v>0</v>
      </c>
    </row>
    <row r="403" spans="2:9" x14ac:dyDescent="0.25">
      <c r="B403" s="56" t="s">
        <v>64</v>
      </c>
      <c r="C403" s="45">
        <v>0</v>
      </c>
      <c r="D403" s="45"/>
      <c r="E403" s="45"/>
      <c r="F403" s="45"/>
      <c r="G403" s="45">
        <v>0</v>
      </c>
      <c r="H403" s="45"/>
      <c r="I403" s="45">
        <v>0</v>
      </c>
    </row>
    <row r="404" spans="2:9" x14ac:dyDescent="0.25">
      <c r="B404" s="56" t="s">
        <v>64</v>
      </c>
      <c r="C404" s="45">
        <v>0</v>
      </c>
      <c r="D404" s="45"/>
      <c r="E404" s="45"/>
      <c r="F404" s="45"/>
      <c r="G404" s="45">
        <v>0</v>
      </c>
      <c r="H404" s="45"/>
      <c r="I404" s="45">
        <v>0</v>
      </c>
    </row>
    <row r="405" spans="2:9" x14ac:dyDescent="0.25">
      <c r="B405" s="56" t="s">
        <v>64</v>
      </c>
      <c r="C405" s="45">
        <v>0</v>
      </c>
      <c r="D405" s="45"/>
      <c r="E405" s="45"/>
      <c r="F405" s="45"/>
      <c r="G405" s="45">
        <v>0</v>
      </c>
      <c r="H405" s="45"/>
      <c r="I405" s="45">
        <v>0</v>
      </c>
    </row>
    <row r="406" spans="2:9" x14ac:dyDescent="0.25">
      <c r="B406" s="56" t="s">
        <v>64</v>
      </c>
      <c r="C406" s="45">
        <v>0</v>
      </c>
      <c r="D406" s="45"/>
      <c r="E406" s="45"/>
      <c r="F406" s="45"/>
      <c r="G406" s="45">
        <v>0</v>
      </c>
      <c r="H406" s="45"/>
      <c r="I406" s="45">
        <v>0</v>
      </c>
    </row>
    <row r="407" spans="2:9" x14ac:dyDescent="0.25">
      <c r="B407" s="56" t="s">
        <v>64</v>
      </c>
      <c r="C407" s="45">
        <v>0</v>
      </c>
      <c r="D407" s="45"/>
      <c r="E407" s="45"/>
      <c r="F407" s="45"/>
      <c r="G407" s="45">
        <v>0</v>
      </c>
      <c r="H407" s="45"/>
      <c r="I407" s="45">
        <v>0</v>
      </c>
    </row>
    <row r="408" spans="2:9" x14ac:dyDescent="0.25">
      <c r="B408" s="56" t="s">
        <v>64</v>
      </c>
      <c r="C408" s="45">
        <v>0</v>
      </c>
      <c r="D408" s="45"/>
      <c r="E408" s="45"/>
      <c r="F408" s="45"/>
      <c r="G408" s="45">
        <v>0</v>
      </c>
      <c r="H408" s="45"/>
      <c r="I408" s="45">
        <v>0</v>
      </c>
    </row>
    <row r="409" spans="2:9" x14ac:dyDescent="0.25">
      <c r="B409" s="56" t="s">
        <v>64</v>
      </c>
      <c r="C409" s="45">
        <v>0</v>
      </c>
      <c r="D409" s="45"/>
      <c r="E409" s="45"/>
      <c r="F409" s="45"/>
      <c r="G409" s="45">
        <v>0</v>
      </c>
      <c r="H409" s="45"/>
      <c r="I409" s="45">
        <v>0</v>
      </c>
    </row>
    <row r="410" spans="2:9" x14ac:dyDescent="0.25">
      <c r="B410" s="56" t="s">
        <v>64</v>
      </c>
      <c r="C410" s="45">
        <v>0</v>
      </c>
      <c r="D410" s="45"/>
      <c r="E410" s="45"/>
      <c r="F410" s="45"/>
      <c r="G410" s="45">
        <v>0</v>
      </c>
      <c r="H410" s="45"/>
      <c r="I410" s="45">
        <v>0</v>
      </c>
    </row>
    <row r="411" spans="2:9" x14ac:dyDescent="0.25">
      <c r="B411" s="56" t="s">
        <v>64</v>
      </c>
      <c r="C411" s="45">
        <v>0</v>
      </c>
      <c r="D411" s="45"/>
      <c r="E411" s="45"/>
      <c r="F411" s="45"/>
      <c r="G411" s="45">
        <v>0</v>
      </c>
      <c r="H411" s="45"/>
      <c r="I411" s="45">
        <v>0</v>
      </c>
    </row>
    <row r="412" spans="2:9" x14ac:dyDescent="0.25">
      <c r="B412" s="56" t="s">
        <v>64</v>
      </c>
      <c r="C412" s="45">
        <v>0</v>
      </c>
      <c r="D412" s="45"/>
      <c r="E412" s="45"/>
      <c r="F412" s="45"/>
      <c r="G412" s="45">
        <v>0</v>
      </c>
      <c r="H412" s="45"/>
      <c r="I412" s="45">
        <v>0</v>
      </c>
    </row>
    <row r="413" spans="2:9" x14ac:dyDescent="0.25">
      <c r="B413" s="56" t="s">
        <v>64</v>
      </c>
      <c r="C413" s="45">
        <v>0</v>
      </c>
      <c r="D413" s="45"/>
      <c r="E413" s="45"/>
      <c r="F413" s="45"/>
      <c r="G413" s="45">
        <v>0</v>
      </c>
      <c r="H413" s="45"/>
      <c r="I413" s="45">
        <v>0</v>
      </c>
    </row>
    <row r="414" spans="2:9" x14ac:dyDescent="0.25">
      <c r="B414" s="56" t="s">
        <v>64</v>
      </c>
      <c r="C414" s="45">
        <v>0</v>
      </c>
      <c r="D414" s="45"/>
      <c r="E414" s="45"/>
      <c r="F414" s="45"/>
      <c r="G414" s="45">
        <v>0</v>
      </c>
      <c r="H414" s="45"/>
      <c r="I414" s="45">
        <v>0</v>
      </c>
    </row>
    <row r="415" spans="2:9" x14ac:dyDescent="0.25">
      <c r="B415" s="56" t="s">
        <v>64</v>
      </c>
      <c r="C415" s="45">
        <v>0</v>
      </c>
      <c r="D415" s="45"/>
      <c r="E415" s="45"/>
      <c r="F415" s="45"/>
      <c r="G415" s="45">
        <v>0</v>
      </c>
      <c r="H415" s="45"/>
      <c r="I415" s="45">
        <v>0</v>
      </c>
    </row>
    <row r="416" spans="2:9" x14ac:dyDescent="0.25">
      <c r="B416" s="56" t="s">
        <v>64</v>
      </c>
      <c r="C416" s="45">
        <v>0</v>
      </c>
      <c r="D416" s="45"/>
      <c r="E416" s="45"/>
      <c r="F416" s="45"/>
      <c r="G416" s="45">
        <v>0</v>
      </c>
      <c r="H416" s="45"/>
      <c r="I416" s="45">
        <v>0</v>
      </c>
    </row>
    <row r="417" spans="2:9" x14ac:dyDescent="0.25">
      <c r="B417" s="56" t="s">
        <v>64</v>
      </c>
      <c r="C417" s="45">
        <v>0</v>
      </c>
      <c r="D417" s="45"/>
      <c r="E417" s="45"/>
      <c r="F417" s="45"/>
      <c r="G417" s="45">
        <v>0</v>
      </c>
      <c r="H417" s="45"/>
      <c r="I417" s="45">
        <v>0</v>
      </c>
    </row>
    <row r="418" spans="2:9" x14ac:dyDescent="0.25">
      <c r="B418" s="56" t="s">
        <v>64</v>
      </c>
      <c r="C418" s="45">
        <v>0</v>
      </c>
      <c r="D418" s="45"/>
      <c r="E418" s="45"/>
      <c r="F418" s="45"/>
      <c r="G418" s="45">
        <v>0</v>
      </c>
      <c r="H418" s="45"/>
      <c r="I418" s="45">
        <v>0</v>
      </c>
    </row>
    <row r="419" spans="2:9" x14ac:dyDescent="0.25">
      <c r="B419" s="56" t="s">
        <v>64</v>
      </c>
      <c r="C419" s="45">
        <v>0</v>
      </c>
      <c r="D419" s="45"/>
      <c r="E419" s="45"/>
      <c r="F419" s="45"/>
      <c r="G419" s="45">
        <v>0</v>
      </c>
      <c r="H419" s="45"/>
      <c r="I419" s="45">
        <v>0</v>
      </c>
    </row>
    <row r="420" spans="2:9" x14ac:dyDescent="0.25">
      <c r="B420" s="56" t="s">
        <v>64</v>
      </c>
      <c r="C420" s="45">
        <v>0</v>
      </c>
      <c r="D420" s="45"/>
      <c r="E420" s="45"/>
      <c r="F420" s="45"/>
      <c r="G420" s="45">
        <v>0</v>
      </c>
      <c r="H420" s="45"/>
      <c r="I420" s="45">
        <v>0</v>
      </c>
    </row>
    <row r="421" spans="2:9" x14ac:dyDescent="0.25">
      <c r="B421" s="56" t="s">
        <v>64</v>
      </c>
      <c r="C421" s="45">
        <v>0</v>
      </c>
      <c r="D421" s="45"/>
      <c r="E421" s="45"/>
      <c r="F421" s="45"/>
      <c r="G421" s="45">
        <v>0</v>
      </c>
      <c r="H421" s="45"/>
      <c r="I421" s="45">
        <v>0</v>
      </c>
    </row>
    <row r="422" spans="2:9" x14ac:dyDescent="0.25">
      <c r="B422" s="56" t="s">
        <v>64</v>
      </c>
      <c r="C422" s="45">
        <v>0</v>
      </c>
      <c r="D422" s="45"/>
      <c r="E422" s="45"/>
      <c r="F422" s="45"/>
      <c r="G422" s="45">
        <v>0</v>
      </c>
      <c r="H422" s="45"/>
      <c r="I422" s="45">
        <v>0</v>
      </c>
    </row>
    <row r="423" spans="2:9" x14ac:dyDescent="0.25">
      <c r="B423" s="56" t="s">
        <v>64</v>
      </c>
      <c r="C423" s="45">
        <v>0</v>
      </c>
      <c r="D423" s="45"/>
      <c r="E423" s="45"/>
      <c r="F423" s="45"/>
      <c r="G423" s="45">
        <v>0</v>
      </c>
      <c r="H423" s="45"/>
      <c r="I423" s="45">
        <v>0</v>
      </c>
    </row>
    <row r="424" spans="2:9" x14ac:dyDescent="0.25">
      <c r="B424" s="56" t="s">
        <v>64</v>
      </c>
      <c r="C424" s="45">
        <v>0</v>
      </c>
      <c r="D424" s="45"/>
      <c r="E424" s="45"/>
      <c r="F424" s="45"/>
      <c r="G424" s="45">
        <v>0</v>
      </c>
      <c r="H424" s="45"/>
      <c r="I424" s="45">
        <v>0</v>
      </c>
    </row>
    <row r="425" spans="2:9" x14ac:dyDescent="0.25">
      <c r="B425" s="56" t="s">
        <v>64</v>
      </c>
      <c r="C425" s="45">
        <v>0</v>
      </c>
      <c r="D425" s="45"/>
      <c r="E425" s="45"/>
      <c r="F425" s="45"/>
      <c r="G425" s="45">
        <v>0</v>
      </c>
      <c r="H425" s="45"/>
      <c r="I425" s="45">
        <v>0</v>
      </c>
    </row>
    <row r="426" spans="2:9" x14ac:dyDescent="0.25">
      <c r="B426" s="56" t="s">
        <v>64</v>
      </c>
      <c r="C426" s="45">
        <v>0</v>
      </c>
      <c r="D426" s="45"/>
      <c r="E426" s="45"/>
      <c r="F426" s="45"/>
      <c r="G426" s="45">
        <v>0</v>
      </c>
      <c r="H426" s="45"/>
      <c r="I426" s="45">
        <v>0</v>
      </c>
    </row>
    <row r="427" spans="2:9" x14ac:dyDescent="0.25">
      <c r="B427" s="56" t="s">
        <v>64</v>
      </c>
      <c r="C427" s="45">
        <v>0</v>
      </c>
      <c r="D427" s="45"/>
      <c r="E427" s="45"/>
      <c r="F427" s="45"/>
      <c r="G427" s="45">
        <v>0</v>
      </c>
      <c r="H427" s="45"/>
      <c r="I427" s="45">
        <v>0</v>
      </c>
    </row>
    <row r="428" spans="2:9" x14ac:dyDescent="0.25">
      <c r="B428" s="56" t="s">
        <v>64</v>
      </c>
      <c r="C428" s="45">
        <v>0</v>
      </c>
      <c r="D428" s="45"/>
      <c r="E428" s="45"/>
      <c r="F428" s="45"/>
      <c r="G428" s="45">
        <v>0</v>
      </c>
      <c r="H428" s="45"/>
      <c r="I428" s="45">
        <v>0</v>
      </c>
    </row>
    <row r="429" spans="2:9" x14ac:dyDescent="0.25">
      <c r="B429" s="56" t="s">
        <v>64</v>
      </c>
      <c r="C429" s="45">
        <v>0</v>
      </c>
      <c r="D429" s="45"/>
      <c r="E429" s="45"/>
      <c r="F429" s="45"/>
      <c r="G429" s="45">
        <v>0</v>
      </c>
      <c r="H429" s="45"/>
      <c r="I429" s="45">
        <v>0</v>
      </c>
    </row>
    <row r="430" spans="2:9" x14ac:dyDescent="0.25">
      <c r="B430" s="56" t="s">
        <v>64</v>
      </c>
      <c r="C430" s="45">
        <v>0</v>
      </c>
      <c r="D430" s="45"/>
      <c r="E430" s="45"/>
      <c r="F430" s="45"/>
      <c r="G430" s="45">
        <v>0</v>
      </c>
      <c r="H430" s="45"/>
      <c r="I430" s="45">
        <v>0</v>
      </c>
    </row>
    <row r="431" spans="2:9" x14ac:dyDescent="0.25">
      <c r="B431" s="56" t="s">
        <v>64</v>
      </c>
      <c r="C431" s="45">
        <v>0</v>
      </c>
      <c r="D431" s="45"/>
      <c r="E431" s="45"/>
      <c r="F431" s="45"/>
      <c r="G431" s="45">
        <v>0</v>
      </c>
      <c r="H431" s="45"/>
      <c r="I431" s="45">
        <v>0</v>
      </c>
    </row>
    <row r="432" spans="2:9" x14ac:dyDescent="0.25">
      <c r="B432" s="56" t="s">
        <v>64</v>
      </c>
      <c r="C432" s="45">
        <v>0</v>
      </c>
      <c r="D432" s="45"/>
      <c r="E432" s="45"/>
      <c r="F432" s="45"/>
      <c r="G432" s="45">
        <v>0</v>
      </c>
      <c r="H432" s="45"/>
      <c r="I432" s="45">
        <v>0</v>
      </c>
    </row>
    <row r="433" spans="2:9" x14ac:dyDescent="0.25">
      <c r="B433" s="56" t="s">
        <v>64</v>
      </c>
      <c r="C433" s="45">
        <v>0</v>
      </c>
      <c r="D433" s="45"/>
      <c r="E433" s="45"/>
      <c r="F433" s="45"/>
      <c r="G433" s="45">
        <v>0</v>
      </c>
      <c r="H433" s="45"/>
      <c r="I433" s="45">
        <v>0</v>
      </c>
    </row>
    <row r="434" spans="2:9" x14ac:dyDescent="0.25">
      <c r="B434" s="56" t="s">
        <v>64</v>
      </c>
      <c r="C434" s="45">
        <v>0</v>
      </c>
      <c r="D434" s="45"/>
      <c r="E434" s="45"/>
      <c r="F434" s="45"/>
      <c r="G434" s="45">
        <v>0</v>
      </c>
      <c r="H434" s="45"/>
      <c r="I434" s="45">
        <v>0</v>
      </c>
    </row>
    <row r="435" spans="2:9" x14ac:dyDescent="0.25">
      <c r="B435" s="56" t="s">
        <v>64</v>
      </c>
      <c r="C435" s="45">
        <v>0</v>
      </c>
      <c r="D435" s="45"/>
      <c r="E435" s="45"/>
      <c r="F435" s="45"/>
      <c r="G435" s="45">
        <v>0</v>
      </c>
      <c r="H435" s="45"/>
      <c r="I435" s="45">
        <v>0</v>
      </c>
    </row>
    <row r="436" spans="2:9" x14ac:dyDescent="0.25">
      <c r="B436" s="56" t="s">
        <v>64</v>
      </c>
      <c r="C436" s="45">
        <v>0</v>
      </c>
      <c r="D436" s="45"/>
      <c r="E436" s="45"/>
      <c r="F436" s="45"/>
      <c r="G436" s="45">
        <v>0</v>
      </c>
      <c r="H436" s="45"/>
      <c r="I436" s="45">
        <v>0</v>
      </c>
    </row>
    <row r="437" spans="2:9" x14ac:dyDescent="0.25">
      <c r="B437" s="56" t="s">
        <v>64</v>
      </c>
      <c r="C437" s="45">
        <v>0</v>
      </c>
      <c r="D437" s="45"/>
      <c r="E437" s="45"/>
      <c r="F437" s="45"/>
      <c r="G437" s="45">
        <v>0</v>
      </c>
      <c r="H437" s="45"/>
      <c r="I437" s="45">
        <v>0</v>
      </c>
    </row>
    <row r="438" spans="2:9" x14ac:dyDescent="0.25">
      <c r="B438" s="56" t="s">
        <v>64</v>
      </c>
      <c r="C438" s="45">
        <v>0</v>
      </c>
      <c r="D438" s="45"/>
      <c r="E438" s="45"/>
      <c r="F438" s="45"/>
      <c r="G438" s="45">
        <v>0</v>
      </c>
      <c r="H438" s="45"/>
      <c r="I438" s="45">
        <v>0</v>
      </c>
    </row>
    <row r="439" spans="2:9" x14ac:dyDescent="0.25">
      <c r="B439" s="56" t="s">
        <v>64</v>
      </c>
      <c r="C439" s="45">
        <v>0</v>
      </c>
      <c r="D439" s="45"/>
      <c r="E439" s="45"/>
      <c r="F439" s="45"/>
      <c r="G439" s="45">
        <v>0</v>
      </c>
      <c r="H439" s="45"/>
      <c r="I439" s="45">
        <v>0</v>
      </c>
    </row>
    <row r="440" spans="2:9" x14ac:dyDescent="0.25">
      <c r="B440" s="56" t="s">
        <v>64</v>
      </c>
      <c r="C440" s="45">
        <v>0</v>
      </c>
      <c r="D440" s="45"/>
      <c r="E440" s="45"/>
      <c r="F440" s="45"/>
      <c r="G440" s="45">
        <v>0</v>
      </c>
      <c r="H440" s="45"/>
      <c r="I440" s="45">
        <v>0</v>
      </c>
    </row>
    <row r="441" spans="2:9" x14ac:dyDescent="0.25">
      <c r="B441" s="56" t="s">
        <v>64</v>
      </c>
      <c r="C441" s="45">
        <v>0</v>
      </c>
      <c r="D441" s="45"/>
      <c r="E441" s="45"/>
      <c r="F441" s="45"/>
      <c r="G441" s="45">
        <v>0</v>
      </c>
      <c r="H441" s="45"/>
      <c r="I441" s="45">
        <v>0</v>
      </c>
    </row>
    <row r="442" spans="2:9" x14ac:dyDescent="0.25">
      <c r="B442" s="56" t="s">
        <v>64</v>
      </c>
      <c r="C442" s="45">
        <v>0</v>
      </c>
      <c r="D442" s="45"/>
      <c r="E442" s="45"/>
      <c r="F442" s="45"/>
      <c r="G442" s="45">
        <v>0</v>
      </c>
      <c r="H442" s="45"/>
      <c r="I442" s="45">
        <v>0</v>
      </c>
    </row>
    <row r="443" spans="2:9" x14ac:dyDescent="0.25">
      <c r="B443" s="56" t="s">
        <v>64</v>
      </c>
      <c r="C443" s="45">
        <v>0</v>
      </c>
      <c r="D443" s="45"/>
      <c r="E443" s="45"/>
      <c r="F443" s="45"/>
      <c r="G443" s="45">
        <v>0</v>
      </c>
      <c r="H443" s="45"/>
      <c r="I443" s="45">
        <v>0</v>
      </c>
    </row>
    <row r="444" spans="2:9" x14ac:dyDescent="0.25">
      <c r="B444" s="56" t="s">
        <v>64</v>
      </c>
      <c r="C444" s="45">
        <v>0</v>
      </c>
      <c r="D444" s="45"/>
      <c r="E444" s="45"/>
      <c r="F444" s="45"/>
      <c r="G444" s="45">
        <v>0</v>
      </c>
      <c r="H444" s="45"/>
      <c r="I444" s="45">
        <v>0</v>
      </c>
    </row>
    <row r="445" spans="2:9" x14ac:dyDescent="0.25">
      <c r="B445" s="56" t="s">
        <v>64</v>
      </c>
      <c r="C445" s="45">
        <v>0</v>
      </c>
      <c r="D445" s="45"/>
      <c r="E445" s="45"/>
      <c r="F445" s="45"/>
      <c r="G445" s="45">
        <v>0</v>
      </c>
      <c r="H445" s="45"/>
      <c r="I445" s="45">
        <v>0</v>
      </c>
    </row>
    <row r="446" spans="2:9" x14ac:dyDescent="0.25">
      <c r="B446" s="56" t="s">
        <v>64</v>
      </c>
      <c r="C446" s="45">
        <v>0</v>
      </c>
      <c r="D446" s="45"/>
      <c r="E446" s="45"/>
      <c r="F446" s="45"/>
      <c r="G446" s="45">
        <v>0</v>
      </c>
      <c r="H446" s="45"/>
      <c r="I446" s="45">
        <v>0</v>
      </c>
    </row>
    <row r="447" spans="2:9" x14ac:dyDescent="0.25">
      <c r="B447" s="56" t="s">
        <v>64</v>
      </c>
      <c r="C447" s="45">
        <v>0</v>
      </c>
      <c r="D447" s="45"/>
      <c r="E447" s="45"/>
      <c r="F447" s="45"/>
      <c r="G447" s="45">
        <v>0</v>
      </c>
      <c r="H447" s="45"/>
      <c r="I447" s="45">
        <v>0</v>
      </c>
    </row>
    <row r="448" spans="2:9" x14ac:dyDescent="0.25">
      <c r="B448" s="56" t="s">
        <v>64</v>
      </c>
      <c r="C448" s="45">
        <v>0</v>
      </c>
      <c r="D448" s="45"/>
      <c r="E448" s="45"/>
      <c r="F448" s="45"/>
      <c r="G448" s="45">
        <v>0</v>
      </c>
      <c r="H448" s="45"/>
      <c r="I448" s="45">
        <v>0</v>
      </c>
    </row>
    <row r="449" spans="2:9" x14ac:dyDescent="0.25">
      <c r="B449" s="56" t="s">
        <v>64</v>
      </c>
      <c r="C449" s="45">
        <v>0</v>
      </c>
      <c r="D449" s="45"/>
      <c r="E449" s="45"/>
      <c r="F449" s="45"/>
      <c r="G449" s="45">
        <v>0</v>
      </c>
      <c r="H449" s="45"/>
      <c r="I449" s="45">
        <v>0</v>
      </c>
    </row>
    <row r="450" spans="2:9" x14ac:dyDescent="0.25">
      <c r="B450" s="56" t="s">
        <v>64</v>
      </c>
      <c r="C450" s="45">
        <v>0</v>
      </c>
      <c r="D450" s="45"/>
      <c r="E450" s="45"/>
      <c r="F450" s="45"/>
      <c r="G450" s="45">
        <v>0</v>
      </c>
      <c r="H450" s="45"/>
      <c r="I450" s="45">
        <v>0</v>
      </c>
    </row>
    <row r="451" spans="2:9" x14ac:dyDescent="0.25">
      <c r="B451" s="56" t="s">
        <v>64</v>
      </c>
      <c r="C451" s="45">
        <v>0</v>
      </c>
      <c r="D451" s="45"/>
      <c r="E451" s="45"/>
      <c r="F451" s="45"/>
      <c r="G451" s="45">
        <v>0</v>
      </c>
      <c r="H451" s="45"/>
      <c r="I451" s="45">
        <v>0</v>
      </c>
    </row>
    <row r="452" spans="2:9" x14ac:dyDescent="0.25">
      <c r="B452" s="56" t="s">
        <v>64</v>
      </c>
      <c r="C452" s="45">
        <v>0</v>
      </c>
      <c r="D452" s="45"/>
      <c r="E452" s="45"/>
      <c r="F452" s="45"/>
      <c r="G452" s="45">
        <v>0</v>
      </c>
      <c r="H452" s="45"/>
      <c r="I452" s="45">
        <v>0</v>
      </c>
    </row>
    <row r="453" spans="2:9" x14ac:dyDescent="0.25">
      <c r="B453" s="56" t="s">
        <v>64</v>
      </c>
      <c r="C453" s="45">
        <v>0</v>
      </c>
      <c r="D453" s="45"/>
      <c r="E453" s="45"/>
      <c r="F453" s="45"/>
      <c r="G453" s="45">
        <v>0</v>
      </c>
      <c r="H453" s="45"/>
      <c r="I453" s="45">
        <v>0</v>
      </c>
    </row>
    <row r="454" spans="2:9" x14ac:dyDescent="0.25">
      <c r="B454" s="56" t="s">
        <v>64</v>
      </c>
      <c r="C454" s="45">
        <v>0</v>
      </c>
      <c r="D454" s="45"/>
      <c r="E454" s="45"/>
      <c r="F454" s="45"/>
      <c r="G454" s="45">
        <v>0</v>
      </c>
      <c r="H454" s="45"/>
      <c r="I454" s="45">
        <v>0</v>
      </c>
    </row>
    <row r="455" spans="2:9" x14ac:dyDescent="0.25">
      <c r="B455" s="56" t="s">
        <v>64</v>
      </c>
      <c r="C455" s="45">
        <v>0</v>
      </c>
      <c r="D455" s="45"/>
      <c r="E455" s="45"/>
      <c r="F455" s="45"/>
      <c r="G455" s="45">
        <v>0</v>
      </c>
      <c r="H455" s="45"/>
      <c r="I455" s="45">
        <v>0</v>
      </c>
    </row>
    <row r="456" spans="2:9" x14ac:dyDescent="0.25">
      <c r="B456" s="56" t="s">
        <v>64</v>
      </c>
      <c r="C456" s="45">
        <v>0</v>
      </c>
      <c r="D456" s="45"/>
      <c r="E456" s="45"/>
      <c r="F456" s="45"/>
      <c r="G456" s="45">
        <v>0</v>
      </c>
      <c r="H456" s="45"/>
      <c r="I456" s="45">
        <v>0</v>
      </c>
    </row>
    <row r="457" spans="2:9" x14ac:dyDescent="0.25">
      <c r="B457" s="56" t="s">
        <v>64</v>
      </c>
      <c r="C457" s="45">
        <v>0</v>
      </c>
      <c r="D457" s="45"/>
      <c r="E457" s="45"/>
      <c r="F457" s="45"/>
      <c r="G457" s="45">
        <v>0</v>
      </c>
      <c r="H457" s="45"/>
      <c r="I457" s="45">
        <v>0</v>
      </c>
    </row>
    <row r="458" spans="2:9" x14ac:dyDescent="0.25">
      <c r="B458" s="56" t="s">
        <v>64</v>
      </c>
      <c r="C458" s="45">
        <v>0</v>
      </c>
      <c r="D458" s="45"/>
      <c r="E458" s="45"/>
      <c r="F458" s="45"/>
      <c r="G458" s="45">
        <v>0</v>
      </c>
      <c r="H458" s="45"/>
      <c r="I458" s="45">
        <v>0</v>
      </c>
    </row>
    <row r="459" spans="2:9" x14ac:dyDescent="0.25">
      <c r="B459" s="56" t="s">
        <v>64</v>
      </c>
      <c r="C459" s="45">
        <v>0</v>
      </c>
      <c r="D459" s="45"/>
      <c r="E459" s="45"/>
      <c r="F459" s="45"/>
      <c r="G459" s="45">
        <v>0</v>
      </c>
      <c r="H459" s="45"/>
      <c r="I459" s="45">
        <v>0</v>
      </c>
    </row>
    <row r="460" spans="2:9" x14ac:dyDescent="0.25">
      <c r="B460" s="56" t="s">
        <v>64</v>
      </c>
      <c r="C460" s="45">
        <v>0</v>
      </c>
      <c r="D460" s="45"/>
      <c r="E460" s="45"/>
      <c r="F460" s="45"/>
      <c r="G460" s="45">
        <v>0</v>
      </c>
      <c r="H460" s="45"/>
      <c r="I460" s="45">
        <v>0</v>
      </c>
    </row>
    <row r="461" spans="2:9" x14ac:dyDescent="0.25">
      <c r="B461" s="56" t="s">
        <v>64</v>
      </c>
      <c r="C461" s="45">
        <v>0</v>
      </c>
      <c r="D461" s="45"/>
      <c r="E461" s="45"/>
      <c r="F461" s="45"/>
      <c r="G461" s="45">
        <v>0</v>
      </c>
      <c r="H461" s="45"/>
      <c r="I461" s="45">
        <v>0</v>
      </c>
    </row>
    <row r="462" spans="2:9" x14ac:dyDescent="0.25">
      <c r="B462" s="56" t="s">
        <v>64</v>
      </c>
      <c r="C462" s="45">
        <v>0</v>
      </c>
      <c r="D462" s="45"/>
      <c r="E462" s="45"/>
      <c r="F462" s="45"/>
      <c r="G462" s="45">
        <v>0</v>
      </c>
      <c r="H462" s="45"/>
      <c r="I462" s="45">
        <v>0</v>
      </c>
    </row>
    <row r="463" spans="2:9" x14ac:dyDescent="0.25">
      <c r="B463" s="56" t="s">
        <v>64</v>
      </c>
      <c r="C463" s="45">
        <v>0</v>
      </c>
      <c r="D463" s="45"/>
      <c r="E463" s="45"/>
      <c r="F463" s="45"/>
      <c r="G463" s="45">
        <v>0</v>
      </c>
      <c r="H463" s="45"/>
      <c r="I463" s="45">
        <v>0</v>
      </c>
    </row>
    <row r="464" spans="2:9" x14ac:dyDescent="0.25">
      <c r="B464" s="56" t="s">
        <v>64</v>
      </c>
      <c r="C464" s="45">
        <v>0</v>
      </c>
      <c r="D464" s="45"/>
      <c r="E464" s="45"/>
      <c r="F464" s="45"/>
      <c r="G464" s="45">
        <v>0</v>
      </c>
      <c r="H464" s="45"/>
      <c r="I464" s="45">
        <v>0</v>
      </c>
    </row>
    <row r="465" spans="2:9" x14ac:dyDescent="0.25">
      <c r="B465" s="56" t="s">
        <v>64</v>
      </c>
      <c r="C465" s="45">
        <v>0</v>
      </c>
      <c r="D465" s="45"/>
      <c r="E465" s="45"/>
      <c r="F465" s="45"/>
      <c r="G465" s="45">
        <v>0</v>
      </c>
      <c r="H465" s="45"/>
      <c r="I465" s="45">
        <v>0</v>
      </c>
    </row>
    <row r="466" spans="2:9" x14ac:dyDescent="0.25">
      <c r="B466" s="56" t="s">
        <v>64</v>
      </c>
      <c r="C466" s="45">
        <v>0</v>
      </c>
      <c r="D466" s="45"/>
      <c r="E466" s="45"/>
      <c r="F466" s="45"/>
      <c r="G466" s="45">
        <v>0</v>
      </c>
      <c r="H466" s="45"/>
      <c r="I466" s="45">
        <v>0</v>
      </c>
    </row>
    <row r="467" spans="2:9" x14ac:dyDescent="0.25">
      <c r="B467" s="56" t="s">
        <v>64</v>
      </c>
      <c r="C467" s="45">
        <v>0</v>
      </c>
      <c r="D467" s="45"/>
      <c r="E467" s="45"/>
      <c r="F467" s="45"/>
      <c r="G467" s="45">
        <v>0</v>
      </c>
      <c r="H467" s="45"/>
      <c r="I467" s="45">
        <v>0</v>
      </c>
    </row>
    <row r="468" spans="2:9" x14ac:dyDescent="0.25">
      <c r="B468" s="56" t="s">
        <v>64</v>
      </c>
      <c r="C468" s="45">
        <v>0</v>
      </c>
      <c r="D468" s="45"/>
      <c r="E468" s="45"/>
      <c r="F468" s="45"/>
      <c r="G468" s="45">
        <v>0</v>
      </c>
      <c r="H468" s="45"/>
      <c r="I468" s="45">
        <v>0</v>
      </c>
    </row>
    <row r="469" spans="2:9" x14ac:dyDescent="0.25">
      <c r="B469" s="56" t="s">
        <v>64</v>
      </c>
      <c r="C469" s="45">
        <v>0</v>
      </c>
      <c r="D469" s="45"/>
      <c r="E469" s="45"/>
      <c r="F469" s="45"/>
      <c r="G469" s="45">
        <v>0</v>
      </c>
      <c r="H469" s="45"/>
      <c r="I469" s="45">
        <v>0</v>
      </c>
    </row>
    <row r="470" spans="2:9" x14ac:dyDescent="0.25">
      <c r="B470" s="56" t="s">
        <v>64</v>
      </c>
      <c r="C470" s="45">
        <v>0</v>
      </c>
      <c r="D470" s="45"/>
      <c r="E470" s="45"/>
      <c r="F470" s="45"/>
      <c r="G470" s="45">
        <v>0</v>
      </c>
      <c r="H470" s="45"/>
      <c r="I470" s="45">
        <v>0</v>
      </c>
    </row>
    <row r="471" spans="2:9" x14ac:dyDescent="0.25">
      <c r="B471" s="56" t="s">
        <v>64</v>
      </c>
      <c r="C471" s="45">
        <v>0</v>
      </c>
      <c r="D471" s="45"/>
      <c r="E471" s="45"/>
      <c r="F471" s="45"/>
      <c r="G471" s="45">
        <v>0</v>
      </c>
      <c r="H471" s="45"/>
      <c r="I471" s="45">
        <v>0</v>
      </c>
    </row>
    <row r="472" spans="2:9" x14ac:dyDescent="0.25">
      <c r="B472" s="56" t="s">
        <v>64</v>
      </c>
      <c r="C472" s="45">
        <v>0</v>
      </c>
      <c r="D472" s="45"/>
      <c r="E472" s="45"/>
      <c r="F472" s="45"/>
      <c r="G472" s="45">
        <v>0</v>
      </c>
      <c r="H472" s="45"/>
      <c r="I472" s="45">
        <v>0</v>
      </c>
    </row>
    <row r="473" spans="2:9" x14ac:dyDescent="0.25">
      <c r="B473" s="56" t="s">
        <v>64</v>
      </c>
      <c r="C473" s="45">
        <v>0</v>
      </c>
      <c r="D473" s="45"/>
      <c r="E473" s="45"/>
      <c r="F473" s="45"/>
      <c r="G473" s="45">
        <v>0</v>
      </c>
      <c r="H473" s="45"/>
      <c r="I473" s="45">
        <v>0</v>
      </c>
    </row>
    <row r="474" spans="2:9" x14ac:dyDescent="0.25">
      <c r="B474" s="56" t="s">
        <v>64</v>
      </c>
      <c r="C474" s="45">
        <v>0</v>
      </c>
      <c r="D474" s="45"/>
      <c r="E474" s="45"/>
      <c r="F474" s="45"/>
      <c r="G474" s="45">
        <v>0</v>
      </c>
      <c r="H474" s="45"/>
      <c r="I474" s="45">
        <v>0</v>
      </c>
    </row>
    <row r="475" spans="2:9" x14ac:dyDescent="0.25">
      <c r="B475" s="56" t="s">
        <v>64</v>
      </c>
      <c r="C475" s="45">
        <v>0</v>
      </c>
      <c r="D475" s="45"/>
      <c r="E475" s="45"/>
      <c r="F475" s="45"/>
      <c r="G475" s="45">
        <v>0</v>
      </c>
      <c r="H475" s="45"/>
      <c r="I475" s="45">
        <v>0</v>
      </c>
    </row>
    <row r="476" spans="2:9" x14ac:dyDescent="0.25">
      <c r="B476" s="56" t="s">
        <v>64</v>
      </c>
      <c r="C476" s="45">
        <v>0</v>
      </c>
      <c r="D476" s="45"/>
      <c r="E476" s="45"/>
      <c r="F476" s="45"/>
      <c r="G476" s="45">
        <v>0</v>
      </c>
      <c r="H476" s="45"/>
      <c r="I476" s="45">
        <v>0</v>
      </c>
    </row>
    <row r="477" spans="2:9" x14ac:dyDescent="0.25">
      <c r="B477" s="56" t="s">
        <v>64</v>
      </c>
      <c r="C477" s="45">
        <v>0</v>
      </c>
      <c r="D477" s="45"/>
      <c r="E477" s="45"/>
      <c r="F477" s="45"/>
      <c r="G477" s="45">
        <v>0</v>
      </c>
      <c r="H477" s="45"/>
      <c r="I477" s="45">
        <v>0</v>
      </c>
    </row>
    <row r="478" spans="2:9" x14ac:dyDescent="0.25">
      <c r="B478" s="56" t="s">
        <v>64</v>
      </c>
      <c r="C478" s="45">
        <v>0</v>
      </c>
      <c r="D478" s="45"/>
      <c r="E478" s="45"/>
      <c r="F478" s="45"/>
      <c r="G478" s="45">
        <v>0</v>
      </c>
      <c r="H478" s="45"/>
      <c r="I478" s="45">
        <v>0</v>
      </c>
    </row>
    <row r="479" spans="2:9" x14ac:dyDescent="0.25">
      <c r="B479" s="56" t="s">
        <v>64</v>
      </c>
      <c r="C479" s="45">
        <v>0</v>
      </c>
      <c r="D479" s="45"/>
      <c r="E479" s="45"/>
      <c r="F479" s="45"/>
      <c r="G479" s="45">
        <v>0</v>
      </c>
      <c r="H479" s="45"/>
      <c r="I479" s="45">
        <v>0</v>
      </c>
    </row>
    <row r="480" spans="2:9" x14ac:dyDescent="0.25">
      <c r="B480" s="56" t="s">
        <v>64</v>
      </c>
      <c r="C480" s="45">
        <v>0</v>
      </c>
      <c r="D480" s="45"/>
      <c r="E480" s="45"/>
      <c r="F480" s="45"/>
      <c r="G480" s="45">
        <v>0</v>
      </c>
      <c r="H480" s="45"/>
      <c r="I480" s="45">
        <v>0</v>
      </c>
    </row>
    <row r="481" spans="2:9" x14ac:dyDescent="0.25">
      <c r="B481" s="56" t="s">
        <v>64</v>
      </c>
      <c r="C481" s="45">
        <v>0</v>
      </c>
      <c r="D481" s="45"/>
      <c r="E481" s="45"/>
      <c r="F481" s="45"/>
      <c r="G481" s="45">
        <v>0</v>
      </c>
      <c r="H481" s="45"/>
      <c r="I481" s="45">
        <v>0</v>
      </c>
    </row>
    <row r="482" spans="2:9" x14ac:dyDescent="0.25">
      <c r="B482" s="56" t="s">
        <v>64</v>
      </c>
      <c r="C482" s="45">
        <v>0</v>
      </c>
      <c r="D482" s="45"/>
      <c r="E482" s="45"/>
      <c r="F482" s="45"/>
      <c r="G482" s="45">
        <v>0</v>
      </c>
      <c r="H482" s="45"/>
      <c r="I482" s="45">
        <v>0</v>
      </c>
    </row>
    <row r="483" spans="2:9" x14ac:dyDescent="0.25">
      <c r="B483" s="56" t="s">
        <v>64</v>
      </c>
      <c r="C483" s="45">
        <v>0</v>
      </c>
      <c r="D483" s="45"/>
      <c r="E483" s="45"/>
      <c r="F483" s="45"/>
      <c r="G483" s="45">
        <v>0</v>
      </c>
      <c r="H483" s="45"/>
      <c r="I483" s="45">
        <v>0</v>
      </c>
    </row>
    <row r="484" spans="2:9" x14ac:dyDescent="0.25">
      <c r="B484" s="56" t="s">
        <v>64</v>
      </c>
      <c r="C484" s="45">
        <v>0</v>
      </c>
      <c r="D484" s="45"/>
      <c r="E484" s="45"/>
      <c r="F484" s="45"/>
      <c r="G484" s="45">
        <v>0</v>
      </c>
      <c r="H484" s="45"/>
      <c r="I484" s="45">
        <v>0</v>
      </c>
    </row>
    <row r="485" spans="2:9" x14ac:dyDescent="0.25">
      <c r="B485" s="56" t="s">
        <v>64</v>
      </c>
      <c r="C485" s="45">
        <v>0</v>
      </c>
      <c r="D485" s="45"/>
      <c r="E485" s="45"/>
      <c r="F485" s="45"/>
      <c r="G485" s="45">
        <v>0</v>
      </c>
      <c r="H485" s="45"/>
      <c r="I485" s="45">
        <v>0</v>
      </c>
    </row>
    <row r="486" spans="2:9" x14ac:dyDescent="0.25">
      <c r="B486" s="56" t="s">
        <v>64</v>
      </c>
      <c r="C486" s="45">
        <v>0</v>
      </c>
      <c r="D486" s="45"/>
      <c r="E486" s="45"/>
      <c r="F486" s="45"/>
      <c r="G486" s="45">
        <v>0</v>
      </c>
      <c r="H486" s="45"/>
      <c r="I486" s="45">
        <v>0</v>
      </c>
    </row>
    <row r="487" spans="2:9" x14ac:dyDescent="0.25">
      <c r="B487" s="56" t="s">
        <v>64</v>
      </c>
      <c r="C487" s="45">
        <v>0</v>
      </c>
      <c r="D487" s="45"/>
      <c r="E487" s="45"/>
      <c r="F487" s="45"/>
      <c r="G487" s="45">
        <v>0</v>
      </c>
      <c r="H487" s="45"/>
      <c r="I487" s="45">
        <v>0</v>
      </c>
    </row>
    <row r="488" spans="2:9" x14ac:dyDescent="0.25">
      <c r="B488" s="56" t="s">
        <v>64</v>
      </c>
      <c r="C488" s="45">
        <v>0</v>
      </c>
      <c r="D488" s="45"/>
      <c r="E488" s="45"/>
      <c r="F488" s="45"/>
      <c r="G488" s="45">
        <v>0</v>
      </c>
      <c r="H488" s="45"/>
      <c r="I488" s="45">
        <v>0</v>
      </c>
    </row>
    <row r="489" spans="2:9" x14ac:dyDescent="0.25">
      <c r="B489" s="56" t="s">
        <v>64</v>
      </c>
      <c r="C489" s="45">
        <v>0</v>
      </c>
      <c r="D489" s="45"/>
      <c r="E489" s="45"/>
      <c r="F489" s="45"/>
      <c r="G489" s="45">
        <v>0</v>
      </c>
      <c r="H489" s="45"/>
      <c r="I489" s="45">
        <v>0</v>
      </c>
    </row>
    <row r="490" spans="2:9" x14ac:dyDescent="0.25">
      <c r="B490" s="56" t="s">
        <v>64</v>
      </c>
      <c r="C490" s="45">
        <v>0</v>
      </c>
      <c r="D490" s="45"/>
      <c r="E490" s="45"/>
      <c r="F490" s="45"/>
      <c r="G490" s="45">
        <v>0</v>
      </c>
      <c r="H490" s="45"/>
      <c r="I490" s="45">
        <v>0</v>
      </c>
    </row>
    <row r="491" spans="2:9" x14ac:dyDescent="0.25">
      <c r="B491" s="56" t="s">
        <v>64</v>
      </c>
      <c r="C491" s="45">
        <v>0</v>
      </c>
      <c r="D491" s="45"/>
      <c r="E491" s="45"/>
      <c r="F491" s="45"/>
      <c r="G491" s="45">
        <v>0</v>
      </c>
      <c r="H491" s="45"/>
      <c r="I491" s="45">
        <v>0</v>
      </c>
    </row>
    <row r="492" spans="2:9" x14ac:dyDescent="0.25">
      <c r="B492" s="56" t="s">
        <v>64</v>
      </c>
      <c r="C492" s="45">
        <v>0</v>
      </c>
      <c r="D492" s="45"/>
      <c r="E492" s="45"/>
      <c r="F492" s="45"/>
      <c r="G492" s="45">
        <v>0</v>
      </c>
      <c r="H492" s="45"/>
      <c r="I492" s="45">
        <v>0</v>
      </c>
    </row>
    <row r="493" spans="2:9" x14ac:dyDescent="0.25">
      <c r="B493" s="56" t="s">
        <v>64</v>
      </c>
      <c r="C493" s="45">
        <v>0</v>
      </c>
      <c r="D493" s="45"/>
      <c r="E493" s="45"/>
      <c r="F493" s="45"/>
      <c r="G493" s="45">
        <v>0</v>
      </c>
      <c r="H493" s="45"/>
      <c r="I493" s="45">
        <v>0</v>
      </c>
    </row>
    <row r="494" spans="2:9" x14ac:dyDescent="0.25">
      <c r="B494" s="56" t="s">
        <v>64</v>
      </c>
      <c r="C494" s="45">
        <v>0</v>
      </c>
      <c r="D494" s="45"/>
      <c r="E494" s="45"/>
      <c r="F494" s="45"/>
      <c r="G494" s="45">
        <v>0</v>
      </c>
      <c r="H494" s="45"/>
      <c r="I494" s="45">
        <v>0</v>
      </c>
    </row>
    <row r="495" spans="2:9" x14ac:dyDescent="0.25">
      <c r="B495" s="56" t="s">
        <v>64</v>
      </c>
      <c r="C495" s="45">
        <v>0</v>
      </c>
      <c r="D495" s="45"/>
      <c r="E495" s="45"/>
      <c r="F495" s="45"/>
      <c r="G495" s="45">
        <v>0</v>
      </c>
      <c r="H495" s="45"/>
      <c r="I495" s="45">
        <v>0</v>
      </c>
    </row>
    <row r="496" spans="2:9" x14ac:dyDescent="0.25">
      <c r="B496" s="56" t="s">
        <v>64</v>
      </c>
      <c r="C496" s="45">
        <v>0</v>
      </c>
      <c r="D496" s="45"/>
      <c r="E496" s="45"/>
      <c r="F496" s="45"/>
      <c r="G496" s="45">
        <v>0</v>
      </c>
      <c r="H496" s="45"/>
      <c r="I496" s="45">
        <v>0</v>
      </c>
    </row>
    <row r="497" spans="2:9" x14ac:dyDescent="0.25">
      <c r="B497" s="56" t="s">
        <v>64</v>
      </c>
      <c r="C497" s="45">
        <v>0</v>
      </c>
      <c r="D497" s="45"/>
      <c r="E497" s="45"/>
      <c r="F497" s="45"/>
      <c r="G497" s="45">
        <v>0</v>
      </c>
      <c r="H497" s="45"/>
      <c r="I497" s="45">
        <v>0</v>
      </c>
    </row>
    <row r="498" spans="2:9" x14ac:dyDescent="0.25">
      <c r="B498" s="56" t="s">
        <v>64</v>
      </c>
      <c r="C498" s="45">
        <v>0</v>
      </c>
      <c r="D498" s="45"/>
      <c r="E498" s="45"/>
      <c r="F498" s="45"/>
      <c r="G498" s="45">
        <v>0</v>
      </c>
      <c r="H498" s="45"/>
      <c r="I498" s="45">
        <v>0</v>
      </c>
    </row>
    <row r="499" spans="2:9" x14ac:dyDescent="0.25">
      <c r="B499" s="56" t="s">
        <v>64</v>
      </c>
      <c r="C499" s="45">
        <v>0</v>
      </c>
      <c r="D499" s="45"/>
      <c r="E499" s="45"/>
      <c r="F499" s="45"/>
      <c r="G499" s="45">
        <v>0</v>
      </c>
      <c r="H499" s="45"/>
      <c r="I499" s="45">
        <v>0</v>
      </c>
    </row>
    <row r="500" spans="2:9" x14ac:dyDescent="0.25">
      <c r="B500" s="56" t="s">
        <v>64</v>
      </c>
      <c r="C500" s="45">
        <v>0</v>
      </c>
      <c r="D500" s="45"/>
      <c r="E500" s="45"/>
      <c r="F500" s="45"/>
      <c r="G500" s="45">
        <v>0</v>
      </c>
      <c r="H500" s="45"/>
      <c r="I500" s="45">
        <v>0</v>
      </c>
    </row>
    <row r="501" spans="2:9" x14ac:dyDescent="0.25">
      <c r="B501" s="56" t="s">
        <v>64</v>
      </c>
      <c r="C501" s="45">
        <v>0</v>
      </c>
      <c r="D501" s="45"/>
      <c r="E501" s="45"/>
      <c r="F501" s="45"/>
      <c r="G501" s="45">
        <v>0</v>
      </c>
      <c r="H501" s="45"/>
      <c r="I501" s="45">
        <v>0</v>
      </c>
    </row>
    <row r="502" spans="2:9" x14ac:dyDescent="0.25">
      <c r="B502" s="56" t="s">
        <v>64</v>
      </c>
      <c r="C502" s="45">
        <v>0</v>
      </c>
      <c r="D502" s="45"/>
      <c r="E502" s="45"/>
      <c r="F502" s="45"/>
      <c r="G502" s="45">
        <v>0</v>
      </c>
      <c r="H502" s="45"/>
      <c r="I502" s="45">
        <v>0</v>
      </c>
    </row>
    <row r="503" spans="2:9" x14ac:dyDescent="0.25">
      <c r="B503" s="56" t="s">
        <v>64</v>
      </c>
      <c r="C503" s="45">
        <v>0</v>
      </c>
      <c r="D503" s="45"/>
      <c r="E503" s="45"/>
      <c r="F503" s="45"/>
      <c r="G503" s="45">
        <v>0</v>
      </c>
      <c r="H503" s="45"/>
      <c r="I503" s="45">
        <v>0</v>
      </c>
    </row>
    <row r="504" spans="2:9" x14ac:dyDescent="0.25">
      <c r="B504" s="56" t="s">
        <v>64</v>
      </c>
      <c r="C504" s="45">
        <v>0</v>
      </c>
      <c r="D504" s="45"/>
      <c r="E504" s="45"/>
      <c r="F504" s="45"/>
      <c r="G504" s="45">
        <v>0</v>
      </c>
      <c r="H504" s="45"/>
      <c r="I504" s="45">
        <v>0</v>
      </c>
    </row>
    <row r="505" spans="2:9" x14ac:dyDescent="0.25">
      <c r="B505" s="56" t="s">
        <v>64</v>
      </c>
      <c r="C505" s="45">
        <v>0</v>
      </c>
      <c r="D505" s="45"/>
      <c r="E505" s="45"/>
      <c r="F505" s="45"/>
      <c r="G505" s="45">
        <v>0</v>
      </c>
      <c r="H505" s="45"/>
      <c r="I505" s="45">
        <v>0</v>
      </c>
    </row>
    <row r="506" spans="2:9" x14ac:dyDescent="0.25">
      <c r="B506" s="56" t="s">
        <v>64</v>
      </c>
      <c r="C506" s="45">
        <v>0</v>
      </c>
      <c r="D506" s="45"/>
      <c r="E506" s="45"/>
      <c r="F506" s="45"/>
      <c r="G506" s="45">
        <v>0</v>
      </c>
      <c r="H506" s="45"/>
      <c r="I506" s="45">
        <v>0</v>
      </c>
    </row>
    <row r="507" spans="2:9" x14ac:dyDescent="0.25">
      <c r="B507" s="56" t="s">
        <v>64</v>
      </c>
      <c r="C507" s="45">
        <v>0</v>
      </c>
      <c r="D507" s="45"/>
      <c r="E507" s="45"/>
      <c r="F507" s="45"/>
      <c r="G507" s="45">
        <v>0</v>
      </c>
      <c r="H507" s="45"/>
      <c r="I507" s="45">
        <v>0</v>
      </c>
    </row>
    <row r="508" spans="2:9" x14ac:dyDescent="0.25">
      <c r="B508" s="56" t="s">
        <v>64</v>
      </c>
      <c r="C508" s="45">
        <v>0</v>
      </c>
      <c r="D508" s="45"/>
      <c r="E508" s="45"/>
      <c r="F508" s="45"/>
      <c r="G508" s="45">
        <v>0</v>
      </c>
      <c r="H508" s="45"/>
      <c r="I508" s="45">
        <v>0</v>
      </c>
    </row>
    <row r="509" spans="2:9" x14ac:dyDescent="0.25">
      <c r="B509" s="56" t="s">
        <v>64</v>
      </c>
      <c r="C509" s="45">
        <v>0</v>
      </c>
      <c r="D509" s="45"/>
      <c r="E509" s="45"/>
      <c r="F509" s="45"/>
      <c r="G509" s="45">
        <v>0</v>
      </c>
      <c r="H509" s="45"/>
      <c r="I509" s="45">
        <v>0</v>
      </c>
    </row>
    <row r="510" spans="2:9" x14ac:dyDescent="0.25">
      <c r="B510" s="56" t="s">
        <v>64</v>
      </c>
      <c r="C510" s="45">
        <v>0</v>
      </c>
      <c r="D510" s="45"/>
      <c r="E510" s="45"/>
      <c r="F510" s="45"/>
      <c r="G510" s="45">
        <v>0</v>
      </c>
      <c r="H510" s="45"/>
      <c r="I510" s="45">
        <v>0</v>
      </c>
    </row>
    <row r="511" spans="2:9" x14ac:dyDescent="0.25">
      <c r="B511" s="56" t="s">
        <v>64</v>
      </c>
      <c r="C511" s="45">
        <v>0</v>
      </c>
      <c r="D511" s="45"/>
      <c r="E511" s="45"/>
      <c r="F511" s="45"/>
      <c r="G511" s="45">
        <v>0</v>
      </c>
      <c r="H511" s="45"/>
      <c r="I511" s="45">
        <v>0</v>
      </c>
    </row>
    <row r="512" spans="2:9" x14ac:dyDescent="0.25">
      <c r="B512" s="56" t="s">
        <v>64</v>
      </c>
      <c r="C512" s="45">
        <v>0</v>
      </c>
      <c r="D512" s="45"/>
      <c r="E512" s="45"/>
      <c r="F512" s="45"/>
      <c r="G512" s="45">
        <v>0</v>
      </c>
      <c r="H512" s="45"/>
      <c r="I512" s="45">
        <v>0</v>
      </c>
    </row>
    <row r="513" spans="2:9" x14ac:dyDescent="0.25">
      <c r="B513" s="56" t="s">
        <v>64</v>
      </c>
      <c r="C513" s="45">
        <v>0</v>
      </c>
      <c r="D513" s="45"/>
      <c r="E513" s="45"/>
      <c r="F513" s="45"/>
      <c r="G513" s="45">
        <v>0</v>
      </c>
      <c r="H513" s="45"/>
      <c r="I513" s="45">
        <v>0</v>
      </c>
    </row>
    <row r="514" spans="2:9" x14ac:dyDescent="0.25">
      <c r="B514" s="56" t="s">
        <v>64</v>
      </c>
      <c r="C514" s="45">
        <v>0</v>
      </c>
      <c r="D514" s="45"/>
      <c r="E514" s="45"/>
      <c r="F514" s="45"/>
      <c r="G514" s="45">
        <v>0</v>
      </c>
      <c r="H514" s="45"/>
      <c r="I514" s="45">
        <v>0</v>
      </c>
    </row>
    <row r="515" spans="2:9" x14ac:dyDescent="0.25">
      <c r="B515" s="56" t="s">
        <v>64</v>
      </c>
      <c r="C515" s="45">
        <v>0</v>
      </c>
      <c r="D515" s="45"/>
      <c r="E515" s="45"/>
      <c r="F515" s="45"/>
      <c r="G515" s="45">
        <v>0</v>
      </c>
      <c r="H515" s="45"/>
      <c r="I515" s="45">
        <v>0</v>
      </c>
    </row>
    <row r="516" spans="2:9" x14ac:dyDescent="0.25">
      <c r="B516" s="56" t="s">
        <v>64</v>
      </c>
      <c r="C516" s="45">
        <v>0</v>
      </c>
      <c r="D516" s="45"/>
      <c r="E516" s="45"/>
      <c r="F516" s="45"/>
      <c r="G516" s="45">
        <v>0</v>
      </c>
      <c r="H516" s="45"/>
      <c r="I516" s="45">
        <v>0</v>
      </c>
    </row>
    <row r="517" spans="2:9" x14ac:dyDescent="0.25">
      <c r="B517" s="56" t="s">
        <v>64</v>
      </c>
      <c r="C517" s="45">
        <v>0</v>
      </c>
      <c r="D517" s="45"/>
      <c r="E517" s="45"/>
      <c r="F517" s="45"/>
      <c r="G517" s="45">
        <v>0</v>
      </c>
      <c r="H517" s="45"/>
      <c r="I517" s="45">
        <v>0</v>
      </c>
    </row>
    <row r="518" spans="2:9" x14ac:dyDescent="0.25">
      <c r="B518" s="56" t="s">
        <v>64</v>
      </c>
      <c r="C518" s="45">
        <v>0</v>
      </c>
      <c r="D518" s="45"/>
      <c r="E518" s="45"/>
      <c r="F518" s="45"/>
      <c r="G518" s="45">
        <v>0</v>
      </c>
      <c r="H518" s="45"/>
      <c r="I518" s="45">
        <v>0</v>
      </c>
    </row>
    <row r="519" spans="2:9" x14ac:dyDescent="0.25">
      <c r="B519" s="56" t="s">
        <v>64</v>
      </c>
      <c r="C519" s="45">
        <v>0</v>
      </c>
      <c r="D519" s="45"/>
      <c r="E519" s="45"/>
      <c r="F519" s="45"/>
      <c r="G519" s="45">
        <v>0</v>
      </c>
      <c r="H519" s="45"/>
      <c r="I519" s="45">
        <v>0</v>
      </c>
    </row>
    <row r="520" spans="2:9" x14ac:dyDescent="0.25">
      <c r="B520" s="56" t="s">
        <v>64</v>
      </c>
      <c r="C520" s="45">
        <v>0</v>
      </c>
      <c r="D520" s="45"/>
      <c r="E520" s="45"/>
      <c r="F520" s="45"/>
      <c r="G520" s="45">
        <v>0</v>
      </c>
      <c r="H520" s="45"/>
      <c r="I520" s="45">
        <v>0</v>
      </c>
    </row>
    <row r="521" spans="2:9" x14ac:dyDescent="0.25">
      <c r="B521" s="56" t="s">
        <v>64</v>
      </c>
      <c r="C521" s="45">
        <v>0</v>
      </c>
      <c r="D521" s="45"/>
      <c r="E521" s="45"/>
      <c r="F521" s="45"/>
      <c r="G521" s="45">
        <v>0</v>
      </c>
      <c r="H521" s="45"/>
      <c r="I521" s="45">
        <v>0</v>
      </c>
    </row>
    <row r="522" spans="2:9" x14ac:dyDescent="0.25">
      <c r="B522" s="56" t="s">
        <v>64</v>
      </c>
      <c r="C522" s="45">
        <v>0</v>
      </c>
      <c r="D522" s="45"/>
      <c r="E522" s="45"/>
      <c r="F522" s="45"/>
      <c r="G522" s="45">
        <v>0</v>
      </c>
      <c r="H522" s="45"/>
      <c r="I522" s="45">
        <v>0</v>
      </c>
    </row>
    <row r="523" spans="2:9" x14ac:dyDescent="0.25">
      <c r="B523" s="56" t="s">
        <v>64</v>
      </c>
      <c r="C523" s="45">
        <v>0</v>
      </c>
      <c r="D523" s="45"/>
      <c r="E523" s="45"/>
      <c r="F523" s="45"/>
      <c r="G523" s="45">
        <v>0</v>
      </c>
      <c r="H523" s="45"/>
      <c r="I523" s="45">
        <v>0</v>
      </c>
    </row>
    <row r="524" spans="2:9" x14ac:dyDescent="0.25">
      <c r="B524" s="56" t="s">
        <v>64</v>
      </c>
      <c r="C524" s="45">
        <v>0</v>
      </c>
      <c r="D524" s="45"/>
      <c r="E524" s="45"/>
      <c r="F524" s="45"/>
      <c r="G524" s="45">
        <v>0</v>
      </c>
      <c r="H524" s="45"/>
      <c r="I524" s="45">
        <v>0</v>
      </c>
    </row>
    <row r="525" spans="2:9" x14ac:dyDescent="0.25">
      <c r="B525" s="56" t="s">
        <v>64</v>
      </c>
      <c r="C525" s="45">
        <v>0</v>
      </c>
      <c r="D525" s="45"/>
      <c r="E525" s="45"/>
      <c r="F525" s="45"/>
      <c r="G525" s="45">
        <v>0</v>
      </c>
      <c r="H525" s="45"/>
      <c r="I525" s="45">
        <v>0</v>
      </c>
    </row>
    <row r="526" spans="2:9" x14ac:dyDescent="0.25">
      <c r="B526" s="56" t="s">
        <v>64</v>
      </c>
      <c r="C526" s="45">
        <v>0</v>
      </c>
      <c r="D526" s="45"/>
      <c r="E526" s="45"/>
      <c r="F526" s="45"/>
      <c r="G526" s="45">
        <v>0</v>
      </c>
      <c r="H526" s="45"/>
      <c r="I526" s="45">
        <v>0</v>
      </c>
    </row>
    <row r="527" spans="2:9" x14ac:dyDescent="0.25">
      <c r="B527" s="56" t="s">
        <v>64</v>
      </c>
      <c r="C527" s="45">
        <v>0</v>
      </c>
      <c r="D527" s="45"/>
      <c r="E527" s="45"/>
      <c r="F527" s="45"/>
      <c r="G527" s="45">
        <v>0</v>
      </c>
      <c r="H527" s="45"/>
      <c r="I527" s="45">
        <v>0</v>
      </c>
    </row>
    <row r="528" spans="2:9" x14ac:dyDescent="0.25">
      <c r="B528" s="56" t="s">
        <v>64</v>
      </c>
      <c r="C528" s="45">
        <v>0</v>
      </c>
      <c r="D528" s="45"/>
      <c r="E528" s="45"/>
      <c r="F528" s="45"/>
      <c r="G528" s="45">
        <v>0</v>
      </c>
      <c r="H528" s="45"/>
      <c r="I528" s="45">
        <v>0</v>
      </c>
    </row>
    <row r="529" spans="2:9" x14ac:dyDescent="0.25">
      <c r="B529" s="56" t="s">
        <v>64</v>
      </c>
      <c r="C529" s="45">
        <v>0</v>
      </c>
      <c r="D529" s="45"/>
      <c r="E529" s="45"/>
      <c r="F529" s="45"/>
      <c r="G529" s="45">
        <v>0</v>
      </c>
      <c r="H529" s="45"/>
      <c r="I529" s="45">
        <v>0</v>
      </c>
    </row>
    <row r="530" spans="2:9" x14ac:dyDescent="0.25">
      <c r="B530" s="56" t="s">
        <v>64</v>
      </c>
      <c r="C530" s="45">
        <v>0</v>
      </c>
      <c r="D530" s="45"/>
      <c r="E530" s="45"/>
      <c r="F530" s="45"/>
      <c r="G530" s="45">
        <v>0</v>
      </c>
      <c r="H530" s="45"/>
      <c r="I530" s="45">
        <v>0</v>
      </c>
    </row>
    <row r="531" spans="2:9" x14ac:dyDescent="0.25">
      <c r="B531" s="56" t="s">
        <v>64</v>
      </c>
      <c r="C531" s="45">
        <v>0</v>
      </c>
      <c r="D531" s="45"/>
      <c r="E531" s="45"/>
      <c r="F531" s="45"/>
      <c r="G531" s="45">
        <v>0</v>
      </c>
      <c r="H531" s="45"/>
      <c r="I531" s="45">
        <v>0</v>
      </c>
    </row>
    <row r="532" spans="2:9" x14ac:dyDescent="0.25">
      <c r="B532" s="56" t="s">
        <v>64</v>
      </c>
      <c r="C532" s="45">
        <v>0</v>
      </c>
      <c r="D532" s="45"/>
      <c r="E532" s="45"/>
      <c r="F532" s="45"/>
      <c r="G532" s="45">
        <v>0</v>
      </c>
      <c r="H532" s="45"/>
      <c r="I532" s="45">
        <v>0</v>
      </c>
    </row>
    <row r="533" spans="2:9" x14ac:dyDescent="0.25">
      <c r="B533" s="56" t="s">
        <v>64</v>
      </c>
      <c r="C533" s="45">
        <v>0</v>
      </c>
      <c r="D533" s="45"/>
      <c r="E533" s="45"/>
      <c r="F533" s="45"/>
      <c r="G533" s="45">
        <v>0</v>
      </c>
      <c r="H533" s="45"/>
      <c r="I533" s="45">
        <v>0</v>
      </c>
    </row>
    <row r="534" spans="2:9" x14ac:dyDescent="0.25">
      <c r="B534" s="56" t="s">
        <v>64</v>
      </c>
      <c r="C534" s="45">
        <v>0</v>
      </c>
      <c r="D534" s="45"/>
      <c r="E534" s="45"/>
      <c r="F534" s="45"/>
      <c r="G534" s="45">
        <v>0</v>
      </c>
      <c r="H534" s="45"/>
      <c r="I534" s="45">
        <v>0</v>
      </c>
    </row>
    <row r="535" spans="2:9" x14ac:dyDescent="0.25">
      <c r="B535" s="56" t="s">
        <v>64</v>
      </c>
      <c r="C535" s="45">
        <v>0</v>
      </c>
      <c r="D535" s="45"/>
      <c r="E535" s="45"/>
      <c r="F535" s="45"/>
      <c r="G535" s="45">
        <v>0</v>
      </c>
      <c r="H535" s="45"/>
      <c r="I535" s="45">
        <v>0</v>
      </c>
    </row>
    <row r="536" spans="2:9" x14ac:dyDescent="0.25">
      <c r="B536" s="56" t="s">
        <v>64</v>
      </c>
      <c r="C536" s="45">
        <v>0</v>
      </c>
      <c r="D536" s="45"/>
      <c r="E536" s="45"/>
      <c r="F536" s="45"/>
      <c r="G536" s="45">
        <v>0</v>
      </c>
      <c r="H536" s="45"/>
      <c r="I536" s="45">
        <v>0</v>
      </c>
    </row>
    <row r="537" spans="2:9" x14ac:dyDescent="0.25">
      <c r="B537" s="56" t="s">
        <v>64</v>
      </c>
      <c r="C537" s="45">
        <v>0</v>
      </c>
      <c r="D537" s="45"/>
      <c r="E537" s="45"/>
      <c r="F537" s="45"/>
      <c r="G537" s="45">
        <v>0</v>
      </c>
      <c r="H537" s="45"/>
      <c r="I537" s="45">
        <v>0</v>
      </c>
    </row>
    <row r="538" spans="2:9" x14ac:dyDescent="0.25">
      <c r="B538" s="56" t="s">
        <v>64</v>
      </c>
      <c r="C538" s="45">
        <v>0</v>
      </c>
      <c r="D538" s="45"/>
      <c r="E538" s="45"/>
      <c r="F538" s="45"/>
      <c r="G538" s="45">
        <v>0</v>
      </c>
      <c r="H538" s="45"/>
      <c r="I538" s="45">
        <v>0</v>
      </c>
    </row>
    <row r="539" spans="2:9" x14ac:dyDescent="0.25">
      <c r="B539" s="56" t="s">
        <v>64</v>
      </c>
      <c r="C539" s="45">
        <v>0</v>
      </c>
      <c r="D539" s="45"/>
      <c r="E539" s="45"/>
      <c r="F539" s="45"/>
      <c r="G539" s="45">
        <v>0</v>
      </c>
      <c r="H539" s="45"/>
      <c r="I539" s="45">
        <v>0</v>
      </c>
    </row>
    <row r="540" spans="2:9" x14ac:dyDescent="0.25">
      <c r="B540" s="56" t="s">
        <v>64</v>
      </c>
      <c r="C540" s="45">
        <v>0</v>
      </c>
      <c r="D540" s="45"/>
      <c r="E540" s="45"/>
      <c r="F540" s="45"/>
      <c r="G540" s="45">
        <v>0</v>
      </c>
      <c r="H540" s="45"/>
      <c r="I540" s="45">
        <v>0</v>
      </c>
    </row>
    <row r="541" spans="2:9" x14ac:dyDescent="0.25">
      <c r="B541" s="56" t="s">
        <v>64</v>
      </c>
      <c r="C541" s="45">
        <v>0</v>
      </c>
      <c r="D541" s="45"/>
      <c r="E541" s="45"/>
      <c r="F541" s="45"/>
      <c r="G541" s="45">
        <v>0</v>
      </c>
      <c r="H541" s="45"/>
      <c r="I541" s="45">
        <v>0</v>
      </c>
    </row>
    <row r="542" spans="2:9" x14ac:dyDescent="0.25">
      <c r="B542" s="56" t="s">
        <v>64</v>
      </c>
      <c r="C542" s="45">
        <v>0</v>
      </c>
      <c r="D542" s="45"/>
      <c r="E542" s="45"/>
      <c r="F542" s="45"/>
      <c r="G542" s="45">
        <v>0</v>
      </c>
      <c r="H542" s="45"/>
      <c r="I542" s="45">
        <v>0</v>
      </c>
    </row>
    <row r="543" spans="2:9" x14ac:dyDescent="0.25">
      <c r="B543" s="56" t="s">
        <v>64</v>
      </c>
      <c r="C543" s="45">
        <v>0</v>
      </c>
      <c r="D543" s="45"/>
      <c r="E543" s="45"/>
      <c r="F543" s="45"/>
      <c r="G543" s="45">
        <v>0</v>
      </c>
      <c r="H543" s="45"/>
      <c r="I543" s="45">
        <v>0</v>
      </c>
    </row>
    <row r="544" spans="2:9" x14ac:dyDescent="0.25">
      <c r="B544" s="56" t="s">
        <v>64</v>
      </c>
      <c r="C544" s="45">
        <v>0</v>
      </c>
      <c r="D544" s="45"/>
      <c r="E544" s="45"/>
      <c r="F544" s="45"/>
      <c r="G544" s="45">
        <v>0</v>
      </c>
      <c r="H544" s="45"/>
      <c r="I544" s="45">
        <v>0</v>
      </c>
    </row>
    <row r="545" spans="2:9" x14ac:dyDescent="0.25">
      <c r="B545" s="56" t="s">
        <v>64</v>
      </c>
      <c r="C545" s="45">
        <v>0</v>
      </c>
      <c r="D545" s="45"/>
      <c r="E545" s="45"/>
      <c r="F545" s="45"/>
      <c r="G545" s="45">
        <v>0</v>
      </c>
      <c r="H545" s="45"/>
      <c r="I545" s="45">
        <v>0</v>
      </c>
    </row>
    <row r="546" spans="2:9" x14ac:dyDescent="0.25">
      <c r="B546" s="56" t="s">
        <v>64</v>
      </c>
      <c r="C546" s="45">
        <v>0</v>
      </c>
      <c r="D546" s="45"/>
      <c r="E546" s="45"/>
      <c r="F546" s="45"/>
      <c r="G546" s="45">
        <v>0</v>
      </c>
      <c r="H546" s="45"/>
      <c r="I546" s="45">
        <v>0</v>
      </c>
    </row>
    <row r="547" spans="2:9" x14ac:dyDescent="0.25">
      <c r="B547" s="56" t="s">
        <v>64</v>
      </c>
      <c r="C547" s="45">
        <v>0</v>
      </c>
      <c r="D547" s="45"/>
      <c r="E547" s="45"/>
      <c r="F547" s="45"/>
      <c r="G547" s="45">
        <v>0</v>
      </c>
      <c r="H547" s="45"/>
      <c r="I547" s="45">
        <v>0</v>
      </c>
    </row>
    <row r="548" spans="2:9" x14ac:dyDescent="0.25">
      <c r="B548" s="56" t="s">
        <v>64</v>
      </c>
      <c r="C548" s="45">
        <v>0</v>
      </c>
      <c r="D548" s="45"/>
      <c r="E548" s="45"/>
      <c r="F548" s="45"/>
      <c r="G548" s="45">
        <v>0</v>
      </c>
      <c r="H548" s="45"/>
      <c r="I548" s="45">
        <v>0</v>
      </c>
    </row>
    <row r="549" spans="2:9" x14ac:dyDescent="0.25">
      <c r="B549" s="56" t="s">
        <v>64</v>
      </c>
      <c r="C549" s="45">
        <v>0</v>
      </c>
      <c r="D549" s="45"/>
      <c r="E549" s="45"/>
      <c r="F549" s="45"/>
      <c r="G549" s="45">
        <v>0</v>
      </c>
      <c r="H549" s="45"/>
      <c r="I549" s="45">
        <v>0</v>
      </c>
    </row>
    <row r="550" spans="2:9" x14ac:dyDescent="0.25">
      <c r="B550" s="56" t="s">
        <v>64</v>
      </c>
      <c r="C550" s="45">
        <v>0</v>
      </c>
      <c r="D550" s="45"/>
      <c r="E550" s="45"/>
      <c r="F550" s="45"/>
      <c r="G550" s="45">
        <v>0</v>
      </c>
      <c r="H550" s="45"/>
      <c r="I550" s="45">
        <v>0</v>
      </c>
    </row>
    <row r="551" spans="2:9" x14ac:dyDescent="0.25">
      <c r="B551" s="56" t="s">
        <v>64</v>
      </c>
      <c r="C551" s="45">
        <v>0</v>
      </c>
      <c r="D551" s="45"/>
      <c r="E551" s="45"/>
      <c r="F551" s="45"/>
      <c r="G551" s="45">
        <v>0</v>
      </c>
      <c r="H551" s="45"/>
      <c r="I551" s="45">
        <v>0</v>
      </c>
    </row>
    <row r="552" spans="2:9" x14ac:dyDescent="0.25">
      <c r="B552" s="56" t="s">
        <v>64</v>
      </c>
      <c r="C552" s="45">
        <v>0</v>
      </c>
      <c r="D552" s="45"/>
      <c r="E552" s="45"/>
      <c r="F552" s="45"/>
      <c r="G552" s="45">
        <v>0</v>
      </c>
      <c r="H552" s="45"/>
      <c r="I552" s="45">
        <v>0</v>
      </c>
    </row>
    <row r="553" spans="2:9" x14ac:dyDescent="0.25">
      <c r="B553" s="56" t="s">
        <v>64</v>
      </c>
      <c r="C553" s="45">
        <v>0</v>
      </c>
      <c r="D553" s="45"/>
      <c r="E553" s="45"/>
      <c r="F553" s="45"/>
      <c r="G553" s="45">
        <v>0</v>
      </c>
      <c r="H553" s="45"/>
      <c r="I553" s="45">
        <v>0</v>
      </c>
    </row>
    <row r="554" spans="2:9" x14ac:dyDescent="0.25">
      <c r="B554" s="56" t="s">
        <v>64</v>
      </c>
      <c r="C554" s="45">
        <v>0</v>
      </c>
      <c r="D554" s="45"/>
      <c r="E554" s="45"/>
      <c r="F554" s="45"/>
      <c r="G554" s="45">
        <v>0</v>
      </c>
      <c r="H554" s="45"/>
      <c r="I554" s="45">
        <v>0</v>
      </c>
    </row>
    <row r="555" spans="2:9" x14ac:dyDescent="0.25">
      <c r="B555" s="56" t="s">
        <v>64</v>
      </c>
      <c r="C555" s="45">
        <v>0</v>
      </c>
      <c r="D555" s="45"/>
      <c r="E555" s="45"/>
      <c r="F555" s="45"/>
      <c r="G555" s="45">
        <v>0</v>
      </c>
      <c r="H555" s="45"/>
      <c r="I555" s="45">
        <v>0</v>
      </c>
    </row>
    <row r="556" spans="2:9" x14ac:dyDescent="0.25">
      <c r="B556" s="56" t="s">
        <v>64</v>
      </c>
      <c r="C556" s="45">
        <v>0</v>
      </c>
      <c r="D556" s="45"/>
      <c r="E556" s="45"/>
      <c r="F556" s="45"/>
      <c r="G556" s="45">
        <v>0</v>
      </c>
      <c r="H556" s="45"/>
      <c r="I556" s="45">
        <v>0</v>
      </c>
    </row>
    <row r="557" spans="2:9" x14ac:dyDescent="0.25">
      <c r="B557" s="56" t="s">
        <v>64</v>
      </c>
      <c r="C557" s="45">
        <v>0</v>
      </c>
      <c r="D557" s="45"/>
      <c r="E557" s="45"/>
      <c r="F557" s="45"/>
      <c r="G557" s="45">
        <v>0</v>
      </c>
      <c r="H557" s="45"/>
      <c r="I557" s="45">
        <v>0</v>
      </c>
    </row>
    <row r="558" spans="2:9" x14ac:dyDescent="0.25">
      <c r="B558" s="56" t="s">
        <v>64</v>
      </c>
      <c r="C558" s="45">
        <v>0</v>
      </c>
      <c r="D558" s="45"/>
      <c r="E558" s="45"/>
      <c r="F558" s="45"/>
      <c r="G558" s="45">
        <v>0</v>
      </c>
      <c r="H558" s="45"/>
      <c r="I558" s="45">
        <v>0</v>
      </c>
    </row>
    <row r="559" spans="2:9" x14ac:dyDescent="0.25">
      <c r="B559" s="56" t="s">
        <v>64</v>
      </c>
      <c r="C559" s="45">
        <v>0</v>
      </c>
      <c r="D559" s="45"/>
      <c r="E559" s="45"/>
      <c r="F559" s="45"/>
      <c r="G559" s="45">
        <v>0</v>
      </c>
      <c r="H559" s="45"/>
      <c r="I559" s="45">
        <v>0</v>
      </c>
    </row>
    <row r="560" spans="2:9" x14ac:dyDescent="0.25">
      <c r="B560" s="56" t="s">
        <v>64</v>
      </c>
      <c r="C560" s="45">
        <v>0</v>
      </c>
      <c r="D560" s="45"/>
      <c r="E560" s="45"/>
      <c r="F560" s="45"/>
      <c r="G560" s="45">
        <v>0</v>
      </c>
      <c r="H560" s="45"/>
      <c r="I560" s="45">
        <v>0</v>
      </c>
    </row>
    <row r="561" spans="2:9" x14ac:dyDescent="0.25">
      <c r="B561" s="56" t="s">
        <v>64</v>
      </c>
      <c r="C561" s="45">
        <v>0</v>
      </c>
      <c r="D561" s="45"/>
      <c r="E561" s="45"/>
      <c r="F561" s="45"/>
      <c r="G561" s="45">
        <v>0</v>
      </c>
      <c r="H561" s="45"/>
      <c r="I561" s="45">
        <v>0</v>
      </c>
    </row>
    <row r="562" spans="2:9" x14ac:dyDescent="0.25">
      <c r="B562" s="56" t="s">
        <v>64</v>
      </c>
      <c r="C562" s="45">
        <v>0</v>
      </c>
      <c r="D562" s="45"/>
      <c r="E562" s="45"/>
      <c r="F562" s="45"/>
      <c r="G562" s="45">
        <v>0</v>
      </c>
      <c r="H562" s="45"/>
      <c r="I562" s="45">
        <v>0</v>
      </c>
    </row>
    <row r="563" spans="2:9" x14ac:dyDescent="0.25">
      <c r="B563" s="56" t="s">
        <v>64</v>
      </c>
      <c r="C563" s="45">
        <v>0</v>
      </c>
      <c r="D563" s="45"/>
      <c r="E563" s="45"/>
      <c r="F563" s="45"/>
      <c r="G563" s="45">
        <v>0</v>
      </c>
      <c r="H563" s="45"/>
      <c r="I563" s="45">
        <v>0</v>
      </c>
    </row>
    <row r="564" spans="2:9" x14ac:dyDescent="0.25">
      <c r="B564" s="56" t="s">
        <v>64</v>
      </c>
      <c r="C564" s="45">
        <v>0</v>
      </c>
      <c r="D564" s="45"/>
      <c r="E564" s="45"/>
      <c r="F564" s="45"/>
      <c r="G564" s="45">
        <v>0</v>
      </c>
      <c r="H564" s="45"/>
      <c r="I564" s="45">
        <v>0</v>
      </c>
    </row>
    <row r="565" spans="2:9" x14ac:dyDescent="0.25">
      <c r="B565" s="93" t="s">
        <v>64</v>
      </c>
      <c r="C565" s="93">
        <v>0</v>
      </c>
      <c r="D565" s="85"/>
      <c r="E565" s="85"/>
      <c r="F565" s="85"/>
      <c r="G565" s="85">
        <v>0</v>
      </c>
      <c r="H565" s="85"/>
      <c r="I565" s="85">
        <v>0</v>
      </c>
    </row>
    <row r="566" spans="2:9" x14ac:dyDescent="0.25">
      <c r="B566" s="93" t="s">
        <v>64</v>
      </c>
      <c r="C566" s="93">
        <v>0</v>
      </c>
      <c r="D566" s="85"/>
      <c r="E566" s="85"/>
      <c r="F566" s="85"/>
      <c r="G566" s="85">
        <v>0</v>
      </c>
      <c r="H566" s="85"/>
      <c r="I566" s="85">
        <v>0</v>
      </c>
    </row>
    <row r="567" spans="2:9" x14ac:dyDescent="0.25">
      <c r="B567" s="93" t="s">
        <v>64</v>
      </c>
      <c r="C567" s="93">
        <v>0</v>
      </c>
      <c r="D567" s="85"/>
      <c r="E567" s="85"/>
      <c r="F567" s="85"/>
      <c r="G567" s="85">
        <v>0</v>
      </c>
      <c r="H567" s="85"/>
      <c r="I567" s="85">
        <v>0</v>
      </c>
    </row>
    <row r="568" spans="2:9" x14ac:dyDescent="0.25">
      <c r="B568" s="93" t="s">
        <v>64</v>
      </c>
      <c r="C568" s="93">
        <v>0</v>
      </c>
      <c r="D568" s="85"/>
      <c r="E568" s="85"/>
      <c r="F568" s="85"/>
      <c r="G568" s="85">
        <v>0</v>
      </c>
      <c r="H568" s="85"/>
      <c r="I568" s="85">
        <v>0</v>
      </c>
    </row>
    <row r="569" spans="2:9" x14ac:dyDescent="0.25">
      <c r="B569" s="93" t="s">
        <v>64</v>
      </c>
      <c r="C569" s="93">
        <v>0</v>
      </c>
      <c r="D569" s="85"/>
      <c r="E569" s="85"/>
      <c r="F569" s="85"/>
      <c r="G569" s="85">
        <v>0</v>
      </c>
      <c r="H569" s="85"/>
      <c r="I569" s="85">
        <v>0</v>
      </c>
    </row>
    <row r="570" spans="2:9" x14ac:dyDescent="0.25">
      <c r="B570" s="93" t="s">
        <v>64</v>
      </c>
      <c r="C570" s="93">
        <v>0</v>
      </c>
      <c r="D570" s="85"/>
      <c r="E570" s="85"/>
      <c r="F570" s="85"/>
      <c r="G570" s="85">
        <v>0</v>
      </c>
      <c r="H570" s="85"/>
      <c r="I570" s="85">
        <v>0</v>
      </c>
    </row>
    <row r="571" spans="2:9" x14ac:dyDescent="0.25">
      <c r="B571" s="93" t="s">
        <v>64</v>
      </c>
      <c r="C571" s="93">
        <v>0</v>
      </c>
      <c r="D571" s="85"/>
      <c r="E571" s="85"/>
      <c r="F571" s="85"/>
      <c r="G571" s="85">
        <v>0</v>
      </c>
      <c r="H571" s="85"/>
      <c r="I571" s="85">
        <v>0</v>
      </c>
    </row>
    <row r="572" spans="2:9" x14ac:dyDescent="0.25">
      <c r="B572" s="93" t="s">
        <v>64</v>
      </c>
      <c r="C572" s="85">
        <v>0</v>
      </c>
      <c r="D572" s="85"/>
      <c r="E572" s="85"/>
      <c r="F572" s="85"/>
      <c r="G572" s="85">
        <v>0</v>
      </c>
      <c r="H572" s="85"/>
      <c r="I572" s="85">
        <v>0</v>
      </c>
    </row>
    <row r="573" spans="2:9" x14ac:dyDescent="0.25">
      <c r="B573" s="93" t="s">
        <v>64</v>
      </c>
      <c r="C573" s="85">
        <v>0</v>
      </c>
      <c r="D573" s="85"/>
      <c r="E573" s="85"/>
      <c r="F573" s="85"/>
      <c r="G573" s="85">
        <v>0</v>
      </c>
      <c r="H573" s="85"/>
      <c r="I573" s="85">
        <v>0</v>
      </c>
    </row>
    <row r="574" spans="2:9" x14ac:dyDescent="0.25">
      <c r="B574" s="93" t="s">
        <v>64</v>
      </c>
      <c r="C574" s="85">
        <v>0</v>
      </c>
      <c r="D574" s="85"/>
      <c r="E574" s="85"/>
      <c r="F574" s="85"/>
      <c r="G574" s="85">
        <v>0</v>
      </c>
      <c r="H574" s="85"/>
      <c r="I574" s="85">
        <v>0</v>
      </c>
    </row>
    <row r="575" spans="2:9" x14ac:dyDescent="0.25">
      <c r="B575" s="93" t="s">
        <v>64</v>
      </c>
      <c r="C575" s="85">
        <v>0</v>
      </c>
      <c r="D575" s="85"/>
      <c r="E575" s="85"/>
      <c r="F575" s="85"/>
      <c r="G575" s="85">
        <v>0</v>
      </c>
      <c r="H575" s="85"/>
      <c r="I575" s="85">
        <v>0</v>
      </c>
    </row>
    <row r="576" spans="2:9" x14ac:dyDescent="0.25">
      <c r="B576" s="93" t="s">
        <v>64</v>
      </c>
      <c r="C576" s="85">
        <v>0</v>
      </c>
      <c r="D576" s="85"/>
      <c r="E576" s="85"/>
      <c r="F576" s="85"/>
      <c r="G576" s="85">
        <v>0</v>
      </c>
      <c r="H576" s="85"/>
      <c r="I576" s="85">
        <v>0</v>
      </c>
    </row>
    <row r="577" spans="2:9" x14ac:dyDescent="0.25">
      <c r="B577" s="93" t="s">
        <v>64</v>
      </c>
      <c r="C577" s="85">
        <v>0</v>
      </c>
      <c r="D577" s="85"/>
      <c r="E577" s="85"/>
      <c r="F577" s="85"/>
      <c r="G577" s="85">
        <v>0</v>
      </c>
      <c r="H577" s="85"/>
      <c r="I577" s="85">
        <v>0</v>
      </c>
    </row>
    <row r="578" spans="2:9" x14ac:dyDescent="0.25">
      <c r="B578" s="93" t="s">
        <v>64</v>
      </c>
      <c r="C578" s="85">
        <v>0</v>
      </c>
      <c r="D578" s="85"/>
      <c r="E578" s="85"/>
      <c r="F578" s="85"/>
      <c r="G578" s="85">
        <v>0</v>
      </c>
      <c r="H578" s="85"/>
      <c r="I578" s="85">
        <v>0</v>
      </c>
    </row>
    <row r="579" spans="2:9" x14ac:dyDescent="0.25">
      <c r="B579" s="93" t="s">
        <v>64</v>
      </c>
      <c r="C579" s="85">
        <v>0</v>
      </c>
      <c r="D579" s="85"/>
      <c r="E579" s="85"/>
      <c r="F579" s="85"/>
      <c r="G579" s="85">
        <v>0</v>
      </c>
      <c r="H579" s="85"/>
      <c r="I579" s="85">
        <v>0</v>
      </c>
    </row>
    <row r="580" spans="2:9" x14ac:dyDescent="0.25">
      <c r="B580" s="93" t="s">
        <v>64</v>
      </c>
      <c r="C580" s="85">
        <v>0</v>
      </c>
      <c r="D580" s="85"/>
      <c r="E580" s="85"/>
      <c r="F580" s="85"/>
      <c r="G580" s="85">
        <v>0</v>
      </c>
      <c r="H580" s="85"/>
      <c r="I580" s="85">
        <v>0</v>
      </c>
    </row>
    <row r="581" spans="2:9" x14ac:dyDescent="0.25">
      <c r="B581" s="93" t="s">
        <v>64</v>
      </c>
      <c r="C581" s="85">
        <v>0</v>
      </c>
      <c r="D581" s="85"/>
      <c r="E581" s="85"/>
      <c r="F581" s="85"/>
      <c r="G581" s="85">
        <v>0</v>
      </c>
      <c r="H581" s="85"/>
      <c r="I581" s="85">
        <v>0</v>
      </c>
    </row>
    <row r="582" spans="2:9" x14ac:dyDescent="0.25">
      <c r="B582" s="93" t="s">
        <v>64</v>
      </c>
      <c r="C582" s="85">
        <v>0</v>
      </c>
      <c r="D582" s="85"/>
      <c r="E582" s="85"/>
      <c r="F582" s="85"/>
      <c r="G582" s="85">
        <v>0</v>
      </c>
      <c r="H582" s="85"/>
      <c r="I582" s="85">
        <v>0</v>
      </c>
    </row>
    <row r="583" spans="2:9" x14ac:dyDescent="0.25">
      <c r="B583" s="93" t="s">
        <v>64</v>
      </c>
      <c r="C583" s="85">
        <v>0</v>
      </c>
      <c r="D583" s="85"/>
      <c r="E583" s="85"/>
      <c r="F583" s="85"/>
      <c r="G583" s="85">
        <v>0</v>
      </c>
      <c r="H583" s="85"/>
      <c r="I583" s="85">
        <v>0</v>
      </c>
    </row>
    <row r="584" spans="2:9" x14ac:dyDescent="0.25">
      <c r="B584" s="93" t="s">
        <v>64</v>
      </c>
      <c r="C584" s="85">
        <v>0</v>
      </c>
      <c r="D584" s="85"/>
      <c r="E584" s="85"/>
      <c r="F584" s="85"/>
      <c r="G584" s="85">
        <v>0</v>
      </c>
      <c r="H584" s="85"/>
      <c r="I584" s="85">
        <v>0</v>
      </c>
    </row>
    <row r="585" spans="2:9" x14ac:dyDescent="0.25">
      <c r="B585" s="93" t="s">
        <v>64</v>
      </c>
      <c r="C585" s="85">
        <v>0</v>
      </c>
      <c r="D585" s="85"/>
      <c r="E585" s="85"/>
      <c r="F585" s="85"/>
      <c r="G585" s="85">
        <v>0</v>
      </c>
      <c r="H585" s="85"/>
      <c r="I585" s="85">
        <v>0</v>
      </c>
    </row>
    <row r="586" spans="2:9" x14ac:dyDescent="0.25">
      <c r="B586" s="93" t="s">
        <v>64</v>
      </c>
      <c r="C586" s="85">
        <v>0</v>
      </c>
      <c r="D586" s="85"/>
      <c r="E586" s="85"/>
      <c r="F586" s="85"/>
      <c r="G586" s="85">
        <v>0</v>
      </c>
      <c r="H586" s="85"/>
      <c r="I586" s="85">
        <v>0</v>
      </c>
    </row>
  </sheetData>
  <autoFilter ref="A6:B586" xr:uid="{00000000-0009-0000-0000-000005000000}"/>
  <mergeCells count="1">
    <mergeCell ref="C5:I5"/>
  </mergeCells>
  <conditionalFormatting sqref="A7:B1000">
    <cfRule type="expression" dxfId="34" priority="7">
      <formula>IF($B7="total",TRUE,FALSE)</formula>
    </cfRule>
    <cfRule type="expression" dxfId="33" priority="8">
      <formula>IF(AND($A7&gt;0,ISEVEN($A7)),TRUE,FALSE)</formula>
    </cfRule>
    <cfRule type="expression" dxfId="32" priority="9">
      <formula>IF(AND($A7&gt;0,ISODD($A7)),TRUE,FALSE)</formula>
    </cfRule>
  </conditionalFormatting>
  <conditionalFormatting sqref="A7:I1000">
    <cfRule type="cellIs" dxfId="31" priority="1" operator="equal">
      <formula>0</formula>
    </cfRule>
    <cfRule type="expression" dxfId="30" priority="2">
      <formula>IF($B7="total",TRUE,FALSE)</formula>
    </cfRule>
  </conditionalFormatting>
  <conditionalFormatting sqref="C7:I1000">
    <cfRule type="cellIs" dxfId="29" priority="3" operator="between">
      <formula>0.0000000000001</formula>
      <formula>0.499999999999</formula>
    </cfRule>
  </conditionalFormatting>
  <conditionalFormatting sqref="C7:P1000 R7:S1000">
    <cfRule type="cellIs" dxfId="28" priority="4" operator="between">
      <formula>-0.0000000000000001</formula>
      <formula>-0.49999999999999</formula>
    </cfRule>
  </conditionalFormatting>
  <conditionalFormatting sqref="I7:I1000">
    <cfRule type="expression" dxfId="27" priority="12">
      <formula>IF(AND($A7&gt;0,ISEVEN($A7)),TRUE,FALSE)</formula>
    </cfRule>
    <cfRule type="expression" dxfId="26" priority="13">
      <formula>IF(AND($A7&gt;0,ISODD($A7)),TRUE,FALSE)</formula>
    </cfRule>
  </conditionalFormatting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3"/>
  </sheetPr>
  <dimension ref="A2:BS600"/>
  <sheetViews>
    <sheetView zoomScaleNormal="100" workbookViewId="0">
      <pane xSplit="2" ySplit="6" topLeftCell="C269" activePane="bottomRight" state="frozen"/>
      <selection activeCell="A280" sqref="A280"/>
      <selection pane="topRight" activeCell="A280" sqref="A280"/>
      <selection pane="bottomLeft" activeCell="A280" sqref="A280"/>
      <selection pane="bottomRight" activeCell="A293" sqref="A293"/>
    </sheetView>
  </sheetViews>
  <sheetFormatPr baseColWidth="10" defaultColWidth="10.85546875" defaultRowHeight="12.75" x14ac:dyDescent="0.2"/>
  <cols>
    <col min="1" max="2" width="10.85546875" style="1" customWidth="1"/>
    <col min="3" max="3" width="10.28515625" style="1" customWidth="1"/>
    <col min="4" max="10" width="9.5703125" style="1" customWidth="1"/>
    <col min="11" max="12" width="11.28515625" style="1" customWidth="1"/>
    <col min="13" max="13" width="12.42578125" style="1" customWidth="1"/>
    <col min="14" max="15" width="9.5703125" style="1" customWidth="1"/>
    <col min="16" max="16" width="9.28515625" style="1" customWidth="1"/>
    <col min="17" max="19" width="9.5703125" style="1" customWidth="1"/>
    <col min="20" max="20" width="1.85546875" style="1" customWidth="1"/>
    <col min="21" max="21" width="11.42578125" style="1" customWidth="1"/>
    <col min="22" max="23" width="11.140625" style="1" customWidth="1"/>
    <col min="24" max="24" width="10.28515625" style="1" customWidth="1"/>
    <col min="25" max="27" width="11" style="1" customWidth="1"/>
    <col min="28" max="28" width="1.85546875" style="1" customWidth="1"/>
    <col min="29" max="34" width="9.5703125" style="1" customWidth="1"/>
    <col min="35" max="35" width="8.140625" style="1" customWidth="1"/>
    <col min="36" max="40" width="9.5703125" style="1" customWidth="1"/>
    <col min="41" max="41" width="8.85546875" style="1" customWidth="1"/>
    <col min="42" max="46" width="9.5703125" style="1" customWidth="1"/>
    <col min="47" max="47" width="8.7109375" style="1" customWidth="1"/>
    <col min="48" max="49" width="9.5703125" style="1" customWidth="1"/>
    <col min="50" max="50" width="8.140625" style="1" customWidth="1"/>
    <col min="51" max="53" width="9.5703125" style="1" customWidth="1"/>
    <col min="54" max="54" width="1.85546875" style="1" customWidth="1"/>
    <col min="55" max="58" width="9.85546875" style="1" customWidth="1"/>
    <col min="59" max="59" width="7.85546875" style="1" customWidth="1"/>
    <col min="60" max="60" width="1.85546875" style="1" customWidth="1"/>
    <col min="61" max="65" width="10.140625" style="1" customWidth="1"/>
    <col min="66" max="66" width="11.85546875" style="1" customWidth="1"/>
    <col min="67" max="67" width="10.140625" style="1" customWidth="1"/>
    <col min="68" max="68" width="1.85546875" style="1" customWidth="1"/>
    <col min="69" max="69" width="9.85546875" style="1" customWidth="1"/>
    <col min="70" max="70" width="11.42578125" style="1" bestFit="1" customWidth="1"/>
    <col min="71" max="75" width="10.85546875" style="1"/>
    <col min="76" max="77" width="16.140625" style="1" bestFit="1" customWidth="1"/>
    <col min="78" max="16384" width="10.85546875" style="1"/>
  </cols>
  <sheetData>
    <row r="2" spans="1:71" ht="22.5" customHeight="1" x14ac:dyDescent="0.2">
      <c r="H2" s="12"/>
      <c r="Z2" s="54"/>
      <c r="AY2" s="53"/>
      <c r="AZ2" s="53"/>
      <c r="BR2" s="53"/>
    </row>
    <row r="3" spans="1:71" ht="24.6" customHeight="1" x14ac:dyDescent="0.2">
      <c r="A3" s="6"/>
      <c r="C3" s="39" t="str">
        <f>África!C3</f>
        <v>Importaciones de gas natural por áreas geográficas y países</v>
      </c>
      <c r="E3" s="39"/>
      <c r="F3" s="39"/>
      <c r="G3" s="71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7"/>
      <c r="U3" s="7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51"/>
      <c r="AJ3" s="118"/>
      <c r="AK3" s="118"/>
      <c r="AL3" s="118"/>
      <c r="AM3" s="118"/>
      <c r="AN3" s="118"/>
      <c r="AO3" s="118"/>
      <c r="AP3" s="118"/>
      <c r="AQ3" s="118"/>
      <c r="AR3" s="118"/>
      <c r="AS3" s="51"/>
      <c r="AT3" s="51"/>
      <c r="AU3" s="51"/>
      <c r="AV3" s="51"/>
      <c r="AW3" s="51"/>
      <c r="AX3" s="51"/>
      <c r="AY3" s="51"/>
      <c r="AZ3" s="51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7"/>
    </row>
    <row r="4" spans="1:71" ht="15" customHeight="1" x14ac:dyDescent="0.2">
      <c r="A4" s="23" t="str">
        <f>Inicio!$A$16</f>
        <v>Actualizado el 14-09-2026</v>
      </c>
      <c r="B4" s="6"/>
      <c r="C4" s="6"/>
      <c r="D4" s="6"/>
      <c r="E4" s="6"/>
      <c r="F4" s="6"/>
      <c r="G4" s="6"/>
      <c r="H4" s="6"/>
      <c r="I4" s="8"/>
      <c r="J4" s="8"/>
      <c r="K4" s="8"/>
      <c r="L4" s="8"/>
      <c r="M4" s="8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R4" s="6"/>
      <c r="BS4" s="14" t="s">
        <v>30</v>
      </c>
    </row>
    <row r="5" spans="1:71" ht="18.75" customHeight="1" thickBot="1" x14ac:dyDescent="0.25">
      <c r="A5" s="20"/>
      <c r="B5" s="19"/>
      <c r="C5" s="109" t="s">
        <v>21</v>
      </c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43"/>
      <c r="U5" s="110" t="s">
        <v>19</v>
      </c>
      <c r="V5" s="110"/>
      <c r="W5" s="110"/>
      <c r="X5" s="110"/>
      <c r="Y5" s="110"/>
      <c r="Z5" s="110"/>
      <c r="AA5" s="110"/>
      <c r="AB5" s="43"/>
      <c r="AC5" s="111" t="s">
        <v>68</v>
      </c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44"/>
      <c r="BC5" s="112" t="s">
        <v>22</v>
      </c>
      <c r="BD5" s="112"/>
      <c r="BE5" s="112"/>
      <c r="BF5" s="112"/>
      <c r="BG5" s="112"/>
      <c r="BH5" s="10"/>
      <c r="BI5" s="113" t="s">
        <v>29</v>
      </c>
      <c r="BJ5" s="113"/>
      <c r="BK5" s="113"/>
      <c r="BL5" s="113"/>
      <c r="BM5" s="113"/>
      <c r="BN5" s="113"/>
      <c r="BO5" s="113"/>
      <c r="BP5" s="10"/>
      <c r="BQ5" s="114" t="s">
        <v>0</v>
      </c>
      <c r="BR5" s="116" t="s">
        <v>61</v>
      </c>
      <c r="BS5" s="116" t="s">
        <v>62</v>
      </c>
    </row>
    <row r="6" spans="1:71" ht="53.25" customHeight="1" thickTop="1" x14ac:dyDescent="0.2">
      <c r="A6" s="21" t="s">
        <v>1</v>
      </c>
      <c r="B6" s="22" t="s">
        <v>2</v>
      </c>
      <c r="C6" s="15" t="s">
        <v>70</v>
      </c>
      <c r="D6" s="15" t="s">
        <v>16</v>
      </c>
      <c r="E6" s="50" t="s">
        <v>25</v>
      </c>
      <c r="F6" s="50" t="s">
        <v>26</v>
      </c>
      <c r="G6" s="72" t="s">
        <v>78</v>
      </c>
      <c r="H6" s="74" t="s">
        <v>94</v>
      </c>
      <c r="I6" s="15" t="s">
        <v>35</v>
      </c>
      <c r="J6" s="15" t="s">
        <v>34</v>
      </c>
      <c r="K6" s="15" t="s">
        <v>33</v>
      </c>
      <c r="L6" s="74" t="s">
        <v>96</v>
      </c>
      <c r="M6" s="15" t="s">
        <v>91</v>
      </c>
      <c r="N6" s="15" t="s">
        <v>17</v>
      </c>
      <c r="O6" s="50" t="s">
        <v>36</v>
      </c>
      <c r="P6" s="50" t="s">
        <v>58</v>
      </c>
      <c r="Q6" s="11" t="s">
        <v>18</v>
      </c>
      <c r="R6" s="50" t="s">
        <v>59</v>
      </c>
      <c r="S6" s="50" t="s">
        <v>60</v>
      </c>
      <c r="T6" s="17"/>
      <c r="U6" s="67" t="s">
        <v>83</v>
      </c>
      <c r="V6" s="67" t="s">
        <v>69</v>
      </c>
      <c r="W6" s="67" t="s">
        <v>95</v>
      </c>
      <c r="X6" s="67" t="s">
        <v>97</v>
      </c>
      <c r="Y6" s="16" t="s">
        <v>37</v>
      </c>
      <c r="Z6" s="16" t="s">
        <v>38</v>
      </c>
      <c r="AA6" s="11" t="s">
        <v>57</v>
      </c>
      <c r="AB6" s="16"/>
      <c r="AC6" s="42" t="s">
        <v>76</v>
      </c>
      <c r="AD6" s="50" t="s">
        <v>54</v>
      </c>
      <c r="AE6" s="50" t="s">
        <v>77</v>
      </c>
      <c r="AF6" s="42" t="s">
        <v>27</v>
      </c>
      <c r="AG6" s="50" t="s">
        <v>48</v>
      </c>
      <c r="AH6" s="50" t="s">
        <v>49</v>
      </c>
      <c r="AI6" s="42" t="s">
        <v>88</v>
      </c>
      <c r="AJ6" s="42" t="s">
        <v>23</v>
      </c>
      <c r="AK6" s="50" t="s">
        <v>50</v>
      </c>
      <c r="AL6" s="50" t="s">
        <v>51</v>
      </c>
      <c r="AM6" s="42" t="s">
        <v>71</v>
      </c>
      <c r="AN6" s="50" t="s">
        <v>72</v>
      </c>
      <c r="AO6" s="50" t="s">
        <v>73</v>
      </c>
      <c r="AP6" s="42" t="s">
        <v>28</v>
      </c>
      <c r="AQ6" s="50" t="s">
        <v>52</v>
      </c>
      <c r="AR6" s="50" t="s">
        <v>53</v>
      </c>
      <c r="AS6" s="42" t="s">
        <v>92</v>
      </c>
      <c r="AT6" s="50" t="s">
        <v>93</v>
      </c>
      <c r="AU6" s="50" t="s">
        <v>46</v>
      </c>
      <c r="AV6" s="42" t="s">
        <v>74</v>
      </c>
      <c r="AW6" s="50" t="s">
        <v>75</v>
      </c>
      <c r="AX6" s="50" t="s">
        <v>47</v>
      </c>
      <c r="AY6" s="11" t="s">
        <v>65</v>
      </c>
      <c r="AZ6" s="50" t="s">
        <v>66</v>
      </c>
      <c r="BA6" s="50" t="s">
        <v>67</v>
      </c>
      <c r="BB6" s="42"/>
      <c r="BC6" s="15" t="s">
        <v>39</v>
      </c>
      <c r="BD6" s="15" t="s">
        <v>40</v>
      </c>
      <c r="BE6" s="15" t="s">
        <v>41</v>
      </c>
      <c r="BF6" s="15" t="s">
        <v>42</v>
      </c>
      <c r="BG6" s="11" t="s">
        <v>55</v>
      </c>
      <c r="BH6" s="11"/>
      <c r="BI6" s="15" t="s">
        <v>43</v>
      </c>
      <c r="BJ6" s="15" t="s">
        <v>44</v>
      </c>
      <c r="BK6" s="15" t="s">
        <v>89</v>
      </c>
      <c r="BL6" s="15" t="s">
        <v>90</v>
      </c>
      <c r="BM6" s="15" t="s">
        <v>45</v>
      </c>
      <c r="BN6" s="15" t="s">
        <v>84</v>
      </c>
      <c r="BO6" s="11" t="s">
        <v>56</v>
      </c>
      <c r="BP6" s="11"/>
      <c r="BQ6" s="115"/>
      <c r="BR6" s="117"/>
      <c r="BS6" s="117"/>
    </row>
    <row r="7" spans="1:71" ht="12" customHeight="1" x14ac:dyDescent="0.2">
      <c r="A7" s="55">
        <v>2004</v>
      </c>
      <c r="B7" s="55" t="s">
        <v>3</v>
      </c>
      <c r="C7" s="73"/>
      <c r="D7" s="82">
        <v>15667.721779999996</v>
      </c>
      <c r="E7" s="78">
        <v>9155.8527799999974</v>
      </c>
      <c r="F7" s="78">
        <v>6511.8689999999997</v>
      </c>
      <c r="G7" s="82"/>
      <c r="H7" s="82"/>
      <c r="I7" s="82">
        <v>0</v>
      </c>
      <c r="J7" s="82">
        <v>0</v>
      </c>
      <c r="K7" s="82">
        <v>723.80849999999998</v>
      </c>
      <c r="L7" s="82"/>
      <c r="M7" s="82"/>
      <c r="N7" s="82">
        <v>4533.3500000000004</v>
      </c>
      <c r="O7" s="78">
        <v>4533.3500000000004</v>
      </c>
      <c r="P7" s="78">
        <v>0</v>
      </c>
      <c r="Q7" s="73">
        <v>20924.880279999998</v>
      </c>
      <c r="R7" s="78">
        <v>14413.011279999997</v>
      </c>
      <c r="S7" s="78">
        <v>6511.8689999999997</v>
      </c>
      <c r="T7" s="47"/>
      <c r="U7" s="57"/>
      <c r="V7" s="57"/>
      <c r="W7" s="57"/>
      <c r="X7" s="57"/>
      <c r="Y7" s="57">
        <v>0</v>
      </c>
      <c r="Z7" s="57">
        <v>0</v>
      </c>
      <c r="AA7" s="57">
        <v>0</v>
      </c>
      <c r="AB7" s="45"/>
      <c r="AC7" s="73">
        <v>0</v>
      </c>
      <c r="AD7" s="78">
        <v>0</v>
      </c>
      <c r="AE7" s="78"/>
      <c r="AF7" s="82">
        <v>0</v>
      </c>
      <c r="AG7" s="78">
        <v>0</v>
      </c>
      <c r="AH7" s="78">
        <v>0</v>
      </c>
      <c r="AI7" s="82"/>
      <c r="AJ7" s="82">
        <v>2153.9588210000002</v>
      </c>
      <c r="AK7" s="78">
        <v>0</v>
      </c>
      <c r="AL7" s="78">
        <v>2153.9589999999998</v>
      </c>
      <c r="AM7" s="82">
        <v>0</v>
      </c>
      <c r="AN7" s="78">
        <v>0</v>
      </c>
      <c r="AO7" s="79">
        <v>0</v>
      </c>
      <c r="AP7" s="82">
        <v>0</v>
      </c>
      <c r="AQ7" s="78">
        <v>0</v>
      </c>
      <c r="AR7" s="52">
        <v>0</v>
      </c>
      <c r="AS7" s="48"/>
      <c r="AT7" s="78"/>
      <c r="AU7" s="52">
        <v>0</v>
      </c>
      <c r="AV7" s="48"/>
      <c r="AW7" s="52"/>
      <c r="AX7" s="52">
        <v>0</v>
      </c>
      <c r="AY7" s="87">
        <v>2153.9588210000002</v>
      </c>
      <c r="AZ7" s="52">
        <v>0</v>
      </c>
      <c r="BA7" s="52">
        <v>2153.9589999999998</v>
      </c>
      <c r="BB7" s="48"/>
      <c r="BC7" s="73">
        <v>0</v>
      </c>
      <c r="BD7" s="57">
        <v>0</v>
      </c>
      <c r="BE7" s="57">
        <v>3079.5712919999996</v>
      </c>
      <c r="BF7" s="57">
        <v>0</v>
      </c>
      <c r="BG7" s="57">
        <v>3079.5712919999996</v>
      </c>
      <c r="BH7" s="46"/>
      <c r="BI7" s="73">
        <v>0</v>
      </c>
      <c r="BJ7" s="57">
        <v>0</v>
      </c>
      <c r="BK7" s="57"/>
      <c r="BL7" s="57"/>
      <c r="BM7" s="57">
        <v>0</v>
      </c>
      <c r="BN7" s="57"/>
      <c r="BO7" s="57">
        <v>0</v>
      </c>
      <c r="BP7" s="46"/>
      <c r="BQ7" s="87">
        <v>26158.410392999998</v>
      </c>
      <c r="BR7" s="52">
        <v>17492.582571999996</v>
      </c>
      <c r="BS7" s="52">
        <v>8665.8279999999995</v>
      </c>
    </row>
    <row r="8" spans="1:71" ht="12" customHeight="1" x14ac:dyDescent="0.2">
      <c r="A8" s="55">
        <v>2004</v>
      </c>
      <c r="B8" s="55" t="s">
        <v>4</v>
      </c>
      <c r="C8" s="82"/>
      <c r="D8" s="82">
        <v>14909.6181</v>
      </c>
      <c r="E8" s="78">
        <v>7712.4968199999994</v>
      </c>
      <c r="F8" s="78">
        <v>7197.1212800000003</v>
      </c>
      <c r="G8" s="82"/>
      <c r="H8" s="82"/>
      <c r="I8" s="82">
        <v>0</v>
      </c>
      <c r="J8" s="82">
        <v>0</v>
      </c>
      <c r="K8" s="82">
        <v>723.71280000000002</v>
      </c>
      <c r="L8" s="82"/>
      <c r="M8" s="82"/>
      <c r="N8" s="82">
        <v>3856.8568</v>
      </c>
      <c r="O8" s="78">
        <v>3518.4751900000001</v>
      </c>
      <c r="P8" s="78">
        <v>338.38160999999997</v>
      </c>
      <c r="Q8" s="73">
        <v>19490.187699999999</v>
      </c>
      <c r="R8" s="78">
        <v>11954.684809999999</v>
      </c>
      <c r="S8" s="78">
        <v>7535.5028900000007</v>
      </c>
      <c r="T8" s="47"/>
      <c r="U8" s="57"/>
      <c r="V8" s="57"/>
      <c r="W8" s="57"/>
      <c r="X8" s="57"/>
      <c r="Y8" s="57">
        <v>0</v>
      </c>
      <c r="Z8" s="57">
        <v>0</v>
      </c>
      <c r="AA8" s="57">
        <v>0</v>
      </c>
      <c r="AB8" s="45"/>
      <c r="AC8" s="57">
        <v>0</v>
      </c>
      <c r="AD8" s="78">
        <v>0</v>
      </c>
      <c r="AE8" s="78"/>
      <c r="AF8" s="82">
        <v>37.262999999999998</v>
      </c>
      <c r="AG8" s="78">
        <v>37.262999999999998</v>
      </c>
      <c r="AH8" s="78">
        <v>0</v>
      </c>
      <c r="AI8" s="82"/>
      <c r="AJ8" s="82">
        <v>2137.8933162079998</v>
      </c>
      <c r="AK8" s="78">
        <v>0</v>
      </c>
      <c r="AL8" s="78">
        <v>2137.8933099999999</v>
      </c>
      <c r="AM8" s="82">
        <v>10.32204368</v>
      </c>
      <c r="AN8" s="78">
        <v>0</v>
      </c>
      <c r="AO8" s="79">
        <v>10.32204368</v>
      </c>
      <c r="AP8" s="82">
        <v>0</v>
      </c>
      <c r="AQ8" s="78">
        <v>0</v>
      </c>
      <c r="AR8" s="52">
        <v>0</v>
      </c>
      <c r="AS8" s="48">
        <v>4.4464188160000004</v>
      </c>
      <c r="AT8" s="78"/>
      <c r="AU8" s="52">
        <v>4.4464188160000004</v>
      </c>
      <c r="AV8" s="48">
        <v>19.373681983999997</v>
      </c>
      <c r="AW8" s="52"/>
      <c r="AX8" s="52">
        <v>19.373681983999997</v>
      </c>
      <c r="AY8" s="87">
        <v>2209.298460688</v>
      </c>
      <c r="AZ8" s="52">
        <v>37.262999999999998</v>
      </c>
      <c r="BA8" s="52">
        <v>2172.0354544800002</v>
      </c>
      <c r="BB8" s="48"/>
      <c r="BC8" s="57">
        <v>0</v>
      </c>
      <c r="BD8" s="57">
        <v>922.02128400000004</v>
      </c>
      <c r="BE8" s="57">
        <v>2474.5892760000002</v>
      </c>
      <c r="BF8" s="57">
        <v>0</v>
      </c>
      <c r="BG8" s="57">
        <v>3396.6105600000001</v>
      </c>
      <c r="BH8" s="46"/>
      <c r="BI8" s="57">
        <v>0</v>
      </c>
      <c r="BJ8" s="57">
        <v>0</v>
      </c>
      <c r="BK8" s="57"/>
      <c r="BL8" s="57"/>
      <c r="BM8" s="57">
        <v>0</v>
      </c>
      <c r="BN8" s="57"/>
      <c r="BO8" s="57">
        <v>0</v>
      </c>
      <c r="BP8" s="46"/>
      <c r="BQ8" s="87">
        <v>25096.096720688001</v>
      </c>
      <c r="BR8" s="52">
        <v>15388.558369999999</v>
      </c>
      <c r="BS8" s="52">
        <v>9707.5383444800009</v>
      </c>
    </row>
    <row r="9" spans="1:71" ht="12" customHeight="1" x14ac:dyDescent="0.2">
      <c r="A9" s="55">
        <v>2004</v>
      </c>
      <c r="B9" s="55" t="s">
        <v>5</v>
      </c>
      <c r="C9" s="82"/>
      <c r="D9" s="82">
        <v>14662.130829999998</v>
      </c>
      <c r="E9" s="78">
        <v>6418.8038299999989</v>
      </c>
      <c r="F9" s="78">
        <v>8243.3269999999993</v>
      </c>
      <c r="G9" s="82"/>
      <c r="H9" s="82"/>
      <c r="I9" s="82">
        <v>0</v>
      </c>
      <c r="J9" s="82">
        <v>0</v>
      </c>
      <c r="K9" s="82">
        <v>732.00069999999994</v>
      </c>
      <c r="L9" s="82"/>
      <c r="M9" s="82"/>
      <c r="N9" s="82">
        <v>5546.4525899999999</v>
      </c>
      <c r="O9" s="78">
        <v>5208.0996999999998</v>
      </c>
      <c r="P9" s="78">
        <v>338.35289</v>
      </c>
      <c r="Q9" s="73">
        <v>20940.584119999996</v>
      </c>
      <c r="R9" s="78">
        <v>12358.904229999998</v>
      </c>
      <c r="S9" s="78">
        <v>8581.6798899999994</v>
      </c>
      <c r="T9" s="47"/>
      <c r="U9" s="57"/>
      <c r="V9" s="57"/>
      <c r="W9" s="57"/>
      <c r="X9" s="57"/>
      <c r="Y9" s="57">
        <v>0</v>
      </c>
      <c r="Z9" s="57">
        <v>0</v>
      </c>
      <c r="AA9" s="57">
        <v>0</v>
      </c>
      <c r="AB9" s="45"/>
      <c r="AC9" s="57">
        <v>0</v>
      </c>
      <c r="AD9" s="78">
        <v>0</v>
      </c>
      <c r="AE9" s="78"/>
      <c r="AF9" s="82">
        <v>0</v>
      </c>
      <c r="AG9" s="78">
        <v>0</v>
      </c>
      <c r="AH9" s="78">
        <v>0</v>
      </c>
      <c r="AI9" s="82"/>
      <c r="AJ9" s="82">
        <v>2269.9737854959999</v>
      </c>
      <c r="AK9" s="78">
        <v>0</v>
      </c>
      <c r="AL9" s="78">
        <v>2269.9740999999999</v>
      </c>
      <c r="AM9" s="82">
        <v>6.6197341600000001</v>
      </c>
      <c r="AN9" s="78">
        <v>0</v>
      </c>
      <c r="AO9" s="79">
        <v>6.6197341600000001</v>
      </c>
      <c r="AP9" s="82">
        <v>0</v>
      </c>
      <c r="AQ9" s="78">
        <v>0</v>
      </c>
      <c r="AR9" s="52">
        <v>0</v>
      </c>
      <c r="AS9" s="48">
        <v>2.8515777920000001</v>
      </c>
      <c r="AT9" s="78"/>
      <c r="AU9" s="52">
        <v>2.8515777920000001</v>
      </c>
      <c r="AV9" s="48">
        <v>12.424731808000001</v>
      </c>
      <c r="AW9" s="52"/>
      <c r="AX9" s="52">
        <v>12.424731808000001</v>
      </c>
      <c r="AY9" s="87">
        <v>2291.8698292560002</v>
      </c>
      <c r="AZ9" s="52">
        <v>0</v>
      </c>
      <c r="BA9" s="52">
        <v>2291.8701437600002</v>
      </c>
      <c r="BB9" s="48"/>
      <c r="BC9" s="57">
        <v>930.76396699999998</v>
      </c>
      <c r="BD9" s="57">
        <v>0</v>
      </c>
      <c r="BE9" s="57">
        <v>1772.866986</v>
      </c>
      <c r="BF9" s="57">
        <v>0</v>
      </c>
      <c r="BG9" s="57">
        <v>2703.6309529999999</v>
      </c>
      <c r="BH9" s="46"/>
      <c r="BI9" s="57">
        <v>0</v>
      </c>
      <c r="BJ9" s="57">
        <v>0</v>
      </c>
      <c r="BK9" s="57"/>
      <c r="BL9" s="57"/>
      <c r="BM9" s="57">
        <v>0</v>
      </c>
      <c r="BN9" s="57"/>
      <c r="BO9" s="57">
        <v>0</v>
      </c>
      <c r="BP9" s="46"/>
      <c r="BQ9" s="87">
        <v>25936.084902255996</v>
      </c>
      <c r="BR9" s="52">
        <v>15062.535182999998</v>
      </c>
      <c r="BS9" s="52">
        <v>10873.550033759999</v>
      </c>
    </row>
    <row r="10" spans="1:71" ht="12" customHeight="1" x14ac:dyDescent="0.2">
      <c r="A10" s="55">
        <v>2004</v>
      </c>
      <c r="B10" s="55" t="s">
        <v>6</v>
      </c>
      <c r="C10" s="82"/>
      <c r="D10" s="82">
        <v>11929.376130000001</v>
      </c>
      <c r="E10" s="78">
        <v>6651.0921100000005</v>
      </c>
      <c r="F10" s="78">
        <v>5278.2840199999991</v>
      </c>
      <c r="G10" s="82"/>
      <c r="H10" s="82"/>
      <c r="I10" s="82">
        <v>0</v>
      </c>
      <c r="J10" s="82">
        <v>0</v>
      </c>
      <c r="K10" s="82">
        <v>487.04230000000001</v>
      </c>
      <c r="L10" s="82"/>
      <c r="M10" s="82"/>
      <c r="N10" s="82">
        <v>4448.7712099999999</v>
      </c>
      <c r="O10" s="78">
        <v>4448.5940000000001</v>
      </c>
      <c r="P10" s="78">
        <v>0.17721000000000001</v>
      </c>
      <c r="Q10" s="73">
        <v>16865.189640000001</v>
      </c>
      <c r="R10" s="78">
        <v>11586.72841</v>
      </c>
      <c r="S10" s="78">
        <v>5278.461229999999</v>
      </c>
      <c r="T10" s="47"/>
      <c r="U10" s="57"/>
      <c r="V10" s="57"/>
      <c r="W10" s="57"/>
      <c r="X10" s="57"/>
      <c r="Y10" s="57">
        <v>0</v>
      </c>
      <c r="Z10" s="57">
        <v>0</v>
      </c>
      <c r="AA10" s="57">
        <v>0</v>
      </c>
      <c r="AB10" s="45"/>
      <c r="AC10" s="57">
        <v>0</v>
      </c>
      <c r="AD10" s="78">
        <v>0</v>
      </c>
      <c r="AE10" s="78"/>
      <c r="AF10" s="82">
        <v>0</v>
      </c>
      <c r="AG10" s="78">
        <v>0</v>
      </c>
      <c r="AH10" s="78">
        <v>0</v>
      </c>
      <c r="AI10" s="82"/>
      <c r="AJ10" s="82">
        <v>2188.6465159999998</v>
      </c>
      <c r="AK10" s="78">
        <v>0</v>
      </c>
      <c r="AL10" s="78">
        <v>2188.6468199999999</v>
      </c>
      <c r="AM10" s="82">
        <v>1.64554</v>
      </c>
      <c r="AN10" s="78">
        <v>0</v>
      </c>
      <c r="AO10" s="79">
        <v>1.64554</v>
      </c>
      <c r="AP10" s="82">
        <v>0</v>
      </c>
      <c r="AQ10" s="78">
        <v>0</v>
      </c>
      <c r="AR10" s="52">
        <v>0</v>
      </c>
      <c r="AS10" s="48">
        <v>0.70884799999999992</v>
      </c>
      <c r="AT10" s="78"/>
      <c r="AU10" s="52">
        <v>0.70884799999999992</v>
      </c>
      <c r="AV10" s="48">
        <v>3.088552</v>
      </c>
      <c r="AW10" s="52"/>
      <c r="AX10" s="52">
        <v>3.088552</v>
      </c>
      <c r="AY10" s="87">
        <v>2194.0894560000002</v>
      </c>
      <c r="AZ10" s="52">
        <v>0</v>
      </c>
      <c r="BA10" s="52">
        <v>2194.0897600000003</v>
      </c>
      <c r="BB10" s="48"/>
      <c r="BC10" s="57">
        <v>0</v>
      </c>
      <c r="BD10" s="57">
        <v>937.25585043000001</v>
      </c>
      <c r="BE10" s="57">
        <v>3229.7107099999998</v>
      </c>
      <c r="BF10" s="57">
        <v>0</v>
      </c>
      <c r="BG10" s="57">
        <v>4166.9665604299998</v>
      </c>
      <c r="BH10" s="46"/>
      <c r="BI10" s="57">
        <v>0</v>
      </c>
      <c r="BJ10" s="57">
        <v>0</v>
      </c>
      <c r="BK10" s="57"/>
      <c r="BL10" s="57"/>
      <c r="BM10" s="57">
        <v>0</v>
      </c>
      <c r="BN10" s="57"/>
      <c r="BO10" s="57">
        <v>0</v>
      </c>
      <c r="BP10" s="46"/>
      <c r="BQ10" s="87">
        <v>23226.245656430001</v>
      </c>
      <c r="BR10" s="52">
        <v>15753.694970429999</v>
      </c>
      <c r="BS10" s="52">
        <v>7472.5509899999997</v>
      </c>
    </row>
    <row r="11" spans="1:71" ht="12" customHeight="1" x14ac:dyDescent="0.2">
      <c r="A11" s="55">
        <v>2004</v>
      </c>
      <c r="B11" s="55" t="s">
        <v>7</v>
      </c>
      <c r="C11" s="82"/>
      <c r="D11" s="82">
        <v>10727.01533</v>
      </c>
      <c r="E11" s="78">
        <v>5406.4591799999998</v>
      </c>
      <c r="F11" s="78">
        <v>5320.5561500000003</v>
      </c>
      <c r="G11" s="82"/>
      <c r="H11" s="82"/>
      <c r="I11" s="82">
        <v>0</v>
      </c>
      <c r="J11" s="82">
        <v>0</v>
      </c>
      <c r="K11" s="82">
        <v>971.65480000000002</v>
      </c>
      <c r="L11" s="82"/>
      <c r="M11" s="82"/>
      <c r="N11" s="82">
        <v>5848.4456600000003</v>
      </c>
      <c r="O11" s="78">
        <v>5615.6211000000003</v>
      </c>
      <c r="P11" s="78">
        <v>232.82455999999999</v>
      </c>
      <c r="Q11" s="73">
        <v>17547.11579</v>
      </c>
      <c r="R11" s="78">
        <v>11993.73508</v>
      </c>
      <c r="S11" s="78">
        <v>5553.3807100000004</v>
      </c>
      <c r="T11" s="47"/>
      <c r="U11" s="57"/>
      <c r="V11" s="57"/>
      <c r="W11" s="57"/>
      <c r="X11" s="57"/>
      <c r="Y11" s="57">
        <v>0</v>
      </c>
      <c r="Z11" s="57">
        <v>0</v>
      </c>
      <c r="AA11" s="57">
        <v>0</v>
      </c>
      <c r="AB11" s="45"/>
      <c r="AC11" s="57">
        <v>0</v>
      </c>
      <c r="AD11" s="78">
        <v>0</v>
      </c>
      <c r="AE11" s="78"/>
      <c r="AF11" s="82">
        <v>38.665999999999997</v>
      </c>
      <c r="AG11" s="78">
        <v>38.665999999999997</v>
      </c>
      <c r="AH11" s="78">
        <v>0</v>
      </c>
      <c r="AI11" s="82"/>
      <c r="AJ11" s="82">
        <v>2251.854066544</v>
      </c>
      <c r="AK11" s="78">
        <v>0</v>
      </c>
      <c r="AL11" s="78">
        <v>2251.8541700000001</v>
      </c>
      <c r="AM11" s="82">
        <v>2.0852192399999998</v>
      </c>
      <c r="AN11" s="78">
        <v>0</v>
      </c>
      <c r="AO11" s="79">
        <v>2.0852192399999998</v>
      </c>
      <c r="AP11" s="82">
        <v>0</v>
      </c>
      <c r="AQ11" s="78">
        <v>0</v>
      </c>
      <c r="AR11" s="52">
        <v>0</v>
      </c>
      <c r="AS11" s="48">
        <v>0.89824828800000001</v>
      </c>
      <c r="AT11" s="78"/>
      <c r="AU11" s="52">
        <v>0.89824828800000001</v>
      </c>
      <c r="AV11" s="48">
        <v>3.913796112</v>
      </c>
      <c r="AW11" s="52"/>
      <c r="AX11" s="52">
        <v>3.913796112</v>
      </c>
      <c r="AY11" s="87">
        <v>2297.4173301840001</v>
      </c>
      <c r="AZ11" s="52">
        <v>38.665999999999997</v>
      </c>
      <c r="BA11" s="52">
        <v>2258.75143364</v>
      </c>
      <c r="BB11" s="48"/>
      <c r="BC11" s="57">
        <v>919.43697499999996</v>
      </c>
      <c r="BD11" s="57">
        <v>1442.4968679999999</v>
      </c>
      <c r="BE11" s="57">
        <v>5032.2866520000007</v>
      </c>
      <c r="BF11" s="57">
        <v>0</v>
      </c>
      <c r="BG11" s="57">
        <v>7394.2204950000005</v>
      </c>
      <c r="BH11" s="46"/>
      <c r="BI11" s="57">
        <v>0</v>
      </c>
      <c r="BJ11" s="57">
        <v>0</v>
      </c>
      <c r="BK11" s="57"/>
      <c r="BL11" s="57"/>
      <c r="BM11" s="57">
        <v>0</v>
      </c>
      <c r="BN11" s="57"/>
      <c r="BO11" s="57">
        <v>0</v>
      </c>
      <c r="BP11" s="46"/>
      <c r="BQ11" s="87">
        <v>27238.753615184003</v>
      </c>
      <c r="BR11" s="52">
        <v>19426.621575000001</v>
      </c>
      <c r="BS11" s="52">
        <v>7812.1321436400003</v>
      </c>
    </row>
    <row r="12" spans="1:71" ht="12" customHeight="1" x14ac:dyDescent="0.2">
      <c r="A12" s="55">
        <v>2004</v>
      </c>
      <c r="B12" s="55" t="s">
        <v>8</v>
      </c>
      <c r="C12" s="82"/>
      <c r="D12" s="82">
        <v>10148.506089999999</v>
      </c>
      <c r="E12" s="78">
        <v>3944.8117699999998</v>
      </c>
      <c r="F12" s="78">
        <v>6203.6943199999996</v>
      </c>
      <c r="G12" s="82"/>
      <c r="H12" s="82"/>
      <c r="I12" s="82">
        <v>0</v>
      </c>
      <c r="J12" s="82">
        <v>0</v>
      </c>
      <c r="K12" s="82">
        <v>728.83369999999991</v>
      </c>
      <c r="L12" s="82"/>
      <c r="M12" s="82"/>
      <c r="N12" s="82">
        <v>4875.7017800000003</v>
      </c>
      <c r="O12" s="78">
        <v>4874.2844000000005</v>
      </c>
      <c r="P12" s="78">
        <v>1.4173800000000001</v>
      </c>
      <c r="Q12" s="73">
        <v>15753.041569999999</v>
      </c>
      <c r="R12" s="78">
        <v>9547.9298699999999</v>
      </c>
      <c r="S12" s="78">
        <v>6205.1116999999995</v>
      </c>
      <c r="T12" s="47"/>
      <c r="U12" s="57"/>
      <c r="V12" s="57"/>
      <c r="W12" s="57"/>
      <c r="X12" s="57"/>
      <c r="Y12" s="57">
        <v>0</v>
      </c>
      <c r="Z12" s="57">
        <v>0</v>
      </c>
      <c r="AA12" s="57">
        <v>0</v>
      </c>
      <c r="AB12" s="45"/>
      <c r="AC12" s="57">
        <v>0</v>
      </c>
      <c r="AD12" s="78">
        <v>0</v>
      </c>
      <c r="AE12" s="78"/>
      <c r="AF12" s="82">
        <v>0</v>
      </c>
      <c r="AG12" s="78">
        <v>0</v>
      </c>
      <c r="AH12" s="78">
        <v>0</v>
      </c>
      <c r="AI12" s="82"/>
      <c r="AJ12" s="82">
        <v>2137.300065552</v>
      </c>
      <c r="AK12" s="78">
        <v>0</v>
      </c>
      <c r="AL12" s="78">
        <v>2137.3001600000002</v>
      </c>
      <c r="AM12" s="82">
        <v>13.16137342</v>
      </c>
      <c r="AN12" s="78">
        <v>0</v>
      </c>
      <c r="AO12" s="79">
        <v>13.16137342</v>
      </c>
      <c r="AP12" s="82">
        <v>0</v>
      </c>
      <c r="AQ12" s="78">
        <v>0</v>
      </c>
      <c r="AR12" s="52">
        <v>0</v>
      </c>
      <c r="AS12" s="48">
        <v>5.669514704</v>
      </c>
      <c r="AT12" s="78"/>
      <c r="AU12" s="52">
        <v>5.669514704</v>
      </c>
      <c r="AV12" s="48">
        <v>24.702885496</v>
      </c>
      <c r="AW12" s="52"/>
      <c r="AX12" s="52">
        <v>24.702885496</v>
      </c>
      <c r="AY12" s="87">
        <v>2180.8338391719999</v>
      </c>
      <c r="AZ12" s="52">
        <v>0</v>
      </c>
      <c r="BA12" s="52">
        <v>2180.8339336200002</v>
      </c>
      <c r="BB12" s="48"/>
      <c r="BC12" s="57">
        <v>0</v>
      </c>
      <c r="BD12" s="57">
        <v>2704.8190080000004</v>
      </c>
      <c r="BE12" s="57">
        <v>4276.6913249999998</v>
      </c>
      <c r="BF12" s="57">
        <v>0</v>
      </c>
      <c r="BG12" s="57">
        <v>6981.5103330000002</v>
      </c>
      <c r="BH12" s="46"/>
      <c r="BI12" s="57">
        <v>0</v>
      </c>
      <c r="BJ12" s="57">
        <v>0</v>
      </c>
      <c r="BK12" s="57"/>
      <c r="BL12" s="57"/>
      <c r="BM12" s="57">
        <v>0</v>
      </c>
      <c r="BN12" s="57"/>
      <c r="BO12" s="57">
        <v>0</v>
      </c>
      <c r="BP12" s="46"/>
      <c r="BQ12" s="87">
        <v>24915.385742172002</v>
      </c>
      <c r="BR12" s="52">
        <v>16529.440202999998</v>
      </c>
      <c r="BS12" s="52">
        <v>8385.9456336200001</v>
      </c>
    </row>
    <row r="13" spans="1:71" ht="12" customHeight="1" x14ac:dyDescent="0.2">
      <c r="A13" s="55">
        <v>2004</v>
      </c>
      <c r="B13" s="55" t="s">
        <v>9</v>
      </c>
      <c r="C13" s="82"/>
      <c r="D13" s="82">
        <v>11933.315780000001</v>
      </c>
      <c r="E13" s="78">
        <v>5221.3937800000003</v>
      </c>
      <c r="F13" s="78">
        <v>6711.9219999999996</v>
      </c>
      <c r="G13" s="82"/>
      <c r="H13" s="82"/>
      <c r="I13" s="82">
        <v>0</v>
      </c>
      <c r="J13" s="82">
        <v>0</v>
      </c>
      <c r="K13" s="82">
        <v>721.98860000000002</v>
      </c>
      <c r="L13" s="82"/>
      <c r="M13" s="82"/>
      <c r="N13" s="82">
        <v>4248.3623299999999</v>
      </c>
      <c r="O13" s="78">
        <v>4248.3623299999999</v>
      </c>
      <c r="P13" s="78">
        <v>0</v>
      </c>
      <c r="Q13" s="73">
        <v>16903.666710000001</v>
      </c>
      <c r="R13" s="78">
        <v>10191.744709999999</v>
      </c>
      <c r="S13" s="78">
        <v>6711.9219999999996</v>
      </c>
      <c r="T13" s="47"/>
      <c r="U13" s="57"/>
      <c r="V13" s="57"/>
      <c r="W13" s="57"/>
      <c r="X13" s="57"/>
      <c r="Y13" s="57">
        <v>0</v>
      </c>
      <c r="Z13" s="57">
        <v>0</v>
      </c>
      <c r="AA13" s="57">
        <v>0</v>
      </c>
      <c r="AB13" s="45"/>
      <c r="AC13" s="57">
        <v>0</v>
      </c>
      <c r="AD13" s="78">
        <v>0</v>
      </c>
      <c r="AE13" s="78"/>
      <c r="AF13" s="82">
        <v>38.234999999999999</v>
      </c>
      <c r="AG13" s="78">
        <v>38.234999999999999</v>
      </c>
      <c r="AH13" s="78">
        <v>0</v>
      </c>
      <c r="AI13" s="82"/>
      <c r="AJ13" s="82">
        <v>2131.2794490000001</v>
      </c>
      <c r="AK13" s="78">
        <v>0</v>
      </c>
      <c r="AL13" s="78">
        <v>2131.2800000000002</v>
      </c>
      <c r="AM13" s="82">
        <v>0</v>
      </c>
      <c r="AN13" s="78">
        <v>0</v>
      </c>
      <c r="AO13" s="79">
        <v>0</v>
      </c>
      <c r="AP13" s="82">
        <v>0</v>
      </c>
      <c r="AQ13" s="78">
        <v>0</v>
      </c>
      <c r="AR13" s="52">
        <v>0</v>
      </c>
      <c r="AS13" s="48"/>
      <c r="AT13" s="78"/>
      <c r="AU13" s="52">
        <v>0</v>
      </c>
      <c r="AV13" s="48">
        <v>0</v>
      </c>
      <c r="AW13" s="52"/>
      <c r="AX13" s="52">
        <v>0</v>
      </c>
      <c r="AY13" s="87">
        <v>2169.5144490000002</v>
      </c>
      <c r="AZ13" s="52">
        <v>38.234999999999999</v>
      </c>
      <c r="BA13" s="52">
        <v>2131.2800000000002</v>
      </c>
      <c r="BB13" s="48"/>
      <c r="BC13" s="57">
        <v>0</v>
      </c>
      <c r="BD13" s="57">
        <v>909.43</v>
      </c>
      <c r="BE13" s="57">
        <v>6227.5385980000001</v>
      </c>
      <c r="BF13" s="57">
        <v>0</v>
      </c>
      <c r="BG13" s="57">
        <v>7136.9685980000004</v>
      </c>
      <c r="BH13" s="46"/>
      <c r="BI13" s="57">
        <v>0</v>
      </c>
      <c r="BJ13" s="57">
        <v>0</v>
      </c>
      <c r="BK13" s="57"/>
      <c r="BL13" s="57"/>
      <c r="BM13" s="57">
        <v>0</v>
      </c>
      <c r="BN13" s="57"/>
      <c r="BO13" s="57">
        <v>0</v>
      </c>
      <c r="BP13" s="46"/>
      <c r="BQ13" s="87">
        <v>26210.149756999999</v>
      </c>
      <c r="BR13" s="52">
        <v>17366.948307999999</v>
      </c>
      <c r="BS13" s="52">
        <v>8843.2019999999993</v>
      </c>
    </row>
    <row r="14" spans="1:71" ht="12" customHeight="1" x14ac:dyDescent="0.2">
      <c r="A14" s="55">
        <v>2004</v>
      </c>
      <c r="B14" s="55" t="s">
        <v>10</v>
      </c>
      <c r="C14" s="82"/>
      <c r="D14" s="82">
        <v>11155.41727</v>
      </c>
      <c r="E14" s="78">
        <v>5276.8822700000001</v>
      </c>
      <c r="F14" s="78">
        <v>5878.5349999999999</v>
      </c>
      <c r="G14" s="82"/>
      <c r="H14" s="82"/>
      <c r="I14" s="82">
        <v>0</v>
      </c>
      <c r="J14" s="82">
        <v>0</v>
      </c>
      <c r="K14" s="82">
        <v>7.5728200000000001</v>
      </c>
      <c r="L14" s="82"/>
      <c r="M14" s="82"/>
      <c r="N14" s="82">
        <v>4229.1824000000006</v>
      </c>
      <c r="O14" s="78">
        <v>4229.1824000000006</v>
      </c>
      <c r="P14" s="78">
        <v>0</v>
      </c>
      <c r="Q14" s="73">
        <v>15392.172490000001</v>
      </c>
      <c r="R14" s="78">
        <v>9513.637490000001</v>
      </c>
      <c r="S14" s="78">
        <v>5878.5349999999999</v>
      </c>
      <c r="T14" s="47"/>
      <c r="U14" s="57"/>
      <c r="V14" s="57"/>
      <c r="W14" s="57"/>
      <c r="X14" s="57"/>
      <c r="Y14" s="57">
        <v>0</v>
      </c>
      <c r="Z14" s="57">
        <v>0</v>
      </c>
      <c r="AA14" s="57">
        <v>0</v>
      </c>
      <c r="AB14" s="45"/>
      <c r="AC14" s="57">
        <v>0</v>
      </c>
      <c r="AD14" s="78">
        <v>0</v>
      </c>
      <c r="AE14" s="78"/>
      <c r="AF14" s="82">
        <v>0</v>
      </c>
      <c r="AG14" s="78">
        <v>0</v>
      </c>
      <c r="AH14" s="78">
        <v>0</v>
      </c>
      <c r="AI14" s="82"/>
      <c r="AJ14" s="82">
        <v>1702.1256759999999</v>
      </c>
      <c r="AK14" s="78">
        <v>0</v>
      </c>
      <c r="AL14" s="78">
        <v>1702.126</v>
      </c>
      <c r="AM14" s="82">
        <v>0</v>
      </c>
      <c r="AN14" s="78">
        <v>0</v>
      </c>
      <c r="AO14" s="79">
        <v>0</v>
      </c>
      <c r="AP14" s="82">
        <v>0</v>
      </c>
      <c r="AQ14" s="78">
        <v>0</v>
      </c>
      <c r="AR14" s="52">
        <v>0</v>
      </c>
      <c r="AS14" s="48"/>
      <c r="AT14" s="78"/>
      <c r="AU14" s="52">
        <v>0</v>
      </c>
      <c r="AV14" s="48">
        <v>0</v>
      </c>
      <c r="AW14" s="52"/>
      <c r="AX14" s="52">
        <v>0</v>
      </c>
      <c r="AY14" s="87">
        <v>1702.1256759999999</v>
      </c>
      <c r="AZ14" s="52">
        <v>0</v>
      </c>
      <c r="BA14" s="52">
        <v>1702.126</v>
      </c>
      <c r="BB14" s="48"/>
      <c r="BC14" s="57">
        <v>914.37989875400012</v>
      </c>
      <c r="BD14" s="57">
        <v>971.7672778939999</v>
      </c>
      <c r="BE14" s="57">
        <v>4378.9525380000005</v>
      </c>
      <c r="BF14" s="57">
        <v>0</v>
      </c>
      <c r="BG14" s="57">
        <v>6265.0997146480004</v>
      </c>
      <c r="BH14" s="46"/>
      <c r="BI14" s="57">
        <v>0</v>
      </c>
      <c r="BJ14" s="57">
        <v>0</v>
      </c>
      <c r="BK14" s="57"/>
      <c r="BL14" s="57"/>
      <c r="BM14" s="57">
        <v>0</v>
      </c>
      <c r="BN14" s="57"/>
      <c r="BO14" s="57">
        <v>0</v>
      </c>
      <c r="BP14" s="46"/>
      <c r="BQ14" s="87">
        <v>23359.397880648001</v>
      </c>
      <c r="BR14" s="52">
        <v>15778.737204648001</v>
      </c>
      <c r="BS14" s="52">
        <v>7580.6610000000001</v>
      </c>
    </row>
    <row r="15" spans="1:71" ht="12" customHeight="1" x14ac:dyDescent="0.2">
      <c r="A15" s="55">
        <v>2004</v>
      </c>
      <c r="B15" s="55" t="s">
        <v>11</v>
      </c>
      <c r="C15" s="82"/>
      <c r="D15" s="82">
        <v>13280.24655</v>
      </c>
      <c r="E15" s="78">
        <v>5971.9544800000003</v>
      </c>
      <c r="F15" s="78">
        <v>7308.2920700000004</v>
      </c>
      <c r="G15" s="82"/>
      <c r="H15" s="82"/>
      <c r="I15" s="82">
        <v>0</v>
      </c>
      <c r="J15" s="82">
        <v>0</v>
      </c>
      <c r="K15" s="82">
        <v>477.9151</v>
      </c>
      <c r="L15" s="82"/>
      <c r="M15" s="82"/>
      <c r="N15" s="82">
        <v>5940.8809799999999</v>
      </c>
      <c r="O15" s="78">
        <v>5940.3592900000003</v>
      </c>
      <c r="P15" s="78">
        <v>0.5216900000000001</v>
      </c>
      <c r="Q15" s="73">
        <v>19699.042630000004</v>
      </c>
      <c r="R15" s="78">
        <v>12390.228870000001</v>
      </c>
      <c r="S15" s="78">
        <v>7308.81376</v>
      </c>
      <c r="T15" s="47"/>
      <c r="U15" s="57"/>
      <c r="V15" s="57"/>
      <c r="W15" s="57"/>
      <c r="X15" s="57"/>
      <c r="Y15" s="57">
        <v>0</v>
      </c>
      <c r="Z15" s="57">
        <v>0</v>
      </c>
      <c r="AA15" s="57">
        <v>0</v>
      </c>
      <c r="AB15" s="45"/>
      <c r="AC15" s="57">
        <v>0</v>
      </c>
      <c r="AD15" s="78">
        <v>0</v>
      </c>
      <c r="AE15" s="78"/>
      <c r="AF15" s="82">
        <v>0</v>
      </c>
      <c r="AG15" s="78">
        <v>0</v>
      </c>
      <c r="AH15" s="78">
        <v>0</v>
      </c>
      <c r="AI15" s="82"/>
      <c r="AJ15" s="82">
        <v>2135.4753187679999</v>
      </c>
      <c r="AK15" s="78">
        <v>0</v>
      </c>
      <c r="AL15" s="78">
        <v>2135.4754199999998</v>
      </c>
      <c r="AM15" s="82">
        <v>4.8442525299999994</v>
      </c>
      <c r="AN15" s="78">
        <v>0</v>
      </c>
      <c r="AO15" s="79">
        <v>4.8442525299999994</v>
      </c>
      <c r="AP15" s="82">
        <v>0</v>
      </c>
      <c r="AQ15" s="78">
        <v>0</v>
      </c>
      <c r="AR15" s="52">
        <v>0</v>
      </c>
      <c r="AS15" s="48">
        <v>2.0867549359999997</v>
      </c>
      <c r="AT15" s="78"/>
      <c r="AU15" s="52">
        <v>2.0867549359999997</v>
      </c>
      <c r="AV15" s="48">
        <v>9.0922893640000009</v>
      </c>
      <c r="AW15" s="52"/>
      <c r="AX15" s="52">
        <v>9.0922893640000009</v>
      </c>
      <c r="AY15" s="87">
        <v>2151.498615598</v>
      </c>
      <c r="AZ15" s="52">
        <v>0</v>
      </c>
      <c r="BA15" s="52">
        <v>2151.4987168299999</v>
      </c>
      <c r="BB15" s="48"/>
      <c r="BC15" s="57">
        <v>0</v>
      </c>
      <c r="BD15" s="57">
        <v>1836.029384356</v>
      </c>
      <c r="BE15" s="57">
        <v>4385.8423969999994</v>
      </c>
      <c r="BF15" s="57">
        <v>0</v>
      </c>
      <c r="BG15" s="57">
        <v>6221.8717813559997</v>
      </c>
      <c r="BH15" s="46"/>
      <c r="BI15" s="57">
        <v>0</v>
      </c>
      <c r="BJ15" s="57">
        <v>0</v>
      </c>
      <c r="BK15" s="57"/>
      <c r="BL15" s="57"/>
      <c r="BM15" s="57">
        <v>0</v>
      </c>
      <c r="BN15" s="57"/>
      <c r="BO15" s="57">
        <v>0</v>
      </c>
      <c r="BP15" s="46"/>
      <c r="BQ15" s="87">
        <v>28072.413026954004</v>
      </c>
      <c r="BR15" s="52">
        <v>18612.100651355999</v>
      </c>
      <c r="BS15" s="52">
        <v>9460.3124768300004</v>
      </c>
    </row>
    <row r="16" spans="1:71" ht="12" customHeight="1" x14ac:dyDescent="0.2">
      <c r="A16" s="55">
        <v>2004</v>
      </c>
      <c r="B16" s="55" t="s">
        <v>12</v>
      </c>
      <c r="C16" s="82"/>
      <c r="D16" s="82">
        <v>14540.00159</v>
      </c>
      <c r="E16" s="78">
        <v>6340.9898400000002</v>
      </c>
      <c r="F16" s="78">
        <v>8199.0117499999997</v>
      </c>
      <c r="G16" s="82"/>
      <c r="H16" s="82"/>
      <c r="I16" s="82">
        <v>0</v>
      </c>
      <c r="J16" s="82">
        <v>0</v>
      </c>
      <c r="K16" s="82">
        <v>731.09990000000005</v>
      </c>
      <c r="L16" s="82"/>
      <c r="M16" s="82"/>
      <c r="N16" s="82">
        <v>5924.2678600000008</v>
      </c>
      <c r="O16" s="78">
        <v>5922.8031600000004</v>
      </c>
      <c r="P16" s="78">
        <v>1.4647000000000001</v>
      </c>
      <c r="Q16" s="73">
        <v>21195.369349999997</v>
      </c>
      <c r="R16" s="78">
        <v>12994.892900000001</v>
      </c>
      <c r="S16" s="78">
        <v>8200.4764500000001</v>
      </c>
      <c r="T16" s="47"/>
      <c r="U16" s="57"/>
      <c r="V16" s="57"/>
      <c r="W16" s="57"/>
      <c r="X16" s="57"/>
      <c r="Y16" s="57">
        <v>0</v>
      </c>
      <c r="Z16" s="57">
        <v>0</v>
      </c>
      <c r="AA16" s="57">
        <v>0</v>
      </c>
      <c r="AB16" s="45"/>
      <c r="AC16" s="57">
        <v>0</v>
      </c>
      <c r="AD16" s="78">
        <v>0</v>
      </c>
      <c r="AE16" s="78"/>
      <c r="AF16" s="82">
        <v>0</v>
      </c>
      <c r="AG16" s="78">
        <v>0</v>
      </c>
      <c r="AH16" s="78">
        <v>0</v>
      </c>
      <c r="AI16" s="82"/>
      <c r="AJ16" s="82">
        <v>2285.1339098640001</v>
      </c>
      <c r="AK16" s="78">
        <v>0</v>
      </c>
      <c r="AL16" s="78">
        <v>2285.1339199999998</v>
      </c>
      <c r="AM16" s="82">
        <v>13.600822690000001</v>
      </c>
      <c r="AN16" s="78">
        <v>0</v>
      </c>
      <c r="AO16" s="79">
        <v>13.600822690000001</v>
      </c>
      <c r="AP16" s="82">
        <v>0</v>
      </c>
      <c r="AQ16" s="78">
        <v>0</v>
      </c>
      <c r="AR16" s="52">
        <v>0</v>
      </c>
      <c r="AS16" s="48">
        <v>5.8588159280000003</v>
      </c>
      <c r="AT16" s="78"/>
      <c r="AU16" s="52">
        <v>5.8588159280000003</v>
      </c>
      <c r="AV16" s="48">
        <v>25.527697972000002</v>
      </c>
      <c r="AW16" s="52"/>
      <c r="AX16" s="52">
        <v>25.527697972000002</v>
      </c>
      <c r="AY16" s="87">
        <v>2330.1212464539999</v>
      </c>
      <c r="AZ16" s="52">
        <v>0</v>
      </c>
      <c r="BA16" s="52">
        <v>2330.1212565899996</v>
      </c>
      <c r="BB16" s="48"/>
      <c r="BC16" s="57">
        <v>0</v>
      </c>
      <c r="BD16" s="57">
        <v>0</v>
      </c>
      <c r="BE16" s="57">
        <v>3201.5102000000002</v>
      </c>
      <c r="BF16" s="57">
        <v>0</v>
      </c>
      <c r="BG16" s="57">
        <v>3201.5102000000002</v>
      </c>
      <c r="BH16" s="46"/>
      <c r="BI16" s="57">
        <v>0</v>
      </c>
      <c r="BJ16" s="57">
        <v>0</v>
      </c>
      <c r="BK16" s="57"/>
      <c r="BL16" s="57"/>
      <c r="BM16" s="57">
        <v>0</v>
      </c>
      <c r="BN16" s="57"/>
      <c r="BO16" s="57">
        <v>0</v>
      </c>
      <c r="BP16" s="46"/>
      <c r="BQ16" s="87">
        <v>26727.000796453998</v>
      </c>
      <c r="BR16" s="52">
        <v>16196.403100000001</v>
      </c>
      <c r="BS16" s="52">
        <v>10530.597706590001</v>
      </c>
    </row>
    <row r="17" spans="1:71" ht="12" customHeight="1" x14ac:dyDescent="0.2">
      <c r="A17" s="55">
        <v>2004</v>
      </c>
      <c r="B17" s="55" t="s">
        <v>13</v>
      </c>
      <c r="C17" s="82"/>
      <c r="D17" s="82">
        <v>16333.855170000003</v>
      </c>
      <c r="E17" s="78">
        <v>7176.2339500000007</v>
      </c>
      <c r="F17" s="78">
        <v>9157.6212200000009</v>
      </c>
      <c r="G17" s="82"/>
      <c r="H17" s="82"/>
      <c r="I17" s="82">
        <v>0</v>
      </c>
      <c r="J17" s="82">
        <v>0</v>
      </c>
      <c r="K17" s="82">
        <v>729.51619999999991</v>
      </c>
      <c r="L17" s="82"/>
      <c r="M17" s="82"/>
      <c r="N17" s="82">
        <v>4778.3949599999996</v>
      </c>
      <c r="O17" s="78">
        <v>4776.9760999999999</v>
      </c>
      <c r="P17" s="78">
        <v>1.41886</v>
      </c>
      <c r="Q17" s="73">
        <v>21841.766329999999</v>
      </c>
      <c r="R17" s="78">
        <v>12682.72625</v>
      </c>
      <c r="S17" s="78">
        <v>9159.0400800000007</v>
      </c>
      <c r="T17" s="47"/>
      <c r="U17" s="57"/>
      <c r="V17" s="57"/>
      <c r="W17" s="57"/>
      <c r="X17" s="57"/>
      <c r="Y17" s="57">
        <v>0</v>
      </c>
      <c r="Z17" s="57">
        <v>0</v>
      </c>
      <c r="AA17" s="57">
        <v>0</v>
      </c>
      <c r="AB17" s="45"/>
      <c r="AC17" s="57">
        <v>0</v>
      </c>
      <c r="AD17" s="78">
        <v>0</v>
      </c>
      <c r="AE17" s="78"/>
      <c r="AF17" s="82">
        <v>73.5</v>
      </c>
      <c r="AG17" s="78">
        <v>73.5</v>
      </c>
      <c r="AH17" s="78">
        <v>0</v>
      </c>
      <c r="AI17" s="82"/>
      <c r="AJ17" s="82">
        <v>2210.9104553839825</v>
      </c>
      <c r="AK17" s="78">
        <v>0</v>
      </c>
      <c r="AL17" s="78">
        <v>2210.9104553839861</v>
      </c>
      <c r="AM17" s="82">
        <v>13.175164437535116</v>
      </c>
      <c r="AN17" s="78">
        <v>0</v>
      </c>
      <c r="AO17" s="79">
        <v>13.17516443753513</v>
      </c>
      <c r="AP17" s="82">
        <v>0</v>
      </c>
      <c r="AQ17" s="78">
        <v>0</v>
      </c>
      <c r="AR17" s="52">
        <v>0</v>
      </c>
      <c r="AS17" s="48">
        <v>5.675456864</v>
      </c>
      <c r="AT17" s="78"/>
      <c r="AU17" s="52">
        <v>5.6754537702812442</v>
      </c>
      <c r="AV17" s="48">
        <v>24.728777361398443</v>
      </c>
      <c r="AW17" s="52"/>
      <c r="AX17" s="52">
        <v>24.728777361398443</v>
      </c>
      <c r="AY17" s="87">
        <v>2327.9905335090043</v>
      </c>
      <c r="AZ17" s="52">
        <v>73.5</v>
      </c>
      <c r="BA17" s="52">
        <v>2254.4905335090079</v>
      </c>
      <c r="BB17" s="48"/>
      <c r="BC17" s="57">
        <v>0</v>
      </c>
      <c r="BD17" s="57">
        <v>2718.3030335090116</v>
      </c>
      <c r="BE17" s="57">
        <v>4074.5100647590152</v>
      </c>
      <c r="BF17" s="57">
        <v>0</v>
      </c>
      <c r="BG17" s="57">
        <v>6792.8130982680377</v>
      </c>
      <c r="BH17" s="46"/>
      <c r="BI17" s="57">
        <v>0</v>
      </c>
      <c r="BJ17" s="57">
        <v>0</v>
      </c>
      <c r="BK17" s="57"/>
      <c r="BL17" s="57"/>
      <c r="BM17" s="57">
        <v>0</v>
      </c>
      <c r="BN17" s="57"/>
      <c r="BO17" s="57">
        <v>0</v>
      </c>
      <c r="BP17" s="46"/>
      <c r="BQ17" s="87">
        <v>30962.56489307218</v>
      </c>
      <c r="BR17" s="52">
        <v>19549.033643072209</v>
      </c>
      <c r="BS17" s="52">
        <v>11413.532446536119</v>
      </c>
    </row>
    <row r="18" spans="1:71" ht="12" customHeight="1" x14ac:dyDescent="0.2">
      <c r="A18" s="55">
        <v>2004</v>
      </c>
      <c r="B18" s="55" t="s">
        <v>14</v>
      </c>
      <c r="C18" s="82"/>
      <c r="D18" s="82">
        <v>14064.260129999999</v>
      </c>
      <c r="E18" s="78">
        <v>5795.8040999999994</v>
      </c>
      <c r="F18" s="78">
        <v>8268.4560299999994</v>
      </c>
      <c r="G18" s="82"/>
      <c r="H18" s="82"/>
      <c r="I18" s="82">
        <v>0</v>
      </c>
      <c r="J18" s="82">
        <v>0</v>
      </c>
      <c r="K18" s="82">
        <v>729.70910000000015</v>
      </c>
      <c r="L18" s="82"/>
      <c r="M18" s="82"/>
      <c r="N18" s="82">
        <v>3458.2110000000002</v>
      </c>
      <c r="O18" s="78">
        <v>3456.748</v>
      </c>
      <c r="P18" s="78">
        <v>1.4630000000000001</v>
      </c>
      <c r="Q18" s="73">
        <v>18252.180229999998</v>
      </c>
      <c r="R18" s="78">
        <v>9982.261199999999</v>
      </c>
      <c r="S18" s="78">
        <v>8269.9190299999991</v>
      </c>
      <c r="T18" s="47"/>
      <c r="U18" s="57"/>
      <c r="V18" s="57"/>
      <c r="W18" s="57"/>
      <c r="X18" s="57"/>
      <c r="Y18" s="57">
        <v>0</v>
      </c>
      <c r="Z18" s="57">
        <v>0</v>
      </c>
      <c r="AA18" s="57">
        <v>0</v>
      </c>
      <c r="AB18" s="45"/>
      <c r="AC18" s="57">
        <v>0</v>
      </c>
      <c r="AD18" s="78">
        <v>0</v>
      </c>
      <c r="AE18" s="78"/>
      <c r="AF18" s="82">
        <v>0</v>
      </c>
      <c r="AG18" s="78">
        <v>0</v>
      </c>
      <c r="AH18" s="78">
        <v>0</v>
      </c>
      <c r="AI18" s="82"/>
      <c r="AJ18" s="82">
        <v>2279.6882076880001</v>
      </c>
      <c r="AK18" s="78">
        <v>0</v>
      </c>
      <c r="AL18" s="78">
        <v>2279.68804</v>
      </c>
      <c r="AM18" s="82">
        <v>13.585015729999999</v>
      </c>
      <c r="AN18" s="78">
        <v>0</v>
      </c>
      <c r="AO18" s="79">
        <v>13.585015729999999</v>
      </c>
      <c r="AP18" s="82">
        <v>0</v>
      </c>
      <c r="AQ18" s="78">
        <v>0</v>
      </c>
      <c r="AR18" s="52">
        <v>0</v>
      </c>
      <c r="AS18" s="48">
        <v>5.8520067760000005</v>
      </c>
      <c r="AT18" s="78"/>
      <c r="AU18" s="52">
        <v>5.8520067760000005</v>
      </c>
      <c r="AV18" s="48">
        <v>25.498029524</v>
      </c>
      <c r="AW18" s="52"/>
      <c r="AX18" s="52">
        <v>25.498029524</v>
      </c>
      <c r="AY18" s="87">
        <v>2324.6232597180001</v>
      </c>
      <c r="AZ18" s="52">
        <v>0</v>
      </c>
      <c r="BA18" s="52">
        <v>2324.62309203</v>
      </c>
      <c r="BB18" s="48"/>
      <c r="BC18" s="57">
        <v>907.844517</v>
      </c>
      <c r="BD18" s="57">
        <v>1845.7955659510001</v>
      </c>
      <c r="BE18" s="57">
        <v>2549.5411079999999</v>
      </c>
      <c r="BF18" s="57">
        <v>0</v>
      </c>
      <c r="BG18" s="57">
        <v>5303.1811909509997</v>
      </c>
      <c r="BH18" s="46"/>
      <c r="BI18" s="57">
        <v>0</v>
      </c>
      <c r="BJ18" s="57">
        <v>0</v>
      </c>
      <c r="BK18" s="57"/>
      <c r="BL18" s="57"/>
      <c r="BM18" s="57">
        <v>912.10881299999994</v>
      </c>
      <c r="BN18" s="57"/>
      <c r="BO18" s="57">
        <v>912.10881299999994</v>
      </c>
      <c r="BP18" s="46"/>
      <c r="BQ18" s="87">
        <v>26792.093493668996</v>
      </c>
      <c r="BR18" s="52">
        <v>16197.551203950999</v>
      </c>
      <c r="BS18" s="52">
        <v>10594.54212203</v>
      </c>
    </row>
    <row r="19" spans="1:71" ht="12" customHeight="1" x14ac:dyDescent="0.2">
      <c r="A19" s="55">
        <v>2004</v>
      </c>
      <c r="B19" s="55" t="s">
        <v>15</v>
      </c>
      <c r="C19" s="82"/>
      <c r="D19" s="82">
        <v>159351.46474999998</v>
      </c>
      <c r="E19" s="78">
        <v>75072.774909999993</v>
      </c>
      <c r="F19" s="78">
        <v>84278.689840000006</v>
      </c>
      <c r="G19" s="82"/>
      <c r="H19" s="82"/>
      <c r="I19" s="82">
        <v>0</v>
      </c>
      <c r="J19" s="82">
        <v>0</v>
      </c>
      <c r="K19" s="82">
        <v>7764.8545200000008</v>
      </c>
      <c r="L19" s="82"/>
      <c r="M19" s="82"/>
      <c r="N19" s="82">
        <v>57688.877570000004</v>
      </c>
      <c r="O19" s="78">
        <v>56772.855670000004</v>
      </c>
      <c r="P19" s="78">
        <v>916.02189999999996</v>
      </c>
      <c r="Q19" s="73">
        <v>224805.19683999999</v>
      </c>
      <c r="R19" s="78">
        <v>139610.48509999999</v>
      </c>
      <c r="S19" s="78">
        <v>85194.711740000013</v>
      </c>
      <c r="T19" s="47"/>
      <c r="U19" s="57"/>
      <c r="V19" s="57"/>
      <c r="W19" s="57"/>
      <c r="X19" s="57"/>
      <c r="Y19" s="57">
        <v>0</v>
      </c>
      <c r="Z19" s="57">
        <v>0</v>
      </c>
      <c r="AA19" s="57">
        <v>0</v>
      </c>
      <c r="AB19" s="45"/>
      <c r="AC19" s="57">
        <v>0</v>
      </c>
      <c r="AD19" s="78">
        <v>0</v>
      </c>
      <c r="AE19" s="78"/>
      <c r="AF19" s="82">
        <v>187.66399999999999</v>
      </c>
      <c r="AG19" s="78">
        <v>187.66399999999999</v>
      </c>
      <c r="AH19" s="78">
        <v>0</v>
      </c>
      <c r="AI19" s="82"/>
      <c r="AJ19" s="82">
        <v>25884.241159752</v>
      </c>
      <c r="AK19" s="78">
        <v>0</v>
      </c>
      <c r="AL19" s="78">
        <v>25884.242900000001</v>
      </c>
      <c r="AM19" s="82">
        <v>79.039169169999994</v>
      </c>
      <c r="AN19" s="78">
        <v>0</v>
      </c>
      <c r="AO19" s="79">
        <v>79.039169169999994</v>
      </c>
      <c r="AP19" s="82">
        <v>0</v>
      </c>
      <c r="AQ19" s="78">
        <v>0</v>
      </c>
      <c r="AR19" s="52">
        <v>0</v>
      </c>
      <c r="AS19" s="48">
        <v>34.047642103999998</v>
      </c>
      <c r="AT19" s="78"/>
      <c r="AU19" s="52">
        <v>34.047642103999998</v>
      </c>
      <c r="AV19" s="48">
        <v>148.350440596</v>
      </c>
      <c r="AW19" s="52"/>
      <c r="AX19" s="52">
        <v>148.350440596</v>
      </c>
      <c r="AY19" s="87">
        <v>26333.342411622001</v>
      </c>
      <c r="AZ19" s="52">
        <v>187.66399999999999</v>
      </c>
      <c r="BA19" s="52">
        <v>26145.680151870001</v>
      </c>
      <c r="BB19" s="48"/>
      <c r="BC19" s="57">
        <v>3672.4253577539998</v>
      </c>
      <c r="BD19" s="57">
        <v>14287.918093631</v>
      </c>
      <c r="BE19" s="57">
        <v>44683.611133999992</v>
      </c>
      <c r="BF19" s="57">
        <v>0</v>
      </c>
      <c r="BG19" s="57">
        <v>62643.954585385</v>
      </c>
      <c r="BH19" s="46"/>
      <c r="BI19" s="57">
        <v>0</v>
      </c>
      <c r="BJ19" s="57">
        <v>0</v>
      </c>
      <c r="BK19" s="57"/>
      <c r="BL19" s="57"/>
      <c r="BM19" s="57">
        <v>912.10881299999994</v>
      </c>
      <c r="BN19" s="57"/>
      <c r="BO19" s="57">
        <v>912.10881299999994</v>
      </c>
      <c r="BP19" s="46"/>
      <c r="BQ19" s="87">
        <v>314694.602650007</v>
      </c>
      <c r="BR19" s="52">
        <v>203354.21249838496</v>
      </c>
      <c r="BS19" s="52">
        <v>111340.39189187001</v>
      </c>
    </row>
    <row r="20" spans="1:71" ht="12" customHeight="1" x14ac:dyDescent="0.2">
      <c r="A20" s="55">
        <v>2005</v>
      </c>
      <c r="B20" s="55" t="s">
        <v>3</v>
      </c>
      <c r="C20" s="82"/>
      <c r="D20" s="82">
        <v>14665.942800000001</v>
      </c>
      <c r="E20" s="78">
        <v>6462.9607999999998</v>
      </c>
      <c r="F20" s="78">
        <v>8202.982</v>
      </c>
      <c r="G20" s="82"/>
      <c r="H20" s="82"/>
      <c r="I20" s="82">
        <v>935.80128999999999</v>
      </c>
      <c r="J20" s="82">
        <v>0</v>
      </c>
      <c r="K20" s="82">
        <v>973.31269999999995</v>
      </c>
      <c r="L20" s="82"/>
      <c r="M20" s="82"/>
      <c r="N20" s="82">
        <v>5399.8771000000006</v>
      </c>
      <c r="O20" s="78">
        <v>5399.8771000000006</v>
      </c>
      <c r="P20" s="78">
        <v>0</v>
      </c>
      <c r="Q20" s="73">
        <v>21974.93389</v>
      </c>
      <c r="R20" s="78">
        <v>13771.95189</v>
      </c>
      <c r="S20" s="78">
        <v>8202.982</v>
      </c>
      <c r="T20" s="47"/>
      <c r="U20" s="57"/>
      <c r="V20" s="57"/>
      <c r="W20" s="57"/>
      <c r="X20" s="57"/>
      <c r="Y20" s="57">
        <v>0</v>
      </c>
      <c r="Z20" s="57">
        <v>0</v>
      </c>
      <c r="AA20" s="57">
        <v>0</v>
      </c>
      <c r="AB20" s="45"/>
      <c r="AC20" s="57">
        <v>0</v>
      </c>
      <c r="AD20" s="78">
        <v>0</v>
      </c>
      <c r="AE20" s="78"/>
      <c r="AF20" s="82">
        <v>63.75</v>
      </c>
      <c r="AG20" s="78">
        <v>63.75</v>
      </c>
      <c r="AH20" s="78">
        <v>0</v>
      </c>
      <c r="AI20" s="82"/>
      <c r="AJ20" s="82">
        <v>2262.1122439999999</v>
      </c>
      <c r="AK20" s="78">
        <v>0</v>
      </c>
      <c r="AL20" s="78">
        <v>2262.1120000000001</v>
      </c>
      <c r="AM20" s="82">
        <v>0</v>
      </c>
      <c r="AN20" s="78">
        <v>0</v>
      </c>
      <c r="AO20" s="79">
        <v>0</v>
      </c>
      <c r="AP20" s="82">
        <v>0</v>
      </c>
      <c r="AQ20" s="78">
        <v>0</v>
      </c>
      <c r="AR20" s="52">
        <v>0</v>
      </c>
      <c r="AS20" s="48"/>
      <c r="AT20" s="78"/>
      <c r="AU20" s="52">
        <v>0</v>
      </c>
      <c r="AV20" s="48"/>
      <c r="AW20" s="52"/>
      <c r="AX20" s="52">
        <v>0</v>
      </c>
      <c r="AY20" s="87">
        <v>2325.8622439999999</v>
      </c>
      <c r="AZ20" s="52">
        <v>63.75</v>
      </c>
      <c r="BA20" s="52">
        <v>2262.1120000000001</v>
      </c>
      <c r="BB20" s="48"/>
      <c r="BC20" s="57">
        <v>929.00524699999994</v>
      </c>
      <c r="BD20" s="57">
        <v>1823.5206446930003</v>
      </c>
      <c r="BE20" s="57">
        <v>4301.9348830000017</v>
      </c>
      <c r="BF20" s="57">
        <v>0</v>
      </c>
      <c r="BG20" s="57">
        <v>7054.4607746930023</v>
      </c>
      <c r="BH20" s="46"/>
      <c r="BI20" s="57">
        <v>0</v>
      </c>
      <c r="BJ20" s="57">
        <v>0</v>
      </c>
      <c r="BK20" s="57"/>
      <c r="BL20" s="57"/>
      <c r="BM20" s="57">
        <v>2128.9971960009998</v>
      </c>
      <c r="BN20" s="57"/>
      <c r="BO20" s="57">
        <v>2128.9971960009998</v>
      </c>
      <c r="BP20" s="46"/>
      <c r="BQ20" s="87">
        <v>33484.254104694002</v>
      </c>
      <c r="BR20" s="52">
        <v>23019.159860694002</v>
      </c>
      <c r="BS20" s="52">
        <v>10465.094000000001</v>
      </c>
    </row>
    <row r="21" spans="1:71" ht="12" customHeight="1" x14ac:dyDescent="0.2">
      <c r="A21" s="55">
        <v>2005</v>
      </c>
      <c r="B21" s="55" t="s">
        <v>4</v>
      </c>
      <c r="C21" s="82"/>
      <c r="D21" s="82">
        <v>15550.862399999998</v>
      </c>
      <c r="E21" s="78">
        <v>6677.6403</v>
      </c>
      <c r="F21" s="78">
        <v>8873.222099999999</v>
      </c>
      <c r="G21" s="82"/>
      <c r="H21" s="82"/>
      <c r="I21" s="82">
        <v>1774.3622000000003</v>
      </c>
      <c r="J21" s="82">
        <v>0</v>
      </c>
      <c r="K21" s="82">
        <v>484.19880000000006</v>
      </c>
      <c r="L21" s="82"/>
      <c r="M21" s="82"/>
      <c r="N21" s="82">
        <v>4468.4319999999998</v>
      </c>
      <c r="O21" s="78">
        <v>4468.4319999999998</v>
      </c>
      <c r="P21" s="78">
        <v>0</v>
      </c>
      <c r="Q21" s="73">
        <v>22277.855399999997</v>
      </c>
      <c r="R21" s="78">
        <v>13404.633300000001</v>
      </c>
      <c r="S21" s="78">
        <v>8873.222099999999</v>
      </c>
      <c r="T21" s="47"/>
      <c r="U21" s="57"/>
      <c r="V21" s="57"/>
      <c r="W21" s="57"/>
      <c r="X21" s="57"/>
      <c r="Y21" s="57">
        <v>0</v>
      </c>
      <c r="Z21" s="57">
        <v>0</v>
      </c>
      <c r="AA21" s="57">
        <v>0</v>
      </c>
      <c r="AB21" s="45"/>
      <c r="AC21" s="57">
        <v>0</v>
      </c>
      <c r="AD21" s="78">
        <v>0</v>
      </c>
      <c r="AE21" s="78"/>
      <c r="AF21" s="82">
        <v>0</v>
      </c>
      <c r="AG21" s="78">
        <v>0</v>
      </c>
      <c r="AH21" s="78">
        <v>0</v>
      </c>
      <c r="AI21" s="82"/>
      <c r="AJ21" s="82">
        <v>2046.6951650000001</v>
      </c>
      <c r="AK21" s="78">
        <v>0</v>
      </c>
      <c r="AL21" s="78">
        <v>2046.6949999999999</v>
      </c>
      <c r="AM21" s="82">
        <v>0</v>
      </c>
      <c r="AN21" s="78">
        <v>0</v>
      </c>
      <c r="AO21" s="79">
        <v>0</v>
      </c>
      <c r="AP21" s="82">
        <v>0</v>
      </c>
      <c r="AQ21" s="78">
        <v>0</v>
      </c>
      <c r="AR21" s="52">
        <v>0</v>
      </c>
      <c r="AS21" s="48"/>
      <c r="AT21" s="78"/>
      <c r="AU21" s="52">
        <v>0</v>
      </c>
      <c r="AV21" s="48"/>
      <c r="AW21" s="52"/>
      <c r="AX21" s="52">
        <v>0</v>
      </c>
      <c r="AY21" s="87">
        <v>2046.6951650000001</v>
      </c>
      <c r="AZ21" s="52">
        <v>0</v>
      </c>
      <c r="BA21" s="52">
        <v>2046.6949999999999</v>
      </c>
      <c r="BB21" s="48"/>
      <c r="BC21" s="57">
        <v>908.65110699999991</v>
      </c>
      <c r="BD21" s="57">
        <v>1748.2217846630001</v>
      </c>
      <c r="BE21" s="57">
        <v>3711.8447809999998</v>
      </c>
      <c r="BF21" s="57">
        <v>0</v>
      </c>
      <c r="BG21" s="57">
        <v>6368.7176726629996</v>
      </c>
      <c r="BH21" s="46"/>
      <c r="BI21" s="57">
        <v>0</v>
      </c>
      <c r="BJ21" s="57">
        <v>0</v>
      </c>
      <c r="BK21" s="57"/>
      <c r="BL21" s="57"/>
      <c r="BM21" s="57">
        <v>911.83948799999996</v>
      </c>
      <c r="BN21" s="57"/>
      <c r="BO21" s="57">
        <v>911.83948799999996</v>
      </c>
      <c r="BP21" s="46"/>
      <c r="BQ21" s="87">
        <v>31605.107725662998</v>
      </c>
      <c r="BR21" s="52">
        <v>20685.190460663001</v>
      </c>
      <c r="BS21" s="52">
        <v>10919.917099999999</v>
      </c>
    </row>
    <row r="22" spans="1:71" ht="12" customHeight="1" x14ac:dyDescent="0.2">
      <c r="A22" s="55">
        <v>2005</v>
      </c>
      <c r="B22" s="55" t="s">
        <v>5</v>
      </c>
      <c r="C22" s="82"/>
      <c r="D22" s="82">
        <v>16119.762199999997</v>
      </c>
      <c r="E22" s="78">
        <v>6676.8742999999986</v>
      </c>
      <c r="F22" s="78">
        <v>9442.8878999999997</v>
      </c>
      <c r="G22" s="82"/>
      <c r="H22" s="82"/>
      <c r="I22" s="82">
        <v>1847.0380000000002</v>
      </c>
      <c r="J22" s="82">
        <v>0</v>
      </c>
      <c r="K22" s="82">
        <v>728.35039999999992</v>
      </c>
      <c r="L22" s="82"/>
      <c r="M22" s="82"/>
      <c r="N22" s="82">
        <v>6309.7880999999998</v>
      </c>
      <c r="O22" s="78">
        <v>6309.7880999999998</v>
      </c>
      <c r="P22" s="78">
        <v>0</v>
      </c>
      <c r="Q22" s="73">
        <v>25004.938699999995</v>
      </c>
      <c r="R22" s="78">
        <v>15562.050799999997</v>
      </c>
      <c r="S22" s="78">
        <v>9442.8878999999997</v>
      </c>
      <c r="T22" s="47"/>
      <c r="U22" s="57"/>
      <c r="V22" s="57"/>
      <c r="W22" s="57"/>
      <c r="X22" s="57"/>
      <c r="Y22" s="57">
        <v>0</v>
      </c>
      <c r="Z22" s="57">
        <v>1499.849892</v>
      </c>
      <c r="AA22" s="57">
        <v>1499.849892</v>
      </c>
      <c r="AB22" s="45"/>
      <c r="AC22" s="57">
        <v>0</v>
      </c>
      <c r="AD22" s="78">
        <v>0</v>
      </c>
      <c r="AE22" s="78"/>
      <c r="AF22" s="82">
        <v>56.393000000000001</v>
      </c>
      <c r="AG22" s="78">
        <v>56.393000000000001</v>
      </c>
      <c r="AH22" s="78">
        <v>0</v>
      </c>
      <c r="AI22" s="82"/>
      <c r="AJ22" s="82">
        <v>2249.5480070000003</v>
      </c>
      <c r="AK22" s="78">
        <v>0</v>
      </c>
      <c r="AL22" s="78">
        <v>2249.5479999999998</v>
      </c>
      <c r="AM22" s="82">
        <v>0</v>
      </c>
      <c r="AN22" s="78">
        <v>0</v>
      </c>
      <c r="AO22" s="79">
        <v>0</v>
      </c>
      <c r="AP22" s="82">
        <v>0</v>
      </c>
      <c r="AQ22" s="78">
        <v>0</v>
      </c>
      <c r="AR22" s="52">
        <v>0</v>
      </c>
      <c r="AS22" s="48"/>
      <c r="AT22" s="78"/>
      <c r="AU22" s="52">
        <v>0</v>
      </c>
      <c r="AV22" s="48"/>
      <c r="AW22" s="52"/>
      <c r="AX22" s="52">
        <v>0</v>
      </c>
      <c r="AY22" s="87">
        <v>2305.9410070000004</v>
      </c>
      <c r="AZ22" s="52">
        <v>56.393000000000001</v>
      </c>
      <c r="BA22" s="52">
        <v>2249.5479999999998</v>
      </c>
      <c r="BB22" s="48"/>
      <c r="BC22" s="57">
        <v>920.90714900000012</v>
      </c>
      <c r="BD22" s="57">
        <v>1627.5263425000001</v>
      </c>
      <c r="BE22" s="57">
        <v>3436.9731299999999</v>
      </c>
      <c r="BF22" s="57">
        <v>0</v>
      </c>
      <c r="BG22" s="57">
        <v>5985.4066215000003</v>
      </c>
      <c r="BH22" s="46"/>
      <c r="BI22" s="57">
        <v>0</v>
      </c>
      <c r="BJ22" s="57">
        <v>0</v>
      </c>
      <c r="BK22" s="57"/>
      <c r="BL22" s="57"/>
      <c r="BM22" s="57">
        <v>0</v>
      </c>
      <c r="BN22" s="57"/>
      <c r="BO22" s="57">
        <v>0</v>
      </c>
      <c r="BP22" s="46"/>
      <c r="BQ22" s="87">
        <v>34796.136220499997</v>
      </c>
      <c r="BR22" s="52">
        <v>23103.700313499998</v>
      </c>
      <c r="BS22" s="52">
        <v>11692.4359</v>
      </c>
    </row>
    <row r="23" spans="1:71" ht="12" customHeight="1" x14ac:dyDescent="0.2">
      <c r="A23" s="55">
        <v>2005</v>
      </c>
      <c r="B23" s="55" t="s">
        <v>6</v>
      </c>
      <c r="C23" s="82"/>
      <c r="D23" s="82">
        <v>13439.936699999998</v>
      </c>
      <c r="E23" s="78">
        <v>4692.3760999999995</v>
      </c>
      <c r="F23" s="78">
        <v>8747.5605999999989</v>
      </c>
      <c r="G23" s="82"/>
      <c r="H23" s="82"/>
      <c r="I23" s="82">
        <v>3902.7077100000006</v>
      </c>
      <c r="J23" s="82">
        <v>0</v>
      </c>
      <c r="K23" s="82">
        <v>729.36920000000009</v>
      </c>
      <c r="L23" s="82"/>
      <c r="M23" s="82"/>
      <c r="N23" s="82">
        <v>4672.7844000000005</v>
      </c>
      <c r="O23" s="78">
        <v>4672.7844000000005</v>
      </c>
      <c r="P23" s="78">
        <v>0</v>
      </c>
      <c r="Q23" s="73">
        <v>22744.798009999999</v>
      </c>
      <c r="R23" s="78">
        <v>13997.237410000002</v>
      </c>
      <c r="S23" s="78">
        <v>8747.5605999999989</v>
      </c>
      <c r="T23" s="47"/>
      <c r="U23" s="57"/>
      <c r="V23" s="57"/>
      <c r="W23" s="57"/>
      <c r="X23" s="57"/>
      <c r="Y23" s="57">
        <v>0</v>
      </c>
      <c r="Z23" s="57">
        <v>0</v>
      </c>
      <c r="AA23" s="57">
        <v>0</v>
      </c>
      <c r="AB23" s="45"/>
      <c r="AC23" s="57">
        <v>0</v>
      </c>
      <c r="AD23" s="78">
        <v>0</v>
      </c>
      <c r="AE23" s="78"/>
      <c r="AF23" s="82">
        <v>55.273000000000003</v>
      </c>
      <c r="AG23" s="78">
        <v>55.273000000000003</v>
      </c>
      <c r="AH23" s="78">
        <v>0</v>
      </c>
      <c r="AI23" s="82"/>
      <c r="AJ23" s="82">
        <v>2188.0941209999996</v>
      </c>
      <c r="AK23" s="78">
        <v>0</v>
      </c>
      <c r="AL23" s="78">
        <v>2188.0940000000001</v>
      </c>
      <c r="AM23" s="82">
        <v>0</v>
      </c>
      <c r="AN23" s="78">
        <v>0</v>
      </c>
      <c r="AO23" s="79">
        <v>0</v>
      </c>
      <c r="AP23" s="82">
        <v>0</v>
      </c>
      <c r="AQ23" s="78">
        <v>0</v>
      </c>
      <c r="AR23" s="52">
        <v>0</v>
      </c>
      <c r="AS23" s="48"/>
      <c r="AT23" s="78"/>
      <c r="AU23" s="52">
        <v>0</v>
      </c>
      <c r="AV23" s="48"/>
      <c r="AW23" s="52"/>
      <c r="AX23" s="52">
        <v>0</v>
      </c>
      <c r="AY23" s="87">
        <v>2243.3671209999998</v>
      </c>
      <c r="AZ23" s="52">
        <v>55.273000000000003</v>
      </c>
      <c r="BA23" s="52">
        <v>2188.0940000000001</v>
      </c>
      <c r="BB23" s="48"/>
      <c r="BC23" s="57">
        <v>0</v>
      </c>
      <c r="BD23" s="57">
        <v>1776.8264513999998</v>
      </c>
      <c r="BE23" s="57">
        <v>5294.2199709999995</v>
      </c>
      <c r="BF23" s="57">
        <v>0</v>
      </c>
      <c r="BG23" s="57">
        <v>7071.0464223999988</v>
      </c>
      <c r="BH23" s="46"/>
      <c r="BI23" s="57">
        <v>0</v>
      </c>
      <c r="BJ23" s="57">
        <v>0</v>
      </c>
      <c r="BK23" s="57"/>
      <c r="BL23" s="57"/>
      <c r="BM23" s="57">
        <v>0</v>
      </c>
      <c r="BN23" s="57"/>
      <c r="BO23" s="57">
        <v>0</v>
      </c>
      <c r="BP23" s="46"/>
      <c r="BQ23" s="87">
        <v>32059.211553399997</v>
      </c>
      <c r="BR23" s="52">
        <v>21123.556832399998</v>
      </c>
      <c r="BS23" s="52">
        <v>10935.654599999998</v>
      </c>
    </row>
    <row r="24" spans="1:71" ht="12" customHeight="1" x14ac:dyDescent="0.2">
      <c r="A24" s="55">
        <v>2005</v>
      </c>
      <c r="B24" s="55" t="s">
        <v>7</v>
      </c>
      <c r="C24" s="82"/>
      <c r="D24" s="82">
        <v>13017.129000000001</v>
      </c>
      <c r="E24" s="78">
        <v>4048.3016000000002</v>
      </c>
      <c r="F24" s="78">
        <v>8968.8274000000001</v>
      </c>
      <c r="G24" s="82"/>
      <c r="H24" s="82"/>
      <c r="I24" s="82">
        <v>1768.0127399999999</v>
      </c>
      <c r="J24" s="82">
        <v>0</v>
      </c>
      <c r="K24" s="82">
        <v>731.178</v>
      </c>
      <c r="L24" s="82"/>
      <c r="M24" s="82"/>
      <c r="N24" s="82">
        <v>5949.7918999999993</v>
      </c>
      <c r="O24" s="78">
        <v>5949.7918999999993</v>
      </c>
      <c r="P24" s="78">
        <v>0</v>
      </c>
      <c r="Q24" s="73">
        <v>21466.111639999999</v>
      </c>
      <c r="R24" s="78">
        <v>12497.284239999999</v>
      </c>
      <c r="S24" s="78">
        <v>8968.8274000000001</v>
      </c>
      <c r="T24" s="47"/>
      <c r="U24" s="57"/>
      <c r="V24" s="57"/>
      <c r="W24" s="57"/>
      <c r="X24" s="57"/>
      <c r="Y24" s="57">
        <v>0</v>
      </c>
      <c r="Z24" s="57">
        <v>0</v>
      </c>
      <c r="AA24" s="57">
        <v>0</v>
      </c>
      <c r="AB24" s="45"/>
      <c r="AC24" s="57">
        <v>0</v>
      </c>
      <c r="AD24" s="78">
        <v>0</v>
      </c>
      <c r="AE24" s="78"/>
      <c r="AF24" s="82">
        <v>0</v>
      </c>
      <c r="AG24" s="78">
        <v>0</v>
      </c>
      <c r="AH24" s="78">
        <v>0</v>
      </c>
      <c r="AI24" s="82"/>
      <c r="AJ24" s="82">
        <v>2058.7622940000001</v>
      </c>
      <c r="AK24" s="78">
        <v>0</v>
      </c>
      <c r="AL24" s="78">
        <v>2058.7620000000002</v>
      </c>
      <c r="AM24" s="82">
        <v>0</v>
      </c>
      <c r="AN24" s="78">
        <v>0</v>
      </c>
      <c r="AO24" s="79">
        <v>0</v>
      </c>
      <c r="AP24" s="82">
        <v>0</v>
      </c>
      <c r="AQ24" s="78">
        <v>0</v>
      </c>
      <c r="AR24" s="52">
        <v>0</v>
      </c>
      <c r="AS24" s="48"/>
      <c r="AT24" s="78"/>
      <c r="AU24" s="52">
        <v>0</v>
      </c>
      <c r="AV24" s="48"/>
      <c r="AW24" s="52"/>
      <c r="AX24" s="52">
        <v>0</v>
      </c>
      <c r="AY24" s="87">
        <v>2058.7622940000001</v>
      </c>
      <c r="AZ24" s="52">
        <v>0</v>
      </c>
      <c r="BA24" s="52">
        <v>2058.7620000000002</v>
      </c>
      <c r="BB24" s="48"/>
      <c r="BC24" s="57">
        <v>0</v>
      </c>
      <c r="BD24" s="57">
        <v>376.78073000000006</v>
      </c>
      <c r="BE24" s="57">
        <v>5468.7581899999996</v>
      </c>
      <c r="BF24" s="57">
        <v>0</v>
      </c>
      <c r="BG24" s="57">
        <v>5845.53892</v>
      </c>
      <c r="BH24" s="46"/>
      <c r="BI24" s="57">
        <v>0</v>
      </c>
      <c r="BJ24" s="57">
        <v>0</v>
      </c>
      <c r="BK24" s="57"/>
      <c r="BL24" s="57"/>
      <c r="BM24" s="57">
        <v>0</v>
      </c>
      <c r="BN24" s="57"/>
      <c r="BO24" s="57">
        <v>0</v>
      </c>
      <c r="BP24" s="46"/>
      <c r="BQ24" s="87">
        <v>29370.412853999998</v>
      </c>
      <c r="BR24" s="52">
        <v>18342.82316</v>
      </c>
      <c r="BS24" s="52">
        <v>11027.589400000001</v>
      </c>
    </row>
    <row r="25" spans="1:71" ht="12" customHeight="1" x14ac:dyDescent="0.2">
      <c r="A25" s="55">
        <v>2005</v>
      </c>
      <c r="B25" s="55" t="s">
        <v>8</v>
      </c>
      <c r="C25" s="82"/>
      <c r="D25" s="82">
        <v>11453.078259999998</v>
      </c>
      <c r="E25" s="78">
        <v>3149.7106599999997</v>
      </c>
      <c r="F25" s="78">
        <v>8303.3675999999996</v>
      </c>
      <c r="G25" s="82"/>
      <c r="H25" s="82"/>
      <c r="I25" s="82">
        <v>4356.2932699999992</v>
      </c>
      <c r="J25" s="82">
        <v>0</v>
      </c>
      <c r="K25" s="82">
        <v>728.18809999999996</v>
      </c>
      <c r="L25" s="82"/>
      <c r="M25" s="82"/>
      <c r="N25" s="82">
        <v>6011.9969099999998</v>
      </c>
      <c r="O25" s="78">
        <v>6011.9969099999998</v>
      </c>
      <c r="P25" s="78">
        <v>0</v>
      </c>
      <c r="Q25" s="73">
        <v>22549.556539999998</v>
      </c>
      <c r="R25" s="78">
        <v>14246.188939999998</v>
      </c>
      <c r="S25" s="78">
        <v>8303.3675999999996</v>
      </c>
      <c r="T25" s="47"/>
      <c r="U25" s="57"/>
      <c r="V25" s="57"/>
      <c r="W25" s="57"/>
      <c r="X25" s="57"/>
      <c r="Y25" s="57">
        <v>0</v>
      </c>
      <c r="Z25" s="57">
        <v>0</v>
      </c>
      <c r="AA25" s="57">
        <v>0</v>
      </c>
      <c r="AB25" s="45"/>
      <c r="AC25" s="57">
        <v>0</v>
      </c>
      <c r="AD25" s="78">
        <v>0</v>
      </c>
      <c r="AE25" s="78"/>
      <c r="AF25" s="82">
        <v>43.783774000000001</v>
      </c>
      <c r="AG25" s="78">
        <v>37.942999999999998</v>
      </c>
      <c r="AH25" s="78">
        <v>5.84077</v>
      </c>
      <c r="AI25" s="82"/>
      <c r="AJ25" s="82">
        <v>2153.5523760000001</v>
      </c>
      <c r="AK25" s="78">
        <v>0</v>
      </c>
      <c r="AL25" s="78">
        <v>2153.5529999999999</v>
      </c>
      <c r="AM25" s="82">
        <v>0</v>
      </c>
      <c r="AN25" s="78">
        <v>0</v>
      </c>
      <c r="AO25" s="79">
        <v>0</v>
      </c>
      <c r="AP25" s="82">
        <v>0</v>
      </c>
      <c r="AQ25" s="78">
        <v>0</v>
      </c>
      <c r="AR25" s="52">
        <v>0</v>
      </c>
      <c r="AS25" s="48"/>
      <c r="AT25" s="78"/>
      <c r="AU25" s="52">
        <v>0</v>
      </c>
      <c r="AV25" s="48"/>
      <c r="AW25" s="52"/>
      <c r="AX25" s="52">
        <v>0</v>
      </c>
      <c r="AY25" s="87">
        <v>2197.3361500000001</v>
      </c>
      <c r="AZ25" s="52">
        <v>37.942999999999998</v>
      </c>
      <c r="BA25" s="52">
        <v>2159.3937699999997</v>
      </c>
      <c r="BB25" s="48"/>
      <c r="BC25" s="57">
        <v>0</v>
      </c>
      <c r="BD25" s="57">
        <v>1917.0831599799997</v>
      </c>
      <c r="BE25" s="57">
        <v>5036.7294840000004</v>
      </c>
      <c r="BF25" s="57">
        <v>0</v>
      </c>
      <c r="BG25" s="57">
        <v>6953.8126439799998</v>
      </c>
      <c r="BH25" s="46"/>
      <c r="BI25" s="57">
        <v>0</v>
      </c>
      <c r="BJ25" s="57">
        <v>0</v>
      </c>
      <c r="BK25" s="57"/>
      <c r="BL25" s="57"/>
      <c r="BM25" s="57">
        <v>0</v>
      </c>
      <c r="BN25" s="57"/>
      <c r="BO25" s="57">
        <v>0</v>
      </c>
      <c r="BP25" s="46"/>
      <c r="BQ25" s="87">
        <v>31700.705333979997</v>
      </c>
      <c r="BR25" s="52">
        <v>21237.944583979996</v>
      </c>
      <c r="BS25" s="52">
        <v>10462.76137</v>
      </c>
    </row>
    <row r="26" spans="1:71" ht="12" customHeight="1" x14ac:dyDescent="0.2">
      <c r="A26" s="55">
        <v>2005</v>
      </c>
      <c r="B26" s="55" t="s">
        <v>9</v>
      </c>
      <c r="C26" s="82"/>
      <c r="D26" s="82">
        <v>16171.383899999999</v>
      </c>
      <c r="E26" s="78">
        <v>7407.3673999999992</v>
      </c>
      <c r="F26" s="78">
        <v>8764.0164999999997</v>
      </c>
      <c r="G26" s="82"/>
      <c r="H26" s="82"/>
      <c r="I26" s="82">
        <v>3260.7507000000001</v>
      </c>
      <c r="J26" s="82">
        <v>0</v>
      </c>
      <c r="K26" s="82">
        <v>729.32159999999999</v>
      </c>
      <c r="L26" s="82"/>
      <c r="M26" s="82"/>
      <c r="N26" s="82">
        <v>5236.1040999999996</v>
      </c>
      <c r="O26" s="78">
        <v>5236.1040999999996</v>
      </c>
      <c r="P26" s="78">
        <v>0</v>
      </c>
      <c r="Q26" s="73">
        <v>25397.560299999997</v>
      </c>
      <c r="R26" s="78">
        <v>16633.543799999999</v>
      </c>
      <c r="S26" s="78">
        <v>8764.0164999999997</v>
      </c>
      <c r="T26" s="47"/>
      <c r="U26" s="57"/>
      <c r="V26" s="57"/>
      <c r="W26" s="57"/>
      <c r="X26" s="57"/>
      <c r="Y26" s="57">
        <v>0</v>
      </c>
      <c r="Z26" s="57">
        <v>0</v>
      </c>
      <c r="AA26" s="57">
        <v>0</v>
      </c>
      <c r="AB26" s="45"/>
      <c r="AC26" s="57">
        <v>0</v>
      </c>
      <c r="AD26" s="78">
        <v>0</v>
      </c>
      <c r="AE26" s="78"/>
      <c r="AF26" s="82">
        <v>359.65588700000001</v>
      </c>
      <c r="AG26" s="78">
        <v>359.65590000000003</v>
      </c>
      <c r="AH26" s="78">
        <v>0</v>
      </c>
      <c r="AI26" s="82"/>
      <c r="AJ26" s="82">
        <v>1683.0371810000001</v>
      </c>
      <c r="AK26" s="78">
        <v>0</v>
      </c>
      <c r="AL26" s="78">
        <v>1683.037</v>
      </c>
      <c r="AM26" s="82">
        <v>0</v>
      </c>
      <c r="AN26" s="78">
        <v>0</v>
      </c>
      <c r="AO26" s="79">
        <v>0</v>
      </c>
      <c r="AP26" s="82">
        <v>0</v>
      </c>
      <c r="AQ26" s="78">
        <v>0</v>
      </c>
      <c r="AR26" s="52">
        <v>0</v>
      </c>
      <c r="AS26" s="48"/>
      <c r="AT26" s="78"/>
      <c r="AU26" s="52">
        <v>0</v>
      </c>
      <c r="AV26" s="48"/>
      <c r="AW26" s="52"/>
      <c r="AX26" s="52">
        <v>0</v>
      </c>
      <c r="AY26" s="87">
        <v>2042.693068</v>
      </c>
      <c r="AZ26" s="52">
        <v>359.65590000000003</v>
      </c>
      <c r="BA26" s="52">
        <v>1683.037</v>
      </c>
      <c r="BB26" s="48"/>
      <c r="BC26" s="57">
        <v>0</v>
      </c>
      <c r="BD26" s="57">
        <v>2399.8330860000001</v>
      </c>
      <c r="BE26" s="57">
        <v>4892.8305281259991</v>
      </c>
      <c r="BF26" s="57">
        <v>0</v>
      </c>
      <c r="BG26" s="57">
        <v>7292.6636141259987</v>
      </c>
      <c r="BH26" s="46"/>
      <c r="BI26" s="57">
        <v>0</v>
      </c>
      <c r="BJ26" s="57">
        <v>0</v>
      </c>
      <c r="BK26" s="57"/>
      <c r="BL26" s="57"/>
      <c r="BM26" s="57">
        <v>0</v>
      </c>
      <c r="BN26" s="57"/>
      <c r="BO26" s="57">
        <v>0</v>
      </c>
      <c r="BP26" s="46"/>
      <c r="BQ26" s="87">
        <v>34732.916982126</v>
      </c>
      <c r="BR26" s="52">
        <v>24285.863314126</v>
      </c>
      <c r="BS26" s="52">
        <v>10447.0535</v>
      </c>
    </row>
    <row r="27" spans="1:71" ht="12" customHeight="1" x14ac:dyDescent="0.2">
      <c r="A27" s="55">
        <v>2005</v>
      </c>
      <c r="B27" s="55" t="s">
        <v>10</v>
      </c>
      <c r="C27" s="82"/>
      <c r="D27" s="82">
        <v>11982.56868</v>
      </c>
      <c r="E27" s="78">
        <v>4626.8671599999998</v>
      </c>
      <c r="F27" s="78">
        <v>7355.7015200000014</v>
      </c>
      <c r="G27" s="82"/>
      <c r="H27" s="82"/>
      <c r="I27" s="82">
        <v>1726.9074099999996</v>
      </c>
      <c r="J27" s="82">
        <v>0</v>
      </c>
      <c r="K27" s="82">
        <v>730.01499999999999</v>
      </c>
      <c r="L27" s="82"/>
      <c r="M27" s="82"/>
      <c r="N27" s="82">
        <v>5365.560919999999</v>
      </c>
      <c r="O27" s="78">
        <v>5365.560919999999</v>
      </c>
      <c r="P27" s="78">
        <v>0</v>
      </c>
      <c r="Q27" s="73">
        <v>19805.052010000003</v>
      </c>
      <c r="R27" s="78">
        <v>12449.350489999999</v>
      </c>
      <c r="S27" s="78">
        <v>7355.7015200000014</v>
      </c>
      <c r="T27" s="47"/>
      <c r="U27" s="57"/>
      <c r="V27" s="57"/>
      <c r="W27" s="57"/>
      <c r="X27" s="57"/>
      <c r="Y27" s="57">
        <v>0</v>
      </c>
      <c r="Z27" s="57">
        <v>0</v>
      </c>
      <c r="AA27" s="57">
        <v>0</v>
      </c>
      <c r="AB27" s="45"/>
      <c r="AC27" s="57">
        <v>0</v>
      </c>
      <c r="AD27" s="78">
        <v>0</v>
      </c>
      <c r="AE27" s="78"/>
      <c r="AF27" s="82">
        <v>11.946093000000001</v>
      </c>
      <c r="AG27" s="78">
        <v>0</v>
      </c>
      <c r="AH27" s="78">
        <v>11.94609</v>
      </c>
      <c r="AI27" s="82"/>
      <c r="AJ27" s="82">
        <v>1430.5126459999999</v>
      </c>
      <c r="AK27" s="78">
        <v>0</v>
      </c>
      <c r="AL27" s="78">
        <v>1430.5129999999999</v>
      </c>
      <c r="AM27" s="82">
        <v>0</v>
      </c>
      <c r="AN27" s="78">
        <v>0</v>
      </c>
      <c r="AO27" s="79">
        <v>0</v>
      </c>
      <c r="AP27" s="82">
        <v>0</v>
      </c>
      <c r="AQ27" s="78">
        <v>0</v>
      </c>
      <c r="AR27" s="52">
        <v>0</v>
      </c>
      <c r="AS27" s="48"/>
      <c r="AT27" s="78"/>
      <c r="AU27" s="52">
        <v>0</v>
      </c>
      <c r="AV27" s="48"/>
      <c r="AW27" s="52"/>
      <c r="AX27" s="52">
        <v>0</v>
      </c>
      <c r="AY27" s="87">
        <v>1442.4587389999999</v>
      </c>
      <c r="AZ27" s="52">
        <v>0</v>
      </c>
      <c r="BA27" s="52">
        <v>1442.4590899999998</v>
      </c>
      <c r="BB27" s="48"/>
      <c r="BC27" s="57">
        <v>0</v>
      </c>
      <c r="BD27" s="57">
        <v>924.67048999999997</v>
      </c>
      <c r="BE27" s="57">
        <v>5760.9630189999998</v>
      </c>
      <c r="BF27" s="57">
        <v>0</v>
      </c>
      <c r="BG27" s="57">
        <v>6685.6335089999993</v>
      </c>
      <c r="BH27" s="46"/>
      <c r="BI27" s="57">
        <v>0</v>
      </c>
      <c r="BJ27" s="57">
        <v>0</v>
      </c>
      <c r="BK27" s="57"/>
      <c r="BL27" s="57"/>
      <c r="BM27" s="57">
        <v>0</v>
      </c>
      <c r="BN27" s="57"/>
      <c r="BO27" s="57">
        <v>0</v>
      </c>
      <c r="BP27" s="46"/>
      <c r="BQ27" s="87">
        <v>27933.144258000004</v>
      </c>
      <c r="BR27" s="52">
        <v>19134.983998999996</v>
      </c>
      <c r="BS27" s="52">
        <v>8798.1606100000008</v>
      </c>
    </row>
    <row r="28" spans="1:71" ht="12" customHeight="1" x14ac:dyDescent="0.2">
      <c r="A28" s="55">
        <v>2005</v>
      </c>
      <c r="B28" s="55" t="s">
        <v>11</v>
      </c>
      <c r="C28" s="82"/>
      <c r="D28" s="82">
        <v>12390.257819999995</v>
      </c>
      <c r="E28" s="78">
        <v>4333.0761199999997</v>
      </c>
      <c r="F28" s="78">
        <v>8057.1816999999955</v>
      </c>
      <c r="G28" s="82"/>
      <c r="H28" s="82"/>
      <c r="I28" s="82">
        <v>3548.1437099999998</v>
      </c>
      <c r="J28" s="82">
        <v>0</v>
      </c>
      <c r="K28" s="82">
        <v>1733.8467000000003</v>
      </c>
      <c r="L28" s="82"/>
      <c r="M28" s="82"/>
      <c r="N28" s="82">
        <v>1969.9874</v>
      </c>
      <c r="O28" s="78">
        <v>1969.9874</v>
      </c>
      <c r="P28" s="78">
        <v>0</v>
      </c>
      <c r="Q28" s="73">
        <v>19642.235629999996</v>
      </c>
      <c r="R28" s="78">
        <v>11585.05393</v>
      </c>
      <c r="S28" s="78">
        <v>8057.1816999999955</v>
      </c>
      <c r="T28" s="47"/>
      <c r="U28" s="57"/>
      <c r="V28" s="57"/>
      <c r="W28" s="57"/>
      <c r="X28" s="57"/>
      <c r="Y28" s="57">
        <v>0</v>
      </c>
      <c r="Z28" s="57">
        <v>0</v>
      </c>
      <c r="AA28" s="57">
        <v>0</v>
      </c>
      <c r="AB28" s="45"/>
      <c r="AC28" s="57">
        <v>0</v>
      </c>
      <c r="AD28" s="78">
        <v>0</v>
      </c>
      <c r="AE28" s="78"/>
      <c r="AF28" s="82">
        <v>246.03386300000003</v>
      </c>
      <c r="AG28" s="78">
        <v>230.03389999999999</v>
      </c>
      <c r="AH28" s="78">
        <v>16</v>
      </c>
      <c r="AI28" s="82"/>
      <c r="AJ28" s="82">
        <v>1952.124466</v>
      </c>
      <c r="AK28" s="78">
        <v>0</v>
      </c>
      <c r="AL28" s="78">
        <v>1952.125</v>
      </c>
      <c r="AM28" s="82">
        <v>0</v>
      </c>
      <c r="AN28" s="78">
        <v>0</v>
      </c>
      <c r="AO28" s="79">
        <v>0</v>
      </c>
      <c r="AP28" s="82">
        <v>0</v>
      </c>
      <c r="AQ28" s="78">
        <v>0</v>
      </c>
      <c r="AR28" s="52">
        <v>0</v>
      </c>
      <c r="AS28" s="48"/>
      <c r="AT28" s="78"/>
      <c r="AU28" s="52">
        <v>0</v>
      </c>
      <c r="AV28" s="48"/>
      <c r="AW28" s="52"/>
      <c r="AX28" s="52">
        <v>0</v>
      </c>
      <c r="AY28" s="87">
        <v>2198.1583289999999</v>
      </c>
      <c r="AZ28" s="52">
        <v>230.03389999999999</v>
      </c>
      <c r="BA28" s="52">
        <v>1968.125</v>
      </c>
      <c r="BB28" s="48"/>
      <c r="BC28" s="57">
        <v>0</v>
      </c>
      <c r="BD28" s="57">
        <v>1851.372633</v>
      </c>
      <c r="BE28" s="57">
        <v>6212.8715769999999</v>
      </c>
      <c r="BF28" s="57">
        <v>0</v>
      </c>
      <c r="BG28" s="57">
        <v>8064.2442099999998</v>
      </c>
      <c r="BH28" s="46"/>
      <c r="BI28" s="57">
        <v>0</v>
      </c>
      <c r="BJ28" s="57">
        <v>0</v>
      </c>
      <c r="BK28" s="57"/>
      <c r="BL28" s="57"/>
      <c r="BM28" s="57">
        <v>0</v>
      </c>
      <c r="BN28" s="57"/>
      <c r="BO28" s="57">
        <v>0</v>
      </c>
      <c r="BP28" s="46"/>
      <c r="BQ28" s="87">
        <v>29904.638168999994</v>
      </c>
      <c r="BR28" s="52">
        <v>19879.332040000001</v>
      </c>
      <c r="BS28" s="52">
        <v>10025.306699999996</v>
      </c>
    </row>
    <row r="29" spans="1:71" ht="12" customHeight="1" x14ac:dyDescent="0.2">
      <c r="A29" s="55">
        <v>2005</v>
      </c>
      <c r="B29" s="55" t="s">
        <v>12</v>
      </c>
      <c r="C29" s="82"/>
      <c r="D29" s="82">
        <v>12275.163280000001</v>
      </c>
      <c r="E29" s="78">
        <v>4908.3731400000006</v>
      </c>
      <c r="F29" s="78">
        <v>7366.790140000001</v>
      </c>
      <c r="G29" s="82"/>
      <c r="H29" s="82"/>
      <c r="I29" s="82">
        <v>2491.8417000000004</v>
      </c>
      <c r="J29" s="82">
        <v>0</v>
      </c>
      <c r="K29" s="82">
        <v>765.98169999999993</v>
      </c>
      <c r="L29" s="82"/>
      <c r="M29" s="82"/>
      <c r="N29" s="82">
        <v>4635.6437700000006</v>
      </c>
      <c r="O29" s="78">
        <v>4635.6437700000006</v>
      </c>
      <c r="P29" s="78">
        <v>0</v>
      </c>
      <c r="Q29" s="73">
        <v>20168.630450000001</v>
      </c>
      <c r="R29" s="78">
        <v>12801.840310000001</v>
      </c>
      <c r="S29" s="78">
        <v>7366.790140000001</v>
      </c>
      <c r="T29" s="47"/>
      <c r="U29" s="57"/>
      <c r="V29" s="57"/>
      <c r="W29" s="57"/>
      <c r="X29" s="57"/>
      <c r="Y29" s="57">
        <v>0</v>
      </c>
      <c r="Z29" s="57">
        <v>616.30448500000011</v>
      </c>
      <c r="AA29" s="57">
        <v>616.30448500000011</v>
      </c>
      <c r="AB29" s="45"/>
      <c r="AC29" s="57">
        <v>0</v>
      </c>
      <c r="AD29" s="78">
        <v>0</v>
      </c>
      <c r="AE29" s="78"/>
      <c r="AF29" s="82">
        <v>0</v>
      </c>
      <c r="AG29" s="78">
        <v>0</v>
      </c>
      <c r="AH29" s="78">
        <v>0</v>
      </c>
      <c r="AI29" s="82"/>
      <c r="AJ29" s="82">
        <v>2262.6966649999999</v>
      </c>
      <c r="AK29" s="78">
        <v>0</v>
      </c>
      <c r="AL29" s="78">
        <v>2262.6970000000001</v>
      </c>
      <c r="AM29" s="82">
        <v>0</v>
      </c>
      <c r="AN29" s="78">
        <v>0</v>
      </c>
      <c r="AO29" s="79">
        <v>0</v>
      </c>
      <c r="AP29" s="82">
        <v>0</v>
      </c>
      <c r="AQ29" s="78">
        <v>0</v>
      </c>
      <c r="AR29" s="52">
        <v>0</v>
      </c>
      <c r="AS29" s="48"/>
      <c r="AT29" s="78"/>
      <c r="AU29" s="52">
        <v>0</v>
      </c>
      <c r="AV29" s="48"/>
      <c r="AW29" s="52"/>
      <c r="AX29" s="52">
        <v>0</v>
      </c>
      <c r="AY29" s="87">
        <v>2262.6966649999999</v>
      </c>
      <c r="AZ29" s="52">
        <v>0</v>
      </c>
      <c r="BA29" s="52">
        <v>2262.6970000000001</v>
      </c>
      <c r="BB29" s="48"/>
      <c r="BC29" s="57">
        <v>0</v>
      </c>
      <c r="BD29" s="57">
        <v>2499.509325</v>
      </c>
      <c r="BE29" s="57">
        <v>3941.1336979999992</v>
      </c>
      <c r="BF29" s="57">
        <v>0</v>
      </c>
      <c r="BG29" s="57">
        <v>6440.6430229999987</v>
      </c>
      <c r="BH29" s="46"/>
      <c r="BI29" s="57">
        <v>0</v>
      </c>
      <c r="BJ29" s="57">
        <v>0</v>
      </c>
      <c r="BK29" s="57"/>
      <c r="BL29" s="57"/>
      <c r="BM29" s="57">
        <v>0</v>
      </c>
      <c r="BN29" s="57"/>
      <c r="BO29" s="57">
        <v>0</v>
      </c>
      <c r="BP29" s="46"/>
      <c r="BQ29" s="87">
        <v>29488.274622999998</v>
      </c>
      <c r="BR29" s="52">
        <v>19858.787818000001</v>
      </c>
      <c r="BS29" s="52">
        <v>9629.4871400000011</v>
      </c>
    </row>
    <row r="30" spans="1:71" ht="12" customHeight="1" x14ac:dyDescent="0.2">
      <c r="A30" s="55">
        <v>2005</v>
      </c>
      <c r="B30" s="55" t="s">
        <v>13</v>
      </c>
      <c r="C30" s="82"/>
      <c r="D30" s="82">
        <v>12590.6024</v>
      </c>
      <c r="E30" s="78">
        <v>3792.3044</v>
      </c>
      <c r="F30" s="78">
        <v>8798.2980000000007</v>
      </c>
      <c r="G30" s="82"/>
      <c r="H30" s="82"/>
      <c r="I30" s="82">
        <v>6850.8699399999996</v>
      </c>
      <c r="J30" s="82">
        <v>0</v>
      </c>
      <c r="K30" s="82">
        <v>1314.8030000000001</v>
      </c>
      <c r="L30" s="82"/>
      <c r="M30" s="82"/>
      <c r="N30" s="82">
        <v>4609.9358000000011</v>
      </c>
      <c r="O30" s="78">
        <v>4609.9358000000011</v>
      </c>
      <c r="P30" s="78">
        <v>0</v>
      </c>
      <c r="Q30" s="73">
        <v>25366.211139999999</v>
      </c>
      <c r="R30" s="78">
        <v>16567.913140000001</v>
      </c>
      <c r="S30" s="78">
        <v>8798.2980000000007</v>
      </c>
      <c r="T30" s="47"/>
      <c r="U30" s="57"/>
      <c r="V30" s="57"/>
      <c r="W30" s="57"/>
      <c r="X30" s="57"/>
      <c r="Y30" s="57">
        <v>0</v>
      </c>
      <c r="Z30" s="57">
        <v>835.51527899999996</v>
      </c>
      <c r="AA30" s="57">
        <v>835.51527899999996</v>
      </c>
      <c r="AB30" s="45"/>
      <c r="AC30" s="57">
        <v>0</v>
      </c>
      <c r="AD30" s="78">
        <v>0</v>
      </c>
      <c r="AE30" s="78"/>
      <c r="AF30" s="82">
        <v>0</v>
      </c>
      <c r="AG30" s="78">
        <v>0</v>
      </c>
      <c r="AH30" s="78">
        <v>0</v>
      </c>
      <c r="AI30" s="82"/>
      <c r="AJ30" s="82">
        <v>2173.7239500000001</v>
      </c>
      <c r="AK30" s="78">
        <v>0</v>
      </c>
      <c r="AL30" s="78">
        <v>2173.7240000000002</v>
      </c>
      <c r="AM30" s="82">
        <v>0</v>
      </c>
      <c r="AN30" s="78">
        <v>0</v>
      </c>
      <c r="AO30" s="79">
        <v>0</v>
      </c>
      <c r="AP30" s="82">
        <v>0</v>
      </c>
      <c r="AQ30" s="78">
        <v>0</v>
      </c>
      <c r="AR30" s="52">
        <v>0</v>
      </c>
      <c r="AS30" s="48"/>
      <c r="AT30" s="78"/>
      <c r="AU30" s="52">
        <v>0</v>
      </c>
      <c r="AV30" s="48"/>
      <c r="AW30" s="52"/>
      <c r="AX30" s="52">
        <v>0</v>
      </c>
      <c r="AY30" s="87">
        <v>2173.7239500000001</v>
      </c>
      <c r="AZ30" s="52">
        <v>0</v>
      </c>
      <c r="BA30" s="52">
        <v>2173.7240000000002</v>
      </c>
      <c r="BB30" s="48"/>
      <c r="BC30" s="57">
        <v>0</v>
      </c>
      <c r="BD30" s="57">
        <v>289.999999</v>
      </c>
      <c r="BE30" s="57">
        <v>3733.4382420000002</v>
      </c>
      <c r="BF30" s="57">
        <v>0</v>
      </c>
      <c r="BG30" s="57">
        <v>4023.4382410000003</v>
      </c>
      <c r="BH30" s="46"/>
      <c r="BI30" s="57">
        <v>0</v>
      </c>
      <c r="BJ30" s="57">
        <v>0</v>
      </c>
      <c r="BK30" s="57"/>
      <c r="BL30" s="57"/>
      <c r="BM30" s="57">
        <v>0</v>
      </c>
      <c r="BN30" s="57"/>
      <c r="BO30" s="57">
        <v>0</v>
      </c>
      <c r="BP30" s="46"/>
      <c r="BQ30" s="87">
        <v>32398.888609999998</v>
      </c>
      <c r="BR30" s="52">
        <v>21426.86666</v>
      </c>
      <c r="BS30" s="52">
        <v>10972.022000000001</v>
      </c>
    </row>
    <row r="31" spans="1:71" ht="12" customHeight="1" x14ac:dyDescent="0.2">
      <c r="A31" s="55">
        <v>2005</v>
      </c>
      <c r="B31" s="55" t="s">
        <v>14</v>
      </c>
      <c r="C31" s="82"/>
      <c r="D31" s="82">
        <v>11724.632099999999</v>
      </c>
      <c r="E31" s="78">
        <v>2297.9395999999997</v>
      </c>
      <c r="F31" s="78">
        <v>9426.6924999999992</v>
      </c>
      <c r="G31" s="82"/>
      <c r="H31" s="82"/>
      <c r="I31" s="82">
        <v>7082.6205099999997</v>
      </c>
      <c r="J31" s="82">
        <v>0</v>
      </c>
      <c r="K31" s="82">
        <v>992.75079999999991</v>
      </c>
      <c r="L31" s="82"/>
      <c r="M31" s="82"/>
      <c r="N31" s="82">
        <v>6648.7491999999993</v>
      </c>
      <c r="O31" s="78">
        <v>6648.7491999999993</v>
      </c>
      <c r="P31" s="78">
        <v>0</v>
      </c>
      <c r="Q31" s="73">
        <v>26448.75261</v>
      </c>
      <c r="R31" s="78">
        <v>17022.060109999999</v>
      </c>
      <c r="S31" s="78">
        <v>9426.6924999999992</v>
      </c>
      <c r="T31" s="47"/>
      <c r="U31" s="57"/>
      <c r="V31" s="57"/>
      <c r="W31" s="57"/>
      <c r="X31" s="57"/>
      <c r="Y31" s="57">
        <v>0</v>
      </c>
      <c r="Z31" s="57">
        <v>1580.335682854</v>
      </c>
      <c r="AA31" s="57">
        <v>1580.335682854</v>
      </c>
      <c r="AB31" s="45"/>
      <c r="AC31" s="57">
        <v>0</v>
      </c>
      <c r="AD31" s="78">
        <v>0</v>
      </c>
      <c r="AE31" s="78"/>
      <c r="AF31" s="82">
        <v>0</v>
      </c>
      <c r="AG31" s="78">
        <v>0</v>
      </c>
      <c r="AH31" s="78">
        <v>0</v>
      </c>
      <c r="AI31" s="82"/>
      <c r="AJ31" s="82">
        <v>2262.0100000000002</v>
      </c>
      <c r="AK31" s="78">
        <v>0</v>
      </c>
      <c r="AL31" s="78">
        <v>2262.0100000000002</v>
      </c>
      <c r="AM31" s="82">
        <v>0</v>
      </c>
      <c r="AN31" s="78">
        <v>0</v>
      </c>
      <c r="AO31" s="79">
        <v>0</v>
      </c>
      <c r="AP31" s="82">
        <v>0</v>
      </c>
      <c r="AQ31" s="78">
        <v>0</v>
      </c>
      <c r="AR31" s="52">
        <v>0</v>
      </c>
      <c r="AS31" s="48"/>
      <c r="AT31" s="78"/>
      <c r="AU31" s="52">
        <v>0</v>
      </c>
      <c r="AV31" s="48"/>
      <c r="AW31" s="52"/>
      <c r="AX31" s="52">
        <v>0</v>
      </c>
      <c r="AY31" s="87">
        <v>2262.0100000000002</v>
      </c>
      <c r="AZ31" s="52">
        <v>0</v>
      </c>
      <c r="BA31" s="52">
        <v>2262.0100000000002</v>
      </c>
      <c r="BB31" s="48"/>
      <c r="BC31" s="57">
        <v>0</v>
      </c>
      <c r="BD31" s="57">
        <v>2588.7174519999999</v>
      </c>
      <c r="BE31" s="57">
        <v>2563.2696559999999</v>
      </c>
      <c r="BF31" s="57">
        <v>0</v>
      </c>
      <c r="BG31" s="57">
        <v>5151.9871079999994</v>
      </c>
      <c r="BH31" s="46"/>
      <c r="BI31" s="57">
        <v>0</v>
      </c>
      <c r="BJ31" s="57">
        <v>0</v>
      </c>
      <c r="BK31" s="57"/>
      <c r="BL31" s="57"/>
      <c r="BM31" s="57">
        <v>0</v>
      </c>
      <c r="BN31" s="57"/>
      <c r="BO31" s="57">
        <v>0</v>
      </c>
      <c r="BP31" s="46"/>
      <c r="BQ31" s="87">
        <v>35443.085400854005</v>
      </c>
      <c r="BR31" s="52">
        <v>23754.382900853998</v>
      </c>
      <c r="BS31" s="52">
        <v>11688.702499999999</v>
      </c>
    </row>
    <row r="32" spans="1:71" ht="12" customHeight="1" x14ac:dyDescent="0.2">
      <c r="A32" s="55">
        <v>2005</v>
      </c>
      <c r="B32" s="55" t="s">
        <v>15</v>
      </c>
      <c r="C32" s="82"/>
      <c r="D32" s="82">
        <v>161381.31954</v>
      </c>
      <c r="E32" s="78">
        <v>59073.791579999997</v>
      </c>
      <c r="F32" s="78">
        <v>102307.52795999999</v>
      </c>
      <c r="G32" s="82"/>
      <c r="H32" s="82"/>
      <c r="I32" s="82">
        <v>39545.349180000005</v>
      </c>
      <c r="J32" s="82">
        <v>0</v>
      </c>
      <c r="K32" s="82">
        <v>10641.316000000001</v>
      </c>
      <c r="L32" s="82"/>
      <c r="M32" s="82"/>
      <c r="N32" s="82">
        <v>61278.65159999999</v>
      </c>
      <c r="O32" s="78">
        <v>61278.65159999999</v>
      </c>
      <c r="P32" s="78">
        <v>0</v>
      </c>
      <c r="Q32" s="73">
        <v>272846.63631999999</v>
      </c>
      <c r="R32" s="78">
        <v>170539.10836000001</v>
      </c>
      <c r="S32" s="78">
        <v>102307.52795999999</v>
      </c>
      <c r="T32" s="47"/>
      <c r="U32" s="57"/>
      <c r="V32" s="57"/>
      <c r="W32" s="57"/>
      <c r="X32" s="57"/>
      <c r="Y32" s="57">
        <v>0</v>
      </c>
      <c r="Z32" s="57">
        <v>4532.005338854</v>
      </c>
      <c r="AA32" s="57">
        <v>4532.005338854</v>
      </c>
      <c r="AB32" s="45"/>
      <c r="AC32" s="57">
        <v>0</v>
      </c>
      <c r="AD32" s="78">
        <v>0</v>
      </c>
      <c r="AE32" s="78"/>
      <c r="AF32" s="82">
        <v>836.83561700000007</v>
      </c>
      <c r="AG32" s="78">
        <v>803.04880000000003</v>
      </c>
      <c r="AH32" s="78">
        <v>33.786860000000004</v>
      </c>
      <c r="AI32" s="82"/>
      <c r="AJ32" s="82">
        <v>24722.869115000001</v>
      </c>
      <c r="AK32" s="78">
        <v>0</v>
      </c>
      <c r="AL32" s="78">
        <v>24722.870000000003</v>
      </c>
      <c r="AM32" s="82">
        <v>0</v>
      </c>
      <c r="AN32" s="78">
        <v>0</v>
      </c>
      <c r="AO32" s="79">
        <v>0</v>
      </c>
      <c r="AP32" s="82">
        <v>0</v>
      </c>
      <c r="AQ32" s="78">
        <v>0</v>
      </c>
      <c r="AR32" s="52">
        <v>0</v>
      </c>
      <c r="AS32" s="48"/>
      <c r="AT32" s="78"/>
      <c r="AU32" s="52">
        <v>0</v>
      </c>
      <c r="AV32" s="48"/>
      <c r="AW32" s="52"/>
      <c r="AX32" s="52">
        <v>0</v>
      </c>
      <c r="AY32" s="87">
        <v>25559.704731999998</v>
      </c>
      <c r="AZ32" s="52">
        <v>803.04880000000003</v>
      </c>
      <c r="BA32" s="52">
        <v>24756.656860000003</v>
      </c>
      <c r="BB32" s="48"/>
      <c r="BC32" s="57">
        <v>2758.5635029999999</v>
      </c>
      <c r="BD32" s="57">
        <v>19824.062098236001</v>
      </c>
      <c r="BE32" s="57">
        <v>54354.96715912599</v>
      </c>
      <c r="BF32" s="57">
        <v>0</v>
      </c>
      <c r="BG32" s="57">
        <v>76937.592760361993</v>
      </c>
      <c r="BH32" s="46"/>
      <c r="BI32" s="57">
        <v>0</v>
      </c>
      <c r="BJ32" s="57">
        <v>0</v>
      </c>
      <c r="BK32" s="57"/>
      <c r="BL32" s="57"/>
      <c r="BM32" s="57">
        <v>3040.8366840009999</v>
      </c>
      <c r="BN32" s="57"/>
      <c r="BO32" s="57">
        <v>3040.8366840009999</v>
      </c>
      <c r="BP32" s="46"/>
      <c r="BQ32" s="87">
        <v>382916.77583521698</v>
      </c>
      <c r="BR32" s="52">
        <v>255852.591943217</v>
      </c>
      <c r="BS32" s="52">
        <v>127064.18481999999</v>
      </c>
    </row>
    <row r="33" spans="1:71" ht="12" customHeight="1" x14ac:dyDescent="0.2">
      <c r="A33" s="55">
        <v>2006</v>
      </c>
      <c r="B33" s="55" t="s">
        <v>3</v>
      </c>
      <c r="C33" s="82"/>
      <c r="D33" s="82">
        <v>13331.723</v>
      </c>
      <c r="E33" s="78">
        <v>4703.5697</v>
      </c>
      <c r="F33" s="78">
        <v>8628.1532999999999</v>
      </c>
      <c r="G33" s="82"/>
      <c r="H33" s="82"/>
      <c r="I33" s="82">
        <v>7877.6487900000002</v>
      </c>
      <c r="J33" s="82">
        <v>0</v>
      </c>
      <c r="K33" s="82">
        <v>1285.8048999999999</v>
      </c>
      <c r="L33" s="82"/>
      <c r="M33" s="82"/>
      <c r="N33" s="82">
        <v>5129.8331099999996</v>
      </c>
      <c r="O33" s="78">
        <v>5129.8331099999996</v>
      </c>
      <c r="P33" s="78">
        <v>0</v>
      </c>
      <c r="Q33" s="73">
        <v>27625.009799999996</v>
      </c>
      <c r="R33" s="78">
        <v>18996.856499999998</v>
      </c>
      <c r="S33" s="78">
        <v>8628.1532999999999</v>
      </c>
      <c r="T33" s="47"/>
      <c r="U33" s="57"/>
      <c r="V33" s="57"/>
      <c r="W33" s="57"/>
      <c r="X33" s="57"/>
      <c r="Y33" s="57">
        <v>0</v>
      </c>
      <c r="Z33" s="57">
        <v>3423.396663</v>
      </c>
      <c r="AA33" s="57">
        <v>3423.396663</v>
      </c>
      <c r="AB33" s="45"/>
      <c r="AC33" s="57">
        <v>0</v>
      </c>
      <c r="AD33" s="78">
        <v>0</v>
      </c>
      <c r="AE33" s="78"/>
      <c r="AF33" s="82">
        <v>124</v>
      </c>
      <c r="AG33" s="78">
        <v>0</v>
      </c>
      <c r="AH33" s="78">
        <v>124</v>
      </c>
      <c r="AI33" s="82"/>
      <c r="AJ33" s="82">
        <v>2255.2170960103649</v>
      </c>
      <c r="AK33" s="78">
        <v>0</v>
      </c>
      <c r="AL33" s="78">
        <v>2255.2170960103686</v>
      </c>
      <c r="AM33" s="82">
        <v>0</v>
      </c>
      <c r="AN33" s="78">
        <v>0</v>
      </c>
      <c r="AO33" s="79">
        <v>0</v>
      </c>
      <c r="AP33" s="82">
        <v>0</v>
      </c>
      <c r="AQ33" s="78">
        <v>0</v>
      </c>
      <c r="AR33" s="52">
        <v>0</v>
      </c>
      <c r="AS33" s="48"/>
      <c r="AT33" s="78"/>
      <c r="AU33" s="52">
        <v>0</v>
      </c>
      <c r="AV33" s="48"/>
      <c r="AW33" s="52"/>
      <c r="AX33" s="52">
        <v>0</v>
      </c>
      <c r="AY33" s="87">
        <v>2379.2170960103722</v>
      </c>
      <c r="AZ33" s="52">
        <v>0</v>
      </c>
      <c r="BA33" s="52">
        <v>2379.2170960103758</v>
      </c>
      <c r="BB33" s="48"/>
      <c r="BC33" s="57">
        <v>0</v>
      </c>
      <c r="BD33" s="57">
        <v>993.90388337759487</v>
      </c>
      <c r="BE33" s="57">
        <v>4338.5474732707662</v>
      </c>
      <c r="BF33" s="57">
        <v>0</v>
      </c>
      <c r="BG33" s="57">
        <v>5332.4498170207735</v>
      </c>
      <c r="BH33" s="46"/>
      <c r="BI33" s="57">
        <v>0</v>
      </c>
      <c r="BJ33" s="57">
        <v>0</v>
      </c>
      <c r="BK33" s="57"/>
      <c r="BL33" s="57"/>
      <c r="BM33" s="57">
        <v>0</v>
      </c>
      <c r="BN33" s="57"/>
      <c r="BO33" s="57">
        <v>0</v>
      </c>
      <c r="BP33" s="46"/>
      <c r="BQ33" s="87">
        <v>38760.067286166246</v>
      </c>
      <c r="BR33" s="52">
        <v>27752.705518083152</v>
      </c>
      <c r="BS33" s="52">
        <v>11007.368384041591</v>
      </c>
    </row>
    <row r="34" spans="1:71" ht="12" customHeight="1" x14ac:dyDescent="0.2">
      <c r="A34" s="55">
        <v>2006</v>
      </c>
      <c r="B34" s="55" t="s">
        <v>4</v>
      </c>
      <c r="C34" s="82"/>
      <c r="D34" s="82">
        <v>11430.734999999999</v>
      </c>
      <c r="E34" s="78">
        <v>2458.7529</v>
      </c>
      <c r="F34" s="78">
        <v>8971.9820999999993</v>
      </c>
      <c r="G34" s="82"/>
      <c r="H34" s="82"/>
      <c r="I34" s="82">
        <v>5997.2717000000002</v>
      </c>
      <c r="J34" s="82">
        <v>0</v>
      </c>
      <c r="K34" s="82">
        <v>728.06181000000004</v>
      </c>
      <c r="L34" s="82"/>
      <c r="M34" s="82"/>
      <c r="N34" s="82">
        <v>6732.9412999999995</v>
      </c>
      <c r="O34" s="78">
        <v>6732.9412999999995</v>
      </c>
      <c r="P34" s="78">
        <v>0</v>
      </c>
      <c r="Q34" s="73">
        <v>24889.00981</v>
      </c>
      <c r="R34" s="78">
        <v>15917.027709999998</v>
      </c>
      <c r="S34" s="78">
        <v>8971.9820999999993</v>
      </c>
      <c r="T34" s="47"/>
      <c r="U34" s="57"/>
      <c r="V34" s="57"/>
      <c r="W34" s="57"/>
      <c r="X34" s="57"/>
      <c r="Y34" s="57">
        <v>0</v>
      </c>
      <c r="Z34" s="57">
        <v>4738.7368963259996</v>
      </c>
      <c r="AA34" s="57">
        <v>4738.7368963259996</v>
      </c>
      <c r="AB34" s="45"/>
      <c r="AC34" s="57">
        <v>0</v>
      </c>
      <c r="AD34" s="78">
        <v>0</v>
      </c>
      <c r="AE34" s="78"/>
      <c r="AF34" s="82">
        <v>112</v>
      </c>
      <c r="AG34" s="78">
        <v>0</v>
      </c>
      <c r="AH34" s="78">
        <v>112</v>
      </c>
      <c r="AI34" s="82"/>
      <c r="AJ34" s="82">
        <v>2043.8491550000001</v>
      </c>
      <c r="AK34" s="78">
        <v>0</v>
      </c>
      <c r="AL34" s="78">
        <v>2043.8489999999999</v>
      </c>
      <c r="AM34" s="82">
        <v>0</v>
      </c>
      <c r="AN34" s="78">
        <v>0</v>
      </c>
      <c r="AO34" s="79">
        <v>0</v>
      </c>
      <c r="AP34" s="82">
        <v>0</v>
      </c>
      <c r="AQ34" s="78">
        <v>0</v>
      </c>
      <c r="AR34" s="52">
        <v>0</v>
      </c>
      <c r="AS34" s="48"/>
      <c r="AT34" s="78"/>
      <c r="AU34" s="52">
        <v>0</v>
      </c>
      <c r="AV34" s="48"/>
      <c r="AW34" s="52"/>
      <c r="AX34" s="52">
        <v>0</v>
      </c>
      <c r="AY34" s="87">
        <v>2155.8491549999999</v>
      </c>
      <c r="AZ34" s="52">
        <v>0</v>
      </c>
      <c r="BA34" s="52">
        <v>2155.8490000000002</v>
      </c>
      <c r="BB34" s="48"/>
      <c r="BC34" s="57">
        <v>0</v>
      </c>
      <c r="BD34" s="57">
        <v>1893.2640779999999</v>
      </c>
      <c r="BE34" s="57">
        <v>3087.1557000000003</v>
      </c>
      <c r="BF34" s="57">
        <v>0</v>
      </c>
      <c r="BG34" s="57">
        <v>4980.4197780000004</v>
      </c>
      <c r="BH34" s="46"/>
      <c r="BI34" s="57">
        <v>0</v>
      </c>
      <c r="BJ34" s="57">
        <v>0</v>
      </c>
      <c r="BK34" s="57"/>
      <c r="BL34" s="57"/>
      <c r="BM34" s="57">
        <v>0</v>
      </c>
      <c r="BN34" s="57"/>
      <c r="BO34" s="57">
        <v>0</v>
      </c>
      <c r="BP34" s="46"/>
      <c r="BQ34" s="87">
        <v>36764.015639325997</v>
      </c>
      <c r="BR34" s="52">
        <v>25636.184384325996</v>
      </c>
      <c r="BS34" s="52">
        <v>11127.831099999999</v>
      </c>
    </row>
    <row r="35" spans="1:71" ht="12" customHeight="1" x14ac:dyDescent="0.2">
      <c r="A35" s="55">
        <v>2006</v>
      </c>
      <c r="B35" s="55" t="s">
        <v>5</v>
      </c>
      <c r="C35" s="82"/>
      <c r="D35" s="82">
        <v>11875.029900000001</v>
      </c>
      <c r="E35" s="78">
        <v>2733.44</v>
      </c>
      <c r="F35" s="78">
        <v>9141.5899000000009</v>
      </c>
      <c r="G35" s="82"/>
      <c r="H35" s="82"/>
      <c r="I35" s="82">
        <v>3554.5592099999999</v>
      </c>
      <c r="J35" s="82">
        <v>0</v>
      </c>
      <c r="K35" s="82">
        <v>639.74810000000014</v>
      </c>
      <c r="L35" s="82"/>
      <c r="M35" s="82"/>
      <c r="N35" s="82">
        <v>8247.3338999999996</v>
      </c>
      <c r="O35" s="78">
        <v>8247.3338999999996</v>
      </c>
      <c r="P35" s="78">
        <v>0</v>
      </c>
      <c r="Q35" s="73">
        <v>24316.671109999999</v>
      </c>
      <c r="R35" s="78">
        <v>15175.08121</v>
      </c>
      <c r="S35" s="78">
        <v>9141.5899000000009</v>
      </c>
      <c r="T35" s="47"/>
      <c r="U35" s="57"/>
      <c r="V35" s="57"/>
      <c r="W35" s="57"/>
      <c r="X35" s="57"/>
      <c r="Y35" s="57">
        <v>0</v>
      </c>
      <c r="Z35" s="57">
        <v>4324.7226283910004</v>
      </c>
      <c r="AA35" s="57">
        <v>4324.7226283910004</v>
      </c>
      <c r="AB35" s="45"/>
      <c r="AC35" s="57">
        <v>0</v>
      </c>
      <c r="AD35" s="78">
        <v>0</v>
      </c>
      <c r="AE35" s="78"/>
      <c r="AF35" s="82">
        <v>248.39868900000002</v>
      </c>
      <c r="AG35" s="78">
        <v>0</v>
      </c>
      <c r="AH35" s="78">
        <v>248.39870000000002</v>
      </c>
      <c r="AI35" s="82"/>
      <c r="AJ35" s="82">
        <v>2235.0570809999999</v>
      </c>
      <c r="AK35" s="78">
        <v>0</v>
      </c>
      <c r="AL35" s="78">
        <v>2235.0569999999998</v>
      </c>
      <c r="AM35" s="82">
        <v>0</v>
      </c>
      <c r="AN35" s="78">
        <v>0</v>
      </c>
      <c r="AO35" s="79">
        <v>0</v>
      </c>
      <c r="AP35" s="82">
        <v>0</v>
      </c>
      <c r="AQ35" s="78">
        <v>0</v>
      </c>
      <c r="AR35" s="52">
        <v>0</v>
      </c>
      <c r="AS35" s="48"/>
      <c r="AT35" s="78"/>
      <c r="AU35" s="52">
        <v>0</v>
      </c>
      <c r="AV35" s="48"/>
      <c r="AW35" s="52"/>
      <c r="AX35" s="52">
        <v>0</v>
      </c>
      <c r="AY35" s="87">
        <v>2483.45577</v>
      </c>
      <c r="AZ35" s="52">
        <v>0</v>
      </c>
      <c r="BA35" s="52">
        <v>2483.4557</v>
      </c>
      <c r="BB35" s="48"/>
      <c r="BC35" s="57">
        <v>0</v>
      </c>
      <c r="BD35" s="57">
        <v>990.11776499999996</v>
      </c>
      <c r="BE35" s="57">
        <v>3443.8571609999999</v>
      </c>
      <c r="BF35" s="57">
        <v>0</v>
      </c>
      <c r="BG35" s="57">
        <v>4433.9749259999999</v>
      </c>
      <c r="BH35" s="46"/>
      <c r="BI35" s="57">
        <v>0</v>
      </c>
      <c r="BJ35" s="57">
        <v>0</v>
      </c>
      <c r="BK35" s="57"/>
      <c r="BL35" s="57"/>
      <c r="BM35" s="57">
        <v>0</v>
      </c>
      <c r="BN35" s="57"/>
      <c r="BO35" s="57">
        <v>0</v>
      </c>
      <c r="BP35" s="46"/>
      <c r="BQ35" s="87">
        <v>35558.824434391005</v>
      </c>
      <c r="BR35" s="52">
        <v>23933.778764391001</v>
      </c>
      <c r="BS35" s="52">
        <v>11625.045600000001</v>
      </c>
    </row>
    <row r="36" spans="1:71" ht="12" customHeight="1" x14ac:dyDescent="0.2">
      <c r="A36" s="55">
        <v>2006</v>
      </c>
      <c r="B36" s="55" t="s">
        <v>6</v>
      </c>
      <c r="C36" s="82"/>
      <c r="D36" s="82">
        <v>11135.070299999999</v>
      </c>
      <c r="E36" s="78">
        <v>2527.2534000000005</v>
      </c>
      <c r="F36" s="78">
        <v>8607.8168999999998</v>
      </c>
      <c r="G36" s="82"/>
      <c r="H36" s="82"/>
      <c r="I36" s="82">
        <v>5857.3648400000002</v>
      </c>
      <c r="J36" s="82">
        <v>0</v>
      </c>
      <c r="K36" s="82">
        <v>1129.4889300000002</v>
      </c>
      <c r="L36" s="82"/>
      <c r="M36" s="82"/>
      <c r="N36" s="82">
        <v>5426.0265500000005</v>
      </c>
      <c r="O36" s="78">
        <v>5426.0265500000005</v>
      </c>
      <c r="P36" s="78">
        <v>0</v>
      </c>
      <c r="Q36" s="73">
        <v>23547.95062</v>
      </c>
      <c r="R36" s="78">
        <v>14940.13372</v>
      </c>
      <c r="S36" s="78">
        <v>8607.8168999999998</v>
      </c>
      <c r="T36" s="47"/>
      <c r="U36" s="57"/>
      <c r="V36" s="57"/>
      <c r="W36" s="57"/>
      <c r="X36" s="57"/>
      <c r="Y36" s="57">
        <v>0</v>
      </c>
      <c r="Z36" s="57">
        <v>3050.8691990000002</v>
      </c>
      <c r="AA36" s="57">
        <v>3050.8691990000002</v>
      </c>
      <c r="AB36" s="45"/>
      <c r="AC36" s="57">
        <v>0</v>
      </c>
      <c r="AD36" s="78">
        <v>0</v>
      </c>
      <c r="AE36" s="78"/>
      <c r="AF36" s="82">
        <v>126.68739100000001</v>
      </c>
      <c r="AG36" s="78">
        <v>0</v>
      </c>
      <c r="AH36" s="78">
        <v>126.6874</v>
      </c>
      <c r="AI36" s="82"/>
      <c r="AJ36" s="82">
        <v>1021.763971</v>
      </c>
      <c r="AK36" s="78">
        <v>0</v>
      </c>
      <c r="AL36" s="78">
        <v>1021.764</v>
      </c>
      <c r="AM36" s="82">
        <v>0</v>
      </c>
      <c r="AN36" s="78">
        <v>0</v>
      </c>
      <c r="AO36" s="79">
        <v>0</v>
      </c>
      <c r="AP36" s="82">
        <v>0</v>
      </c>
      <c r="AQ36" s="78">
        <v>0</v>
      </c>
      <c r="AR36" s="52">
        <v>0</v>
      </c>
      <c r="AS36" s="48"/>
      <c r="AT36" s="78"/>
      <c r="AU36" s="52">
        <v>0</v>
      </c>
      <c r="AV36" s="48"/>
      <c r="AW36" s="52"/>
      <c r="AX36" s="52">
        <v>0</v>
      </c>
      <c r="AY36" s="87">
        <v>1148.451362</v>
      </c>
      <c r="AZ36" s="52">
        <v>0</v>
      </c>
      <c r="BA36" s="52">
        <v>1148.4513999999999</v>
      </c>
      <c r="BB36" s="48"/>
      <c r="BC36" s="57">
        <v>0</v>
      </c>
      <c r="BD36" s="57">
        <v>801.37447699999996</v>
      </c>
      <c r="BE36" s="57">
        <v>5534.1147870000004</v>
      </c>
      <c r="BF36" s="57">
        <v>0</v>
      </c>
      <c r="BG36" s="57">
        <v>6335.4892640000007</v>
      </c>
      <c r="BH36" s="46"/>
      <c r="BI36" s="57">
        <v>0</v>
      </c>
      <c r="BJ36" s="57">
        <v>0</v>
      </c>
      <c r="BK36" s="57"/>
      <c r="BL36" s="57"/>
      <c r="BM36" s="57">
        <v>0</v>
      </c>
      <c r="BN36" s="57"/>
      <c r="BO36" s="57">
        <v>0</v>
      </c>
      <c r="BP36" s="46"/>
      <c r="BQ36" s="87">
        <v>34082.760445</v>
      </c>
      <c r="BR36" s="52">
        <v>24326.492182999998</v>
      </c>
      <c r="BS36" s="52">
        <v>9756.2682999999997</v>
      </c>
    </row>
    <row r="37" spans="1:71" ht="12" customHeight="1" x14ac:dyDescent="0.2">
      <c r="A37" s="55">
        <v>2006</v>
      </c>
      <c r="B37" s="55" t="s">
        <v>7</v>
      </c>
      <c r="C37" s="82"/>
      <c r="D37" s="82">
        <v>10087.651199999998</v>
      </c>
      <c r="E37" s="78">
        <v>1894.2516000000003</v>
      </c>
      <c r="F37" s="78">
        <v>8193.3995999999988</v>
      </c>
      <c r="G37" s="82"/>
      <c r="H37" s="82"/>
      <c r="I37" s="82">
        <v>3808.7133600000002</v>
      </c>
      <c r="J37" s="82">
        <v>0</v>
      </c>
      <c r="K37" s="82">
        <v>244.42699999999999</v>
      </c>
      <c r="L37" s="82"/>
      <c r="M37" s="82"/>
      <c r="N37" s="82">
        <v>8288.8410800000001</v>
      </c>
      <c r="O37" s="78">
        <v>8288.8410800000001</v>
      </c>
      <c r="P37" s="78">
        <v>0</v>
      </c>
      <c r="Q37" s="73">
        <v>22429.63264</v>
      </c>
      <c r="R37" s="78">
        <v>14236.233039999999</v>
      </c>
      <c r="S37" s="78">
        <v>8193.3995999999988</v>
      </c>
      <c r="T37" s="47"/>
      <c r="U37" s="57"/>
      <c r="V37" s="57"/>
      <c r="W37" s="57"/>
      <c r="X37" s="57"/>
      <c r="Y37" s="57">
        <v>0</v>
      </c>
      <c r="Z37" s="57">
        <v>2204.3316949999999</v>
      </c>
      <c r="AA37" s="57">
        <v>2204.3316949999999</v>
      </c>
      <c r="AB37" s="45"/>
      <c r="AC37" s="57">
        <v>0</v>
      </c>
      <c r="AD37" s="78">
        <v>0</v>
      </c>
      <c r="AE37" s="78"/>
      <c r="AF37" s="82">
        <v>123.45705199999999</v>
      </c>
      <c r="AG37" s="78">
        <v>0</v>
      </c>
      <c r="AH37" s="78">
        <v>123.45710000000001</v>
      </c>
      <c r="AI37" s="82"/>
      <c r="AJ37" s="82">
        <v>2215.2003360000003</v>
      </c>
      <c r="AK37" s="78">
        <v>0</v>
      </c>
      <c r="AL37" s="78">
        <v>2215.1999999999998</v>
      </c>
      <c r="AM37" s="82">
        <v>0</v>
      </c>
      <c r="AN37" s="78">
        <v>0</v>
      </c>
      <c r="AO37" s="79">
        <v>0</v>
      </c>
      <c r="AP37" s="82">
        <v>0</v>
      </c>
      <c r="AQ37" s="78">
        <v>0</v>
      </c>
      <c r="AR37" s="52">
        <v>0</v>
      </c>
      <c r="AS37" s="48"/>
      <c r="AT37" s="78"/>
      <c r="AU37" s="52">
        <v>0</v>
      </c>
      <c r="AV37" s="48"/>
      <c r="AW37" s="52"/>
      <c r="AX37" s="52">
        <v>0</v>
      </c>
      <c r="AY37" s="87">
        <v>2338.6573880000005</v>
      </c>
      <c r="AZ37" s="52">
        <v>0</v>
      </c>
      <c r="BA37" s="52">
        <v>2338.6570999999999</v>
      </c>
      <c r="BB37" s="48"/>
      <c r="BC37" s="57">
        <v>0</v>
      </c>
      <c r="BD37" s="57">
        <v>0</v>
      </c>
      <c r="BE37" s="57">
        <v>5872.1050482460005</v>
      </c>
      <c r="BF37" s="57">
        <v>0</v>
      </c>
      <c r="BG37" s="57">
        <v>5872.1050482460005</v>
      </c>
      <c r="BH37" s="46"/>
      <c r="BI37" s="57">
        <v>0</v>
      </c>
      <c r="BJ37" s="57">
        <v>0</v>
      </c>
      <c r="BK37" s="57"/>
      <c r="BL37" s="57"/>
      <c r="BM37" s="57">
        <v>0</v>
      </c>
      <c r="BN37" s="57"/>
      <c r="BO37" s="57">
        <v>0</v>
      </c>
      <c r="BP37" s="46"/>
      <c r="BQ37" s="87">
        <v>32844.726771246002</v>
      </c>
      <c r="BR37" s="52">
        <v>22312.669783246001</v>
      </c>
      <c r="BS37" s="52">
        <v>10532.056699999999</v>
      </c>
    </row>
    <row r="38" spans="1:71" ht="12" customHeight="1" x14ac:dyDescent="0.2">
      <c r="A38" s="55">
        <v>2006</v>
      </c>
      <c r="B38" s="55" t="s">
        <v>8</v>
      </c>
      <c r="C38" s="82"/>
      <c r="D38" s="82">
        <v>10522.822200000001</v>
      </c>
      <c r="E38" s="78">
        <v>1786.5685999999998</v>
      </c>
      <c r="F38" s="78">
        <v>8736.2536</v>
      </c>
      <c r="G38" s="82"/>
      <c r="H38" s="82"/>
      <c r="I38" s="82">
        <v>2587.2305000000001</v>
      </c>
      <c r="J38" s="82">
        <v>0</v>
      </c>
      <c r="K38" s="82">
        <v>755.2115</v>
      </c>
      <c r="L38" s="82"/>
      <c r="M38" s="82"/>
      <c r="N38" s="82">
        <v>9091.833419999999</v>
      </c>
      <c r="O38" s="78">
        <v>9091.833419999999</v>
      </c>
      <c r="P38" s="78">
        <v>0</v>
      </c>
      <c r="Q38" s="73">
        <v>22957.097619999997</v>
      </c>
      <c r="R38" s="78">
        <v>14220.84402</v>
      </c>
      <c r="S38" s="78">
        <v>8736.2536</v>
      </c>
      <c r="T38" s="47"/>
      <c r="U38" s="57"/>
      <c r="V38" s="57"/>
      <c r="W38" s="57"/>
      <c r="X38" s="57"/>
      <c r="Y38" s="57">
        <v>0</v>
      </c>
      <c r="Z38" s="57">
        <v>1907.193098</v>
      </c>
      <c r="AA38" s="57">
        <v>1907.193098</v>
      </c>
      <c r="AB38" s="45"/>
      <c r="AC38" s="57">
        <v>0</v>
      </c>
      <c r="AD38" s="78">
        <v>0</v>
      </c>
      <c r="AE38" s="78"/>
      <c r="AF38" s="82">
        <v>119.339</v>
      </c>
      <c r="AG38" s="78">
        <v>0</v>
      </c>
      <c r="AH38" s="78">
        <v>119.339</v>
      </c>
      <c r="AI38" s="82"/>
      <c r="AJ38" s="82">
        <v>1978.510764012</v>
      </c>
      <c r="AK38" s="78">
        <v>0</v>
      </c>
      <c r="AL38" s="78">
        <v>1978.511</v>
      </c>
      <c r="AM38" s="82">
        <v>0</v>
      </c>
      <c r="AN38" s="78">
        <v>0</v>
      </c>
      <c r="AO38" s="79">
        <v>0</v>
      </c>
      <c r="AP38" s="82">
        <v>0</v>
      </c>
      <c r="AQ38" s="78">
        <v>0</v>
      </c>
      <c r="AR38" s="52">
        <v>0</v>
      </c>
      <c r="AS38" s="48"/>
      <c r="AT38" s="78"/>
      <c r="AU38" s="52">
        <v>0</v>
      </c>
      <c r="AV38" s="48"/>
      <c r="AW38" s="52"/>
      <c r="AX38" s="52">
        <v>0</v>
      </c>
      <c r="AY38" s="87">
        <v>2097.8497640119999</v>
      </c>
      <c r="AZ38" s="52">
        <v>0</v>
      </c>
      <c r="BA38" s="52">
        <v>2097.85</v>
      </c>
      <c r="BB38" s="48"/>
      <c r="BC38" s="57">
        <v>0</v>
      </c>
      <c r="BD38" s="57">
        <v>0</v>
      </c>
      <c r="BE38" s="57">
        <v>6269.1371390000004</v>
      </c>
      <c r="BF38" s="57">
        <v>0</v>
      </c>
      <c r="BG38" s="57">
        <v>6269.1371390000004</v>
      </c>
      <c r="BH38" s="46"/>
      <c r="BI38" s="57">
        <v>0</v>
      </c>
      <c r="BJ38" s="57">
        <v>0</v>
      </c>
      <c r="BK38" s="57"/>
      <c r="BL38" s="57"/>
      <c r="BM38" s="57">
        <v>0</v>
      </c>
      <c r="BN38" s="57"/>
      <c r="BO38" s="57">
        <v>0</v>
      </c>
      <c r="BP38" s="46"/>
      <c r="BQ38" s="87">
        <v>33231.277621011999</v>
      </c>
      <c r="BR38" s="52">
        <v>22397.174256999999</v>
      </c>
      <c r="BS38" s="52">
        <v>10834.1036</v>
      </c>
    </row>
    <row r="39" spans="1:71" ht="12" customHeight="1" x14ac:dyDescent="0.2">
      <c r="A39" s="55">
        <v>2006</v>
      </c>
      <c r="B39" s="55" t="s">
        <v>9</v>
      </c>
      <c r="C39" s="82"/>
      <c r="D39" s="82">
        <v>10499.804600000001</v>
      </c>
      <c r="E39" s="78">
        <v>1185.8947000000001</v>
      </c>
      <c r="F39" s="78">
        <v>9313.9099000000006</v>
      </c>
      <c r="G39" s="82"/>
      <c r="H39" s="82"/>
      <c r="I39" s="82">
        <v>877.13610000000006</v>
      </c>
      <c r="J39" s="82">
        <v>0</v>
      </c>
      <c r="K39" s="82">
        <v>893.40250000000003</v>
      </c>
      <c r="L39" s="82"/>
      <c r="M39" s="82"/>
      <c r="N39" s="82">
        <v>7174.8520000000008</v>
      </c>
      <c r="O39" s="78">
        <v>7174.8520000000008</v>
      </c>
      <c r="P39" s="78">
        <v>0</v>
      </c>
      <c r="Q39" s="73">
        <v>19445.195199999998</v>
      </c>
      <c r="R39" s="78">
        <v>10131.285300000001</v>
      </c>
      <c r="S39" s="78">
        <v>9313.9099000000006</v>
      </c>
      <c r="T39" s="47"/>
      <c r="U39" s="57"/>
      <c r="V39" s="57"/>
      <c r="W39" s="57"/>
      <c r="X39" s="57"/>
      <c r="Y39" s="57">
        <v>0</v>
      </c>
      <c r="Z39" s="57">
        <v>3885.9680686329993</v>
      </c>
      <c r="AA39" s="57">
        <v>3885.9680686329993</v>
      </c>
      <c r="AB39" s="45"/>
      <c r="AC39" s="57">
        <v>0</v>
      </c>
      <c r="AD39" s="78">
        <v>0</v>
      </c>
      <c r="AE39" s="78"/>
      <c r="AF39" s="82">
        <v>0</v>
      </c>
      <c r="AG39" s="78">
        <v>0</v>
      </c>
      <c r="AH39" s="78">
        <v>0</v>
      </c>
      <c r="AI39" s="82"/>
      <c r="AJ39" s="82">
        <v>2042.601197</v>
      </c>
      <c r="AK39" s="78">
        <v>0</v>
      </c>
      <c r="AL39" s="78">
        <v>2042.6010000000001</v>
      </c>
      <c r="AM39" s="82">
        <v>0</v>
      </c>
      <c r="AN39" s="78">
        <v>0</v>
      </c>
      <c r="AO39" s="79">
        <v>0</v>
      </c>
      <c r="AP39" s="82">
        <v>0</v>
      </c>
      <c r="AQ39" s="78">
        <v>0</v>
      </c>
      <c r="AR39" s="52">
        <v>0</v>
      </c>
      <c r="AS39" s="48"/>
      <c r="AT39" s="78"/>
      <c r="AU39" s="52">
        <v>0</v>
      </c>
      <c r="AV39" s="48"/>
      <c r="AW39" s="52"/>
      <c r="AX39" s="52">
        <v>0</v>
      </c>
      <c r="AY39" s="87">
        <v>2042.601197</v>
      </c>
      <c r="AZ39" s="52">
        <v>0</v>
      </c>
      <c r="BA39" s="52">
        <v>2042.6010000000001</v>
      </c>
      <c r="BB39" s="48"/>
      <c r="BC39" s="57">
        <v>0</v>
      </c>
      <c r="BD39" s="57">
        <v>1904.6399739999999</v>
      </c>
      <c r="BE39" s="57">
        <v>8427.6069790000001</v>
      </c>
      <c r="BF39" s="57">
        <v>0</v>
      </c>
      <c r="BG39" s="57">
        <v>10332.246953</v>
      </c>
      <c r="BH39" s="46"/>
      <c r="BI39" s="57">
        <v>0</v>
      </c>
      <c r="BJ39" s="57">
        <v>0</v>
      </c>
      <c r="BK39" s="57"/>
      <c r="BL39" s="57"/>
      <c r="BM39" s="57">
        <v>0</v>
      </c>
      <c r="BN39" s="57"/>
      <c r="BO39" s="57">
        <v>0</v>
      </c>
      <c r="BP39" s="46"/>
      <c r="BQ39" s="87">
        <v>35706.011418632996</v>
      </c>
      <c r="BR39" s="52">
        <v>24349.500321633001</v>
      </c>
      <c r="BS39" s="52">
        <v>11356.510900000001</v>
      </c>
    </row>
    <row r="40" spans="1:71" ht="12" customHeight="1" x14ac:dyDescent="0.2">
      <c r="A40" s="55">
        <v>2006</v>
      </c>
      <c r="B40" s="55" t="s">
        <v>10</v>
      </c>
      <c r="C40" s="82"/>
      <c r="D40" s="82">
        <v>8616.4374000000007</v>
      </c>
      <c r="E40" s="78">
        <v>1724.5744999999999</v>
      </c>
      <c r="F40" s="78">
        <v>6891.8629000000001</v>
      </c>
      <c r="G40" s="82"/>
      <c r="H40" s="82"/>
      <c r="I40" s="82">
        <v>3428.0843000000004</v>
      </c>
      <c r="J40" s="82">
        <v>0</v>
      </c>
      <c r="K40" s="82">
        <v>361.53090000000003</v>
      </c>
      <c r="L40" s="82"/>
      <c r="M40" s="82"/>
      <c r="N40" s="82">
        <v>7130.0367000000006</v>
      </c>
      <c r="O40" s="78">
        <v>7130.0367000000006</v>
      </c>
      <c r="P40" s="78">
        <v>0</v>
      </c>
      <c r="Q40" s="73">
        <v>19536.0893</v>
      </c>
      <c r="R40" s="78">
        <v>12644.2264</v>
      </c>
      <c r="S40" s="78">
        <v>6891.8629000000001</v>
      </c>
      <c r="T40" s="47"/>
      <c r="U40" s="57"/>
      <c r="V40" s="57"/>
      <c r="W40" s="57"/>
      <c r="X40" s="57"/>
      <c r="Y40" s="57">
        <v>0</v>
      </c>
      <c r="Z40" s="57">
        <v>2228.125356</v>
      </c>
      <c r="AA40" s="57">
        <v>2228.125356</v>
      </c>
      <c r="AB40" s="45"/>
      <c r="AC40" s="57">
        <v>0</v>
      </c>
      <c r="AD40" s="78">
        <v>0</v>
      </c>
      <c r="AE40" s="78"/>
      <c r="AF40" s="82">
        <v>0</v>
      </c>
      <c r="AG40" s="78">
        <v>0</v>
      </c>
      <c r="AH40" s="78">
        <v>0</v>
      </c>
      <c r="AI40" s="82"/>
      <c r="AJ40" s="82">
        <v>2003.835347</v>
      </c>
      <c r="AK40" s="78">
        <v>0</v>
      </c>
      <c r="AL40" s="78">
        <v>2003.835</v>
      </c>
      <c r="AM40" s="82">
        <v>0</v>
      </c>
      <c r="AN40" s="78">
        <v>0</v>
      </c>
      <c r="AO40" s="79">
        <v>0</v>
      </c>
      <c r="AP40" s="82">
        <v>0</v>
      </c>
      <c r="AQ40" s="78">
        <v>0</v>
      </c>
      <c r="AR40" s="52">
        <v>0</v>
      </c>
      <c r="AS40" s="48"/>
      <c r="AT40" s="78"/>
      <c r="AU40" s="52">
        <v>0</v>
      </c>
      <c r="AV40" s="48"/>
      <c r="AW40" s="52"/>
      <c r="AX40" s="52">
        <v>0</v>
      </c>
      <c r="AY40" s="87">
        <v>2003.835347</v>
      </c>
      <c r="AZ40" s="52">
        <v>0</v>
      </c>
      <c r="BA40" s="52">
        <v>2003.835</v>
      </c>
      <c r="BB40" s="48"/>
      <c r="BC40" s="57">
        <v>0</v>
      </c>
      <c r="BD40" s="57">
        <v>0</v>
      </c>
      <c r="BE40" s="57">
        <v>6404.3791919999994</v>
      </c>
      <c r="BF40" s="57">
        <v>0</v>
      </c>
      <c r="BG40" s="57">
        <v>6404.3791919999994</v>
      </c>
      <c r="BH40" s="46"/>
      <c r="BI40" s="57">
        <v>0</v>
      </c>
      <c r="BJ40" s="57">
        <v>0</v>
      </c>
      <c r="BK40" s="57"/>
      <c r="BL40" s="57"/>
      <c r="BM40" s="57">
        <v>0</v>
      </c>
      <c r="BN40" s="57"/>
      <c r="BO40" s="57">
        <v>0</v>
      </c>
      <c r="BP40" s="46"/>
      <c r="BQ40" s="87">
        <v>30172.429195000001</v>
      </c>
      <c r="BR40" s="52">
        <v>21276.730948</v>
      </c>
      <c r="BS40" s="52">
        <v>8895.6978999999992</v>
      </c>
    </row>
    <row r="41" spans="1:71" ht="12" customHeight="1" x14ac:dyDescent="0.2">
      <c r="A41" s="55">
        <v>2006</v>
      </c>
      <c r="B41" s="55" t="s">
        <v>11</v>
      </c>
      <c r="C41" s="82"/>
      <c r="D41" s="82">
        <v>10497.7289</v>
      </c>
      <c r="E41" s="78">
        <v>3330.1387</v>
      </c>
      <c r="F41" s="78">
        <v>7167.5902000000006</v>
      </c>
      <c r="G41" s="82"/>
      <c r="H41" s="82"/>
      <c r="I41" s="82">
        <v>4569.5671700000003</v>
      </c>
      <c r="J41" s="82">
        <v>0</v>
      </c>
      <c r="K41" s="82">
        <v>0</v>
      </c>
      <c r="L41" s="82"/>
      <c r="M41" s="82"/>
      <c r="N41" s="82">
        <v>6963.4426000000003</v>
      </c>
      <c r="O41" s="78">
        <v>6963.4426000000003</v>
      </c>
      <c r="P41" s="78">
        <v>0</v>
      </c>
      <c r="Q41" s="73">
        <v>22030.738670000002</v>
      </c>
      <c r="R41" s="78">
        <v>14863.14847</v>
      </c>
      <c r="S41" s="78">
        <v>7167.5902000000006</v>
      </c>
      <c r="T41" s="47"/>
      <c r="U41" s="57"/>
      <c r="V41" s="57"/>
      <c r="W41" s="57"/>
      <c r="X41" s="57"/>
      <c r="Y41" s="57">
        <v>0</v>
      </c>
      <c r="Z41" s="57">
        <v>3483.2574770000001</v>
      </c>
      <c r="AA41" s="57">
        <v>3483.2574770000001</v>
      </c>
      <c r="AB41" s="45"/>
      <c r="AC41" s="57">
        <v>0</v>
      </c>
      <c r="AD41" s="78">
        <v>0</v>
      </c>
      <c r="AE41" s="78"/>
      <c r="AF41" s="82">
        <v>0</v>
      </c>
      <c r="AG41" s="78">
        <v>0</v>
      </c>
      <c r="AH41" s="78">
        <v>0</v>
      </c>
      <c r="AI41" s="82"/>
      <c r="AJ41" s="82">
        <v>2188.92506779</v>
      </c>
      <c r="AK41" s="78">
        <v>0</v>
      </c>
      <c r="AL41" s="78">
        <v>2188.9250000000002</v>
      </c>
      <c r="AM41" s="82">
        <v>0</v>
      </c>
      <c r="AN41" s="78">
        <v>0</v>
      </c>
      <c r="AO41" s="79">
        <v>0</v>
      </c>
      <c r="AP41" s="82">
        <v>0</v>
      </c>
      <c r="AQ41" s="78">
        <v>0</v>
      </c>
      <c r="AR41" s="52">
        <v>0</v>
      </c>
      <c r="AS41" s="48"/>
      <c r="AT41" s="78"/>
      <c r="AU41" s="52">
        <v>0</v>
      </c>
      <c r="AV41" s="48"/>
      <c r="AW41" s="52"/>
      <c r="AX41" s="52">
        <v>0</v>
      </c>
      <c r="AY41" s="87">
        <v>2188.92506779</v>
      </c>
      <c r="AZ41" s="52">
        <v>0</v>
      </c>
      <c r="BA41" s="52">
        <v>2188.9250000000002</v>
      </c>
      <c r="BB41" s="48"/>
      <c r="BC41" s="57">
        <v>0</v>
      </c>
      <c r="BD41" s="57">
        <v>0</v>
      </c>
      <c r="BE41" s="57">
        <v>4467.2735939999993</v>
      </c>
      <c r="BF41" s="57">
        <v>0</v>
      </c>
      <c r="BG41" s="57">
        <v>4467.2735939999993</v>
      </c>
      <c r="BH41" s="46"/>
      <c r="BI41" s="57">
        <v>0</v>
      </c>
      <c r="BJ41" s="57">
        <v>0</v>
      </c>
      <c r="BK41" s="57"/>
      <c r="BL41" s="57"/>
      <c r="BM41" s="57">
        <v>0</v>
      </c>
      <c r="BN41" s="57"/>
      <c r="BO41" s="57">
        <v>0</v>
      </c>
      <c r="BP41" s="46"/>
      <c r="BQ41" s="87">
        <v>32170.194808790002</v>
      </c>
      <c r="BR41" s="52">
        <v>22813.679540999998</v>
      </c>
      <c r="BS41" s="52">
        <v>9356.5152000000016</v>
      </c>
    </row>
    <row r="42" spans="1:71" ht="12" customHeight="1" x14ac:dyDescent="0.2">
      <c r="A42" s="55">
        <v>2006</v>
      </c>
      <c r="B42" s="55" t="s">
        <v>12</v>
      </c>
      <c r="C42" s="82"/>
      <c r="D42" s="82">
        <v>11732.394400000001</v>
      </c>
      <c r="E42" s="78">
        <v>2888.3434999999999</v>
      </c>
      <c r="F42" s="78">
        <v>8844.0509000000002</v>
      </c>
      <c r="G42" s="82"/>
      <c r="H42" s="82"/>
      <c r="I42" s="82">
        <v>2678.9127699999999</v>
      </c>
      <c r="J42" s="82">
        <v>0</v>
      </c>
      <c r="K42" s="82">
        <v>276.62479999999999</v>
      </c>
      <c r="L42" s="82"/>
      <c r="M42" s="82"/>
      <c r="N42" s="82">
        <v>5418.2232999999987</v>
      </c>
      <c r="O42" s="78">
        <v>5418.2232999999987</v>
      </c>
      <c r="P42" s="78">
        <v>0</v>
      </c>
      <c r="Q42" s="73">
        <v>20106.155269999999</v>
      </c>
      <c r="R42" s="78">
        <v>11262.104369999997</v>
      </c>
      <c r="S42" s="78">
        <v>8844.0509000000002</v>
      </c>
      <c r="T42" s="47"/>
      <c r="U42" s="57"/>
      <c r="V42" s="57"/>
      <c r="W42" s="57"/>
      <c r="X42" s="57"/>
      <c r="Y42" s="57">
        <v>0</v>
      </c>
      <c r="Z42" s="57">
        <v>3067.7825619999999</v>
      </c>
      <c r="AA42" s="57">
        <v>3067.7825619999999</v>
      </c>
      <c r="AB42" s="45"/>
      <c r="AC42" s="57">
        <v>0</v>
      </c>
      <c r="AD42" s="78">
        <v>0</v>
      </c>
      <c r="AE42" s="78"/>
      <c r="AF42" s="82">
        <v>0</v>
      </c>
      <c r="AG42" s="78">
        <v>0</v>
      </c>
      <c r="AH42" s="78">
        <v>0</v>
      </c>
      <c r="AI42" s="82"/>
      <c r="AJ42" s="82">
        <v>2043.2737360000001</v>
      </c>
      <c r="AK42" s="78">
        <v>0</v>
      </c>
      <c r="AL42" s="78">
        <v>2043.2739999999999</v>
      </c>
      <c r="AM42" s="82">
        <v>0</v>
      </c>
      <c r="AN42" s="78">
        <v>0</v>
      </c>
      <c r="AO42" s="79">
        <v>0</v>
      </c>
      <c r="AP42" s="82">
        <v>0</v>
      </c>
      <c r="AQ42" s="78">
        <v>0</v>
      </c>
      <c r="AR42" s="52">
        <v>0</v>
      </c>
      <c r="AS42" s="48"/>
      <c r="AT42" s="78"/>
      <c r="AU42" s="52">
        <v>0</v>
      </c>
      <c r="AV42" s="48"/>
      <c r="AW42" s="52"/>
      <c r="AX42" s="52">
        <v>0</v>
      </c>
      <c r="AY42" s="87">
        <v>2043.2737360000001</v>
      </c>
      <c r="AZ42" s="52">
        <v>0</v>
      </c>
      <c r="BA42" s="52">
        <v>2043.2739999999999</v>
      </c>
      <c r="BB42" s="48"/>
      <c r="BC42" s="57">
        <v>0</v>
      </c>
      <c r="BD42" s="57">
        <v>1470.6379339999999</v>
      </c>
      <c r="BE42" s="57">
        <v>4947.1735410000001</v>
      </c>
      <c r="BF42" s="57">
        <v>0</v>
      </c>
      <c r="BG42" s="57">
        <v>6417.8114750000004</v>
      </c>
      <c r="BH42" s="46"/>
      <c r="BI42" s="57">
        <v>0</v>
      </c>
      <c r="BJ42" s="57">
        <v>0</v>
      </c>
      <c r="BK42" s="57"/>
      <c r="BL42" s="57"/>
      <c r="BM42" s="57">
        <v>0</v>
      </c>
      <c r="BN42" s="57"/>
      <c r="BO42" s="57">
        <v>0</v>
      </c>
      <c r="BP42" s="46"/>
      <c r="BQ42" s="87">
        <v>31635.023043000001</v>
      </c>
      <c r="BR42" s="52">
        <v>20747.698406999996</v>
      </c>
      <c r="BS42" s="52">
        <v>10887.3249</v>
      </c>
    </row>
    <row r="43" spans="1:71" ht="12" customHeight="1" x14ac:dyDescent="0.2">
      <c r="A43" s="55">
        <v>2006</v>
      </c>
      <c r="B43" s="55" t="s">
        <v>13</v>
      </c>
      <c r="C43" s="82"/>
      <c r="D43" s="82">
        <v>10205.6708</v>
      </c>
      <c r="E43" s="78">
        <v>2723.8402000000001</v>
      </c>
      <c r="F43" s="78">
        <v>7481.8305999999993</v>
      </c>
      <c r="G43" s="82"/>
      <c r="H43" s="82"/>
      <c r="I43" s="82">
        <v>5725.8837999999996</v>
      </c>
      <c r="J43" s="82">
        <v>0</v>
      </c>
      <c r="K43" s="82">
        <v>1082.6498999999999</v>
      </c>
      <c r="L43" s="82"/>
      <c r="M43" s="82"/>
      <c r="N43" s="82">
        <v>5639.0132999999996</v>
      </c>
      <c r="O43" s="78">
        <v>5639.0132999999996</v>
      </c>
      <c r="P43" s="78">
        <v>0</v>
      </c>
      <c r="Q43" s="73">
        <v>22653.217800000002</v>
      </c>
      <c r="R43" s="78">
        <v>15171.387200000001</v>
      </c>
      <c r="S43" s="78">
        <v>7481.8305999999993</v>
      </c>
      <c r="T43" s="47"/>
      <c r="U43" s="57"/>
      <c r="V43" s="57"/>
      <c r="W43" s="57"/>
      <c r="X43" s="57"/>
      <c r="Y43" s="57">
        <v>0</v>
      </c>
      <c r="Z43" s="57">
        <v>2597.697901</v>
      </c>
      <c r="AA43" s="57">
        <v>2597.697901</v>
      </c>
      <c r="AB43" s="45"/>
      <c r="AC43" s="57">
        <v>0</v>
      </c>
      <c r="AD43" s="78">
        <v>0</v>
      </c>
      <c r="AE43" s="78"/>
      <c r="AF43" s="82">
        <v>0</v>
      </c>
      <c r="AG43" s="78">
        <v>0</v>
      </c>
      <c r="AH43" s="78">
        <v>0</v>
      </c>
      <c r="AI43" s="82"/>
      <c r="AJ43" s="82">
        <v>1696.0912990000002</v>
      </c>
      <c r="AK43" s="78">
        <v>0</v>
      </c>
      <c r="AL43" s="78">
        <v>1696.0909999999999</v>
      </c>
      <c r="AM43" s="82">
        <v>0</v>
      </c>
      <c r="AN43" s="78">
        <v>0</v>
      </c>
      <c r="AO43" s="79">
        <v>0</v>
      </c>
      <c r="AP43" s="82">
        <v>0</v>
      </c>
      <c r="AQ43" s="78">
        <v>0</v>
      </c>
      <c r="AR43" s="52">
        <v>0</v>
      </c>
      <c r="AS43" s="48"/>
      <c r="AT43" s="78"/>
      <c r="AU43" s="52">
        <v>0</v>
      </c>
      <c r="AV43" s="48"/>
      <c r="AW43" s="52"/>
      <c r="AX43" s="52">
        <v>0</v>
      </c>
      <c r="AY43" s="87">
        <v>1696.0912990000002</v>
      </c>
      <c r="AZ43" s="52">
        <v>0</v>
      </c>
      <c r="BA43" s="52">
        <v>1696.0909999999999</v>
      </c>
      <c r="BB43" s="48"/>
      <c r="BC43" s="57">
        <v>0</v>
      </c>
      <c r="BD43" s="57">
        <v>1620.9016079999999</v>
      </c>
      <c r="BE43" s="57">
        <v>3652.6698480000005</v>
      </c>
      <c r="BF43" s="57">
        <v>0</v>
      </c>
      <c r="BG43" s="57">
        <v>5273.5714560000006</v>
      </c>
      <c r="BH43" s="46"/>
      <c r="BI43" s="57">
        <v>0</v>
      </c>
      <c r="BJ43" s="57">
        <v>0</v>
      </c>
      <c r="BK43" s="57"/>
      <c r="BL43" s="57"/>
      <c r="BM43" s="57">
        <v>0</v>
      </c>
      <c r="BN43" s="57"/>
      <c r="BO43" s="57">
        <v>0</v>
      </c>
      <c r="BP43" s="46"/>
      <c r="BQ43" s="87">
        <v>32220.578456000003</v>
      </c>
      <c r="BR43" s="52">
        <v>23042.656557000002</v>
      </c>
      <c r="BS43" s="52">
        <v>9177.9215999999997</v>
      </c>
    </row>
    <row r="44" spans="1:71" ht="12" customHeight="1" x14ac:dyDescent="0.2">
      <c r="A44" s="55">
        <v>2006</v>
      </c>
      <c r="B44" s="55" t="s">
        <v>14</v>
      </c>
      <c r="C44" s="82"/>
      <c r="D44" s="82">
        <v>11918.189990000001</v>
      </c>
      <c r="E44" s="78">
        <v>3805.36609</v>
      </c>
      <c r="F44" s="78">
        <v>8112.8239000000003</v>
      </c>
      <c r="G44" s="82"/>
      <c r="H44" s="82"/>
      <c r="I44" s="82">
        <v>3505.7949999999996</v>
      </c>
      <c r="J44" s="82">
        <v>0</v>
      </c>
      <c r="K44" s="82">
        <v>517.37620000000004</v>
      </c>
      <c r="L44" s="82"/>
      <c r="M44" s="82"/>
      <c r="N44" s="82">
        <v>7919.0861599999998</v>
      </c>
      <c r="O44" s="78">
        <v>7919.0861599999998</v>
      </c>
      <c r="P44" s="78">
        <v>0</v>
      </c>
      <c r="Q44" s="73">
        <v>23860.447350000002</v>
      </c>
      <c r="R44" s="78">
        <v>15747.623449999999</v>
      </c>
      <c r="S44" s="78">
        <v>8112.8239000000003</v>
      </c>
      <c r="T44" s="47"/>
      <c r="U44" s="57"/>
      <c r="V44" s="57"/>
      <c r="W44" s="57"/>
      <c r="X44" s="57"/>
      <c r="Y44" s="57">
        <v>0</v>
      </c>
      <c r="Z44" s="57">
        <v>2343.0808487999998</v>
      </c>
      <c r="AA44" s="57">
        <v>2343.0808487999998</v>
      </c>
      <c r="AB44" s="45"/>
      <c r="AC44" s="57">
        <v>0</v>
      </c>
      <c r="AD44" s="78">
        <v>0</v>
      </c>
      <c r="AE44" s="78"/>
      <c r="AF44" s="82">
        <v>9.231815000000001</v>
      </c>
      <c r="AG44" s="78">
        <v>0</v>
      </c>
      <c r="AH44" s="78">
        <v>9.231819999999999</v>
      </c>
      <c r="AI44" s="82"/>
      <c r="AJ44" s="82">
        <v>2043.2737360000001</v>
      </c>
      <c r="AK44" s="78">
        <v>0</v>
      </c>
      <c r="AL44" s="78">
        <v>2043.2739999999999</v>
      </c>
      <c r="AM44" s="82">
        <v>0</v>
      </c>
      <c r="AN44" s="78">
        <v>0</v>
      </c>
      <c r="AO44" s="79">
        <v>0</v>
      </c>
      <c r="AP44" s="82">
        <v>0</v>
      </c>
      <c r="AQ44" s="78">
        <v>0</v>
      </c>
      <c r="AR44" s="52">
        <v>0</v>
      </c>
      <c r="AS44" s="48"/>
      <c r="AT44" s="78"/>
      <c r="AU44" s="52">
        <v>0</v>
      </c>
      <c r="AV44" s="48"/>
      <c r="AW44" s="52"/>
      <c r="AX44" s="52">
        <v>0</v>
      </c>
      <c r="AY44" s="87">
        <v>2052.5055510000002</v>
      </c>
      <c r="AZ44" s="52">
        <v>0</v>
      </c>
      <c r="BA44" s="52">
        <v>2052.5058199999999</v>
      </c>
      <c r="BB44" s="48"/>
      <c r="BC44" s="57">
        <v>0</v>
      </c>
      <c r="BD44" s="57">
        <v>0</v>
      </c>
      <c r="BE44" s="57">
        <v>6158.4472589999996</v>
      </c>
      <c r="BF44" s="57">
        <v>0</v>
      </c>
      <c r="BG44" s="57">
        <v>6158.4472589999996</v>
      </c>
      <c r="BH44" s="46"/>
      <c r="BI44" s="57">
        <v>0</v>
      </c>
      <c r="BJ44" s="57">
        <v>0</v>
      </c>
      <c r="BK44" s="57"/>
      <c r="BL44" s="57"/>
      <c r="BM44" s="57">
        <v>0</v>
      </c>
      <c r="BN44" s="57"/>
      <c r="BO44" s="57">
        <v>0</v>
      </c>
      <c r="BP44" s="46"/>
      <c r="BQ44" s="87">
        <v>34414.481008800001</v>
      </c>
      <c r="BR44" s="52">
        <v>24249.1515578</v>
      </c>
      <c r="BS44" s="52">
        <v>10165.32972</v>
      </c>
    </row>
    <row r="45" spans="1:71" ht="12" customHeight="1" x14ac:dyDescent="0.2">
      <c r="A45" s="55">
        <v>2006</v>
      </c>
      <c r="B45" s="55" t="s">
        <v>15</v>
      </c>
      <c r="C45" s="82"/>
      <c r="D45" s="82">
        <v>131853.25769</v>
      </c>
      <c r="E45" s="78">
        <v>31761.993889999994</v>
      </c>
      <c r="F45" s="78">
        <v>100091.26380000002</v>
      </c>
      <c r="G45" s="82"/>
      <c r="H45" s="82"/>
      <c r="I45" s="82">
        <v>50468.167540000009</v>
      </c>
      <c r="J45" s="82">
        <v>0</v>
      </c>
      <c r="K45" s="82">
        <v>7914.3265399999991</v>
      </c>
      <c r="L45" s="82"/>
      <c r="M45" s="82"/>
      <c r="N45" s="82">
        <v>83161.463420000015</v>
      </c>
      <c r="O45" s="78">
        <v>83161.463420000015</v>
      </c>
      <c r="P45" s="78">
        <v>0</v>
      </c>
      <c r="Q45" s="73">
        <v>273397.21518999996</v>
      </c>
      <c r="R45" s="78">
        <v>173305.95139</v>
      </c>
      <c r="S45" s="78">
        <v>100091.26380000002</v>
      </c>
      <c r="T45" s="47"/>
      <c r="U45" s="57"/>
      <c r="V45" s="57"/>
      <c r="W45" s="57"/>
      <c r="X45" s="57"/>
      <c r="Y45" s="57">
        <v>0</v>
      </c>
      <c r="Z45" s="57">
        <v>37255.16239315</v>
      </c>
      <c r="AA45" s="57">
        <v>37255.16239315</v>
      </c>
      <c r="AB45" s="45"/>
      <c r="AC45" s="57">
        <v>0</v>
      </c>
      <c r="AD45" s="78">
        <v>0</v>
      </c>
      <c r="AE45" s="78"/>
      <c r="AF45" s="82">
        <v>863.11394699999994</v>
      </c>
      <c r="AG45" s="78">
        <v>0</v>
      </c>
      <c r="AH45" s="78">
        <v>863.11401999999998</v>
      </c>
      <c r="AI45" s="82"/>
      <c r="AJ45" s="82">
        <v>23767.598786317998</v>
      </c>
      <c r="AK45" s="78">
        <v>0</v>
      </c>
      <c r="AL45" s="78">
        <v>23767.598000000002</v>
      </c>
      <c r="AM45" s="82">
        <v>0</v>
      </c>
      <c r="AN45" s="78">
        <v>0</v>
      </c>
      <c r="AO45" s="79">
        <v>0</v>
      </c>
      <c r="AP45" s="82">
        <v>0</v>
      </c>
      <c r="AQ45" s="78">
        <v>0</v>
      </c>
      <c r="AR45" s="52">
        <v>0</v>
      </c>
      <c r="AS45" s="48"/>
      <c r="AT45" s="78"/>
      <c r="AU45" s="52">
        <v>0</v>
      </c>
      <c r="AV45" s="48"/>
      <c r="AW45" s="52"/>
      <c r="AX45" s="52">
        <v>0</v>
      </c>
      <c r="AY45" s="87">
        <v>24630.712733317996</v>
      </c>
      <c r="AZ45" s="52">
        <v>0</v>
      </c>
      <c r="BA45" s="52">
        <v>24630.712020000003</v>
      </c>
      <c r="BB45" s="48"/>
      <c r="BC45" s="57">
        <v>0</v>
      </c>
      <c r="BD45" s="57">
        <v>9674.839829999999</v>
      </c>
      <c r="BE45" s="57">
        <v>62602.467969780002</v>
      </c>
      <c r="BF45" s="57">
        <v>0</v>
      </c>
      <c r="BG45" s="57">
        <v>72277.307799779999</v>
      </c>
      <c r="BH45" s="46"/>
      <c r="BI45" s="57">
        <v>0</v>
      </c>
      <c r="BJ45" s="57">
        <v>0</v>
      </c>
      <c r="BK45" s="57"/>
      <c r="BL45" s="57"/>
      <c r="BM45" s="57">
        <v>0</v>
      </c>
      <c r="BN45" s="57"/>
      <c r="BO45" s="57">
        <v>0</v>
      </c>
      <c r="BP45" s="46"/>
      <c r="BQ45" s="87">
        <v>407560.3981162479</v>
      </c>
      <c r="BR45" s="52">
        <v>282838.42158293002</v>
      </c>
      <c r="BS45" s="52">
        <v>124721.97582000002</v>
      </c>
    </row>
    <row r="46" spans="1:71" ht="12" customHeight="1" x14ac:dyDescent="0.2">
      <c r="A46" s="55">
        <v>2007</v>
      </c>
      <c r="B46" s="55" t="s">
        <v>3</v>
      </c>
      <c r="C46" s="82"/>
      <c r="D46" s="82">
        <v>12453.908900000002</v>
      </c>
      <c r="E46" s="78">
        <v>2878.1840000000002</v>
      </c>
      <c r="F46" s="78">
        <v>9575.7249000000011</v>
      </c>
      <c r="G46" s="82"/>
      <c r="H46" s="82"/>
      <c r="I46" s="82">
        <v>5215.8926900000006</v>
      </c>
      <c r="J46" s="82">
        <v>0</v>
      </c>
      <c r="K46" s="82">
        <v>972.01550000000009</v>
      </c>
      <c r="L46" s="82"/>
      <c r="M46" s="82"/>
      <c r="N46" s="82">
        <v>8850.9755999999998</v>
      </c>
      <c r="O46" s="78">
        <v>8850.9755999999998</v>
      </c>
      <c r="P46" s="78">
        <v>0</v>
      </c>
      <c r="Q46" s="73">
        <v>27492.792689999998</v>
      </c>
      <c r="R46" s="78">
        <v>17917.067790000001</v>
      </c>
      <c r="S46" s="78">
        <v>9575.7249000000011</v>
      </c>
      <c r="T46" s="47"/>
      <c r="U46" s="57"/>
      <c r="V46" s="57"/>
      <c r="W46" s="57"/>
      <c r="X46" s="57"/>
      <c r="Y46" s="57">
        <v>0</v>
      </c>
      <c r="Z46" s="57">
        <v>3839.8501894819992</v>
      </c>
      <c r="AA46" s="57">
        <v>3839.8501894819992</v>
      </c>
      <c r="AB46" s="45"/>
      <c r="AC46" s="57">
        <v>0</v>
      </c>
      <c r="AD46" s="78">
        <v>0</v>
      </c>
      <c r="AE46" s="78"/>
      <c r="AF46" s="82">
        <v>94.677000000000007</v>
      </c>
      <c r="AG46" s="78">
        <v>0</v>
      </c>
      <c r="AH46" s="78">
        <v>94.677000000000007</v>
      </c>
      <c r="AI46" s="82"/>
      <c r="AJ46" s="82">
        <v>2270.634959</v>
      </c>
      <c r="AK46" s="78">
        <v>0</v>
      </c>
      <c r="AL46" s="78">
        <v>2270.6350000000002</v>
      </c>
      <c r="AM46" s="82">
        <v>0</v>
      </c>
      <c r="AN46" s="78">
        <v>0</v>
      </c>
      <c r="AO46" s="79">
        <v>0</v>
      </c>
      <c r="AP46" s="82">
        <v>0</v>
      </c>
      <c r="AQ46" s="78">
        <v>0</v>
      </c>
      <c r="AR46" s="52">
        <v>0</v>
      </c>
      <c r="AS46" s="48"/>
      <c r="AT46" s="78"/>
      <c r="AU46" s="52">
        <v>0</v>
      </c>
      <c r="AV46" s="48"/>
      <c r="AW46" s="52"/>
      <c r="AX46" s="52">
        <v>0</v>
      </c>
      <c r="AY46" s="87">
        <v>2365.3119590000001</v>
      </c>
      <c r="AZ46" s="52">
        <v>0</v>
      </c>
      <c r="BA46" s="52">
        <v>2365.3120000000004</v>
      </c>
      <c r="BB46" s="48"/>
      <c r="BC46" s="57">
        <v>0</v>
      </c>
      <c r="BD46" s="57">
        <v>0</v>
      </c>
      <c r="BE46" s="57">
        <v>5546.1738210000003</v>
      </c>
      <c r="BF46" s="57">
        <v>0</v>
      </c>
      <c r="BG46" s="57">
        <v>5546.1738210000003</v>
      </c>
      <c r="BH46" s="46"/>
      <c r="BI46" s="57">
        <v>0</v>
      </c>
      <c r="BJ46" s="57">
        <v>0</v>
      </c>
      <c r="BK46" s="57"/>
      <c r="BL46" s="57"/>
      <c r="BM46" s="57">
        <v>0</v>
      </c>
      <c r="BN46" s="57"/>
      <c r="BO46" s="57">
        <v>0</v>
      </c>
      <c r="BP46" s="46"/>
      <c r="BQ46" s="87">
        <v>39244.128659481998</v>
      </c>
      <c r="BR46" s="52">
        <v>27303.091800482001</v>
      </c>
      <c r="BS46" s="52">
        <v>11941.036900000001</v>
      </c>
    </row>
    <row r="47" spans="1:71" ht="12" customHeight="1" x14ac:dyDescent="0.2">
      <c r="A47" s="55">
        <v>2007</v>
      </c>
      <c r="B47" s="55" t="s">
        <v>4</v>
      </c>
      <c r="C47" s="82"/>
      <c r="D47" s="82">
        <v>11179.161699999999</v>
      </c>
      <c r="E47" s="78">
        <v>2761.8094999999998</v>
      </c>
      <c r="F47" s="78">
        <v>8417.3521999999994</v>
      </c>
      <c r="G47" s="82"/>
      <c r="H47" s="82"/>
      <c r="I47" s="82">
        <v>4261.8127000000004</v>
      </c>
      <c r="J47" s="82">
        <v>0</v>
      </c>
      <c r="K47" s="82">
        <v>489.62604999999996</v>
      </c>
      <c r="L47" s="82"/>
      <c r="M47" s="82"/>
      <c r="N47" s="82">
        <v>7216.4392400000015</v>
      </c>
      <c r="O47" s="78">
        <v>7216.4392400000015</v>
      </c>
      <c r="P47" s="78">
        <v>0</v>
      </c>
      <c r="Q47" s="73">
        <v>23147.039690000001</v>
      </c>
      <c r="R47" s="78">
        <v>14729.68749</v>
      </c>
      <c r="S47" s="78">
        <v>8417.3521999999994</v>
      </c>
      <c r="T47" s="47"/>
      <c r="U47" s="57"/>
      <c r="V47" s="57"/>
      <c r="W47" s="57"/>
      <c r="X47" s="57"/>
      <c r="Y47" s="57">
        <v>0</v>
      </c>
      <c r="Z47" s="57">
        <v>2620.5563676380002</v>
      </c>
      <c r="AA47" s="57">
        <v>2620.5563676380002</v>
      </c>
      <c r="AB47" s="45"/>
      <c r="AC47" s="57">
        <v>0</v>
      </c>
      <c r="AD47" s="78">
        <v>0</v>
      </c>
      <c r="AE47" s="78"/>
      <c r="AF47" s="82">
        <v>246.61842899999999</v>
      </c>
      <c r="AG47" s="78">
        <v>0</v>
      </c>
      <c r="AH47" s="78">
        <v>246.61840000000001</v>
      </c>
      <c r="AI47" s="82"/>
      <c r="AJ47" s="82">
        <v>1845.537568</v>
      </c>
      <c r="AK47" s="78">
        <v>0</v>
      </c>
      <c r="AL47" s="78">
        <v>1845.538</v>
      </c>
      <c r="AM47" s="82">
        <v>0</v>
      </c>
      <c r="AN47" s="78">
        <v>0</v>
      </c>
      <c r="AO47" s="79">
        <v>0</v>
      </c>
      <c r="AP47" s="82">
        <v>0</v>
      </c>
      <c r="AQ47" s="78">
        <v>0</v>
      </c>
      <c r="AR47" s="52">
        <v>0</v>
      </c>
      <c r="AS47" s="48"/>
      <c r="AT47" s="78"/>
      <c r="AU47" s="52">
        <v>0</v>
      </c>
      <c r="AV47" s="48"/>
      <c r="AW47" s="52"/>
      <c r="AX47" s="52">
        <v>0</v>
      </c>
      <c r="AY47" s="87">
        <v>2092.1559969999998</v>
      </c>
      <c r="AZ47" s="52">
        <v>0</v>
      </c>
      <c r="BA47" s="52">
        <v>2092.1563999999998</v>
      </c>
      <c r="BB47" s="48"/>
      <c r="BC47" s="57">
        <v>0</v>
      </c>
      <c r="BD47" s="57">
        <v>0</v>
      </c>
      <c r="BE47" s="57">
        <v>4010.3649359999999</v>
      </c>
      <c r="BF47" s="57">
        <v>0</v>
      </c>
      <c r="BG47" s="57">
        <v>4010.3649359999999</v>
      </c>
      <c r="BH47" s="46"/>
      <c r="BI47" s="57">
        <v>0</v>
      </c>
      <c r="BJ47" s="57">
        <v>0</v>
      </c>
      <c r="BK47" s="57"/>
      <c r="BL47" s="57"/>
      <c r="BM47" s="57">
        <v>0</v>
      </c>
      <c r="BN47" s="57"/>
      <c r="BO47" s="57">
        <v>0</v>
      </c>
      <c r="BP47" s="46"/>
      <c r="BQ47" s="87">
        <v>31870.116990638002</v>
      </c>
      <c r="BR47" s="52">
        <v>21360.608793637999</v>
      </c>
      <c r="BS47" s="52">
        <v>10509.508599999999</v>
      </c>
    </row>
    <row r="48" spans="1:71" ht="12" customHeight="1" x14ac:dyDescent="0.2">
      <c r="A48" s="55">
        <v>2007</v>
      </c>
      <c r="B48" s="55" t="s">
        <v>5</v>
      </c>
      <c r="C48" s="82"/>
      <c r="D48" s="82">
        <v>11486.260900000001</v>
      </c>
      <c r="E48" s="78">
        <v>4287.18</v>
      </c>
      <c r="F48" s="78">
        <v>7199.0808999999999</v>
      </c>
      <c r="G48" s="82"/>
      <c r="H48" s="82"/>
      <c r="I48" s="82">
        <v>4326.5854800000006</v>
      </c>
      <c r="J48" s="82">
        <v>0</v>
      </c>
      <c r="K48" s="82">
        <v>734.8605</v>
      </c>
      <c r="L48" s="82"/>
      <c r="M48" s="82"/>
      <c r="N48" s="82">
        <v>5791.86283</v>
      </c>
      <c r="O48" s="78">
        <v>5791.86283</v>
      </c>
      <c r="P48" s="78">
        <v>0</v>
      </c>
      <c r="Q48" s="73">
        <v>22339.56971</v>
      </c>
      <c r="R48" s="78">
        <v>15140.488810000003</v>
      </c>
      <c r="S48" s="78">
        <v>7199.0808999999999</v>
      </c>
      <c r="T48" s="47"/>
      <c r="U48" s="57"/>
      <c r="V48" s="57"/>
      <c r="W48" s="57"/>
      <c r="X48" s="57"/>
      <c r="Y48" s="57">
        <v>0</v>
      </c>
      <c r="Z48" s="57">
        <v>803.82157799999993</v>
      </c>
      <c r="AA48" s="57">
        <v>803.82157799999993</v>
      </c>
      <c r="AB48" s="45"/>
      <c r="AC48" s="57">
        <v>0</v>
      </c>
      <c r="AD48" s="78">
        <v>0</v>
      </c>
      <c r="AE48" s="78"/>
      <c r="AF48" s="82">
        <v>103.23</v>
      </c>
      <c r="AG48" s="78">
        <v>0</v>
      </c>
      <c r="AH48" s="78">
        <v>103.23</v>
      </c>
      <c r="AI48" s="82"/>
      <c r="AJ48" s="82">
        <v>2261.7026190000001</v>
      </c>
      <c r="AK48" s="78">
        <v>0</v>
      </c>
      <c r="AL48" s="78">
        <v>2261.703</v>
      </c>
      <c r="AM48" s="82">
        <v>0</v>
      </c>
      <c r="AN48" s="78">
        <v>0</v>
      </c>
      <c r="AO48" s="79">
        <v>0</v>
      </c>
      <c r="AP48" s="82">
        <v>0</v>
      </c>
      <c r="AQ48" s="78">
        <v>0</v>
      </c>
      <c r="AR48" s="52">
        <v>0</v>
      </c>
      <c r="AS48" s="48"/>
      <c r="AT48" s="78"/>
      <c r="AU48" s="52">
        <v>0</v>
      </c>
      <c r="AV48" s="48"/>
      <c r="AW48" s="52"/>
      <c r="AX48" s="52">
        <v>0</v>
      </c>
      <c r="AY48" s="87">
        <v>2364.9326190000002</v>
      </c>
      <c r="AZ48" s="52">
        <v>0</v>
      </c>
      <c r="BA48" s="52">
        <v>2364.933</v>
      </c>
      <c r="BB48" s="48"/>
      <c r="BC48" s="57">
        <v>0</v>
      </c>
      <c r="BD48" s="57">
        <v>0</v>
      </c>
      <c r="BE48" s="57">
        <v>4281.8116900000005</v>
      </c>
      <c r="BF48" s="57">
        <v>0</v>
      </c>
      <c r="BG48" s="57">
        <v>4281.8116900000005</v>
      </c>
      <c r="BH48" s="46"/>
      <c r="BI48" s="57">
        <v>0</v>
      </c>
      <c r="BJ48" s="57">
        <v>0</v>
      </c>
      <c r="BK48" s="57"/>
      <c r="BL48" s="57"/>
      <c r="BM48" s="57">
        <v>0</v>
      </c>
      <c r="BN48" s="57"/>
      <c r="BO48" s="57">
        <v>0</v>
      </c>
      <c r="BP48" s="46"/>
      <c r="BQ48" s="87">
        <v>29790.135597</v>
      </c>
      <c r="BR48" s="52">
        <v>20226.122078</v>
      </c>
      <c r="BS48" s="52">
        <v>9564.0138999999999</v>
      </c>
    </row>
    <row r="49" spans="1:71" ht="12" customHeight="1" x14ac:dyDescent="0.2">
      <c r="A49" s="55">
        <v>2007</v>
      </c>
      <c r="B49" s="55" t="s">
        <v>6</v>
      </c>
      <c r="C49" s="82"/>
      <c r="D49" s="82">
        <v>10673.343059999999</v>
      </c>
      <c r="E49" s="78">
        <v>2992.5229600000002</v>
      </c>
      <c r="F49" s="78">
        <v>7680.8200999999999</v>
      </c>
      <c r="G49" s="82"/>
      <c r="H49" s="82"/>
      <c r="I49" s="82">
        <v>3813.6913800000002</v>
      </c>
      <c r="J49" s="82">
        <v>0</v>
      </c>
      <c r="K49" s="82">
        <v>732.50530000000003</v>
      </c>
      <c r="L49" s="82"/>
      <c r="M49" s="82"/>
      <c r="N49" s="82">
        <v>9532.9387999999999</v>
      </c>
      <c r="O49" s="78">
        <v>9532.9387999999999</v>
      </c>
      <c r="P49" s="78">
        <v>0</v>
      </c>
      <c r="Q49" s="73">
        <v>24752.478540000004</v>
      </c>
      <c r="R49" s="78">
        <v>17071.658439999999</v>
      </c>
      <c r="S49" s="78">
        <v>7680.8200999999999</v>
      </c>
      <c r="T49" s="47"/>
      <c r="U49" s="57"/>
      <c r="V49" s="57"/>
      <c r="W49" s="57"/>
      <c r="X49" s="57"/>
      <c r="Y49" s="57">
        <v>0</v>
      </c>
      <c r="Z49" s="57">
        <v>1422.7349333600002</v>
      </c>
      <c r="AA49" s="57">
        <v>1422.7349333600002</v>
      </c>
      <c r="AB49" s="45"/>
      <c r="AC49" s="57">
        <v>0</v>
      </c>
      <c r="AD49" s="78">
        <v>0</v>
      </c>
      <c r="AE49" s="78"/>
      <c r="AF49" s="82">
        <v>103.23</v>
      </c>
      <c r="AG49" s="78">
        <v>0</v>
      </c>
      <c r="AH49" s="78">
        <v>103.23</v>
      </c>
      <c r="AI49" s="82"/>
      <c r="AJ49" s="82">
        <v>2191.6897522616491</v>
      </c>
      <c r="AK49" s="78">
        <v>0</v>
      </c>
      <c r="AL49" s="78">
        <v>2191.69</v>
      </c>
      <c r="AM49" s="82">
        <v>0</v>
      </c>
      <c r="AN49" s="78">
        <v>0</v>
      </c>
      <c r="AO49" s="79">
        <v>0</v>
      </c>
      <c r="AP49" s="82">
        <v>0</v>
      </c>
      <c r="AQ49" s="78">
        <v>0</v>
      </c>
      <c r="AR49" s="52">
        <v>0</v>
      </c>
      <c r="AS49" s="48"/>
      <c r="AT49" s="78"/>
      <c r="AU49" s="52">
        <v>0</v>
      </c>
      <c r="AV49" s="48"/>
      <c r="AW49" s="52"/>
      <c r="AX49" s="52">
        <v>0</v>
      </c>
      <c r="AY49" s="87">
        <v>2294.9202210116528</v>
      </c>
      <c r="AZ49" s="52">
        <v>0</v>
      </c>
      <c r="BA49" s="52">
        <v>2294.92</v>
      </c>
      <c r="BB49" s="48"/>
      <c r="BC49" s="57">
        <v>0</v>
      </c>
      <c r="BD49" s="57">
        <v>0</v>
      </c>
      <c r="BE49" s="57">
        <v>3010.1174866366564</v>
      </c>
      <c r="BF49" s="57">
        <v>0</v>
      </c>
      <c r="BG49" s="57">
        <v>3010.11748663666</v>
      </c>
      <c r="BH49" s="46"/>
      <c r="BI49" s="57">
        <v>0</v>
      </c>
      <c r="BJ49" s="57">
        <v>0</v>
      </c>
      <c r="BK49" s="57"/>
      <c r="BL49" s="57"/>
      <c r="BM49" s="57">
        <v>0</v>
      </c>
      <c r="BN49" s="57"/>
      <c r="BO49" s="57">
        <v>0</v>
      </c>
      <c r="BP49" s="46"/>
      <c r="BQ49" s="87">
        <v>31480.252393093309</v>
      </c>
      <c r="BR49" s="52">
        <v>21504.502393093338</v>
      </c>
      <c r="BS49" s="52">
        <v>9975.7355715466838</v>
      </c>
    </row>
    <row r="50" spans="1:71" ht="12" customHeight="1" x14ac:dyDescent="0.2">
      <c r="A50" s="55">
        <v>2007</v>
      </c>
      <c r="B50" s="55" t="s">
        <v>7</v>
      </c>
      <c r="C50" s="82"/>
      <c r="D50" s="82">
        <v>9837.8513999999996</v>
      </c>
      <c r="E50" s="78">
        <v>2128.2712000000001</v>
      </c>
      <c r="F50" s="78">
        <v>7709.5802000000003</v>
      </c>
      <c r="G50" s="82"/>
      <c r="H50" s="82"/>
      <c r="I50" s="82">
        <v>5327.5448999999999</v>
      </c>
      <c r="J50" s="82">
        <v>0</v>
      </c>
      <c r="K50" s="82">
        <v>728.98119999999994</v>
      </c>
      <c r="L50" s="82"/>
      <c r="M50" s="82"/>
      <c r="N50" s="82">
        <v>8156.6562899999999</v>
      </c>
      <c r="O50" s="78">
        <v>8156.6562899999999</v>
      </c>
      <c r="P50" s="78">
        <v>0</v>
      </c>
      <c r="Q50" s="73">
        <v>24051.033789999998</v>
      </c>
      <c r="R50" s="78">
        <v>16341.453590000001</v>
      </c>
      <c r="S50" s="78">
        <v>7709.5802000000003</v>
      </c>
      <c r="T50" s="47"/>
      <c r="U50" s="57"/>
      <c r="V50" s="57"/>
      <c r="W50" s="57"/>
      <c r="X50" s="57"/>
      <c r="Y50" s="57">
        <v>0</v>
      </c>
      <c r="Z50" s="57">
        <v>1414.8291069999998</v>
      </c>
      <c r="AA50" s="57">
        <v>1414.8291069999998</v>
      </c>
      <c r="AB50" s="45"/>
      <c r="AC50" s="57">
        <v>0</v>
      </c>
      <c r="AD50" s="78">
        <v>0</v>
      </c>
      <c r="AE50" s="78"/>
      <c r="AF50" s="82">
        <v>109.842955</v>
      </c>
      <c r="AG50" s="78">
        <v>0</v>
      </c>
      <c r="AH50" s="78">
        <v>109.84296000000001</v>
      </c>
      <c r="AI50" s="82"/>
      <c r="AJ50" s="82">
        <v>2264.7466329999997</v>
      </c>
      <c r="AK50" s="78">
        <v>0</v>
      </c>
      <c r="AL50" s="78">
        <v>2264.7469999999998</v>
      </c>
      <c r="AM50" s="82">
        <v>0</v>
      </c>
      <c r="AN50" s="78">
        <v>0</v>
      </c>
      <c r="AO50" s="79">
        <v>0</v>
      </c>
      <c r="AP50" s="82">
        <v>0</v>
      </c>
      <c r="AQ50" s="78">
        <v>0</v>
      </c>
      <c r="AR50" s="52">
        <v>0</v>
      </c>
      <c r="AS50" s="48"/>
      <c r="AT50" s="78"/>
      <c r="AU50" s="52">
        <v>0</v>
      </c>
      <c r="AV50" s="48"/>
      <c r="AW50" s="52"/>
      <c r="AX50" s="52">
        <v>0</v>
      </c>
      <c r="AY50" s="87">
        <v>2374.5895879999998</v>
      </c>
      <c r="AZ50" s="52">
        <v>0</v>
      </c>
      <c r="BA50" s="52">
        <v>2374.5899599999998</v>
      </c>
      <c r="BB50" s="48"/>
      <c r="BC50" s="57">
        <v>0</v>
      </c>
      <c r="BD50" s="57">
        <v>0</v>
      </c>
      <c r="BE50" s="57">
        <v>5305.6965089999994</v>
      </c>
      <c r="BF50" s="57">
        <v>0</v>
      </c>
      <c r="BG50" s="57">
        <v>5305.6965089999994</v>
      </c>
      <c r="BH50" s="46"/>
      <c r="BI50" s="57">
        <v>0</v>
      </c>
      <c r="BJ50" s="57">
        <v>0</v>
      </c>
      <c r="BK50" s="57"/>
      <c r="BL50" s="57"/>
      <c r="BM50" s="57">
        <v>0</v>
      </c>
      <c r="BN50" s="57"/>
      <c r="BO50" s="57">
        <v>0</v>
      </c>
      <c r="BP50" s="46"/>
      <c r="BQ50" s="87">
        <v>33146.148993999996</v>
      </c>
      <c r="BR50" s="52">
        <v>23061.979206000004</v>
      </c>
      <c r="BS50" s="52">
        <v>10084.17016</v>
      </c>
    </row>
    <row r="51" spans="1:71" ht="12" customHeight="1" x14ac:dyDescent="0.2">
      <c r="A51" s="55">
        <v>2007</v>
      </c>
      <c r="B51" s="55" t="s">
        <v>8</v>
      </c>
      <c r="C51" s="82"/>
      <c r="D51" s="82">
        <v>11543.076279999999</v>
      </c>
      <c r="E51" s="78">
        <v>4044.3561799999998</v>
      </c>
      <c r="F51" s="78">
        <v>7498.7200999999995</v>
      </c>
      <c r="G51" s="82"/>
      <c r="H51" s="82"/>
      <c r="I51" s="82">
        <v>4446.4313000000002</v>
      </c>
      <c r="J51" s="82">
        <v>0</v>
      </c>
      <c r="K51" s="82">
        <v>729.976</v>
      </c>
      <c r="L51" s="82"/>
      <c r="M51" s="82"/>
      <c r="N51" s="82">
        <v>6890.8115399999988</v>
      </c>
      <c r="O51" s="78">
        <v>6890.8115399999988</v>
      </c>
      <c r="P51" s="78">
        <v>0</v>
      </c>
      <c r="Q51" s="73">
        <v>23610.295119999999</v>
      </c>
      <c r="R51" s="78">
        <v>16111.575019999998</v>
      </c>
      <c r="S51" s="78">
        <v>7498.7200999999995</v>
      </c>
      <c r="T51" s="47"/>
      <c r="U51" s="57"/>
      <c r="V51" s="57"/>
      <c r="W51" s="57"/>
      <c r="X51" s="57"/>
      <c r="Y51" s="57">
        <v>0</v>
      </c>
      <c r="Z51" s="57">
        <v>1403.301538036</v>
      </c>
      <c r="AA51" s="57">
        <v>1403.301538036</v>
      </c>
      <c r="AB51" s="45"/>
      <c r="AC51" s="57">
        <v>0</v>
      </c>
      <c r="AD51" s="78">
        <v>0</v>
      </c>
      <c r="AE51" s="78"/>
      <c r="AF51" s="82">
        <v>132.98394200000001</v>
      </c>
      <c r="AG51" s="78">
        <v>0</v>
      </c>
      <c r="AH51" s="78">
        <v>132.98393999999999</v>
      </c>
      <c r="AI51" s="82"/>
      <c r="AJ51" s="82">
        <v>2191.69029</v>
      </c>
      <c r="AK51" s="78">
        <v>0</v>
      </c>
      <c r="AL51" s="78">
        <v>2191.69</v>
      </c>
      <c r="AM51" s="82">
        <v>0</v>
      </c>
      <c r="AN51" s="78">
        <v>0</v>
      </c>
      <c r="AO51" s="79">
        <v>0</v>
      </c>
      <c r="AP51" s="82">
        <v>0</v>
      </c>
      <c r="AQ51" s="78">
        <v>0</v>
      </c>
      <c r="AR51" s="52">
        <v>0</v>
      </c>
      <c r="AS51" s="48"/>
      <c r="AT51" s="78"/>
      <c r="AU51" s="52">
        <v>0</v>
      </c>
      <c r="AV51" s="48"/>
      <c r="AW51" s="52"/>
      <c r="AX51" s="52">
        <v>0</v>
      </c>
      <c r="AY51" s="87">
        <v>2324.6742319999998</v>
      </c>
      <c r="AZ51" s="52">
        <v>0</v>
      </c>
      <c r="BA51" s="52">
        <v>2324.6739400000001</v>
      </c>
      <c r="BB51" s="48"/>
      <c r="BC51" s="57">
        <v>0</v>
      </c>
      <c r="BD51" s="57">
        <v>0</v>
      </c>
      <c r="BE51" s="57">
        <v>4126.5587869999999</v>
      </c>
      <c r="BF51" s="57">
        <v>0</v>
      </c>
      <c r="BG51" s="57">
        <v>4126.5587869999999</v>
      </c>
      <c r="BH51" s="46"/>
      <c r="BI51" s="57">
        <v>0</v>
      </c>
      <c r="BJ51" s="57">
        <v>0</v>
      </c>
      <c r="BK51" s="57"/>
      <c r="BL51" s="57"/>
      <c r="BM51" s="57">
        <v>0</v>
      </c>
      <c r="BN51" s="57"/>
      <c r="BO51" s="57">
        <v>0</v>
      </c>
      <c r="BP51" s="46"/>
      <c r="BQ51" s="87">
        <v>31464.829677036003</v>
      </c>
      <c r="BR51" s="52">
        <v>21641.435345035999</v>
      </c>
      <c r="BS51" s="52">
        <v>9823.3940399999992</v>
      </c>
    </row>
    <row r="52" spans="1:71" ht="12" customHeight="1" x14ac:dyDescent="0.2">
      <c r="A52" s="55">
        <v>2007</v>
      </c>
      <c r="B52" s="55" t="s">
        <v>9</v>
      </c>
      <c r="C52" s="82"/>
      <c r="D52" s="82">
        <v>11223.471100000001</v>
      </c>
      <c r="E52" s="78">
        <v>3327.0639000000006</v>
      </c>
      <c r="F52" s="78">
        <v>7896.4072000000006</v>
      </c>
      <c r="G52" s="82"/>
      <c r="H52" s="82"/>
      <c r="I52" s="82">
        <v>3176.5895</v>
      </c>
      <c r="J52" s="82">
        <v>0</v>
      </c>
      <c r="K52" s="82">
        <v>733.02149999999995</v>
      </c>
      <c r="L52" s="82"/>
      <c r="M52" s="82"/>
      <c r="N52" s="82">
        <v>9801.8039400000016</v>
      </c>
      <c r="O52" s="78">
        <v>9801.8039400000016</v>
      </c>
      <c r="P52" s="78">
        <v>0</v>
      </c>
      <c r="Q52" s="73">
        <v>24934.886040000001</v>
      </c>
      <c r="R52" s="78">
        <v>17038.478840000003</v>
      </c>
      <c r="S52" s="78">
        <v>7896.4072000000006</v>
      </c>
      <c r="T52" s="47"/>
      <c r="U52" s="57"/>
      <c r="V52" s="57"/>
      <c r="W52" s="57"/>
      <c r="X52" s="57"/>
      <c r="Y52" s="57">
        <v>0</v>
      </c>
      <c r="Z52" s="57">
        <v>1981.3250970000001</v>
      </c>
      <c r="AA52" s="57">
        <v>1981.3250970000001</v>
      </c>
      <c r="AB52" s="45"/>
      <c r="AC52" s="57">
        <v>0</v>
      </c>
      <c r="AD52" s="78">
        <v>0</v>
      </c>
      <c r="AE52" s="78"/>
      <c r="AF52" s="82">
        <v>103.23</v>
      </c>
      <c r="AG52" s="78">
        <v>0</v>
      </c>
      <c r="AH52" s="78">
        <v>103.23</v>
      </c>
      <c r="AI52" s="82"/>
      <c r="AJ52" s="82">
        <v>2264.7466329999997</v>
      </c>
      <c r="AK52" s="78">
        <v>0</v>
      </c>
      <c r="AL52" s="78">
        <v>2264.7469999999998</v>
      </c>
      <c r="AM52" s="82">
        <v>0</v>
      </c>
      <c r="AN52" s="78">
        <v>0</v>
      </c>
      <c r="AO52" s="79">
        <v>0</v>
      </c>
      <c r="AP52" s="82">
        <v>0</v>
      </c>
      <c r="AQ52" s="78">
        <v>0</v>
      </c>
      <c r="AR52" s="52">
        <v>0</v>
      </c>
      <c r="AS52" s="48"/>
      <c r="AT52" s="78"/>
      <c r="AU52" s="52">
        <v>0</v>
      </c>
      <c r="AV52" s="48"/>
      <c r="AW52" s="52"/>
      <c r="AX52" s="52">
        <v>0</v>
      </c>
      <c r="AY52" s="87">
        <v>2367.9766329999998</v>
      </c>
      <c r="AZ52" s="52">
        <v>0</v>
      </c>
      <c r="BA52" s="52">
        <v>2367.9769999999999</v>
      </c>
      <c r="BB52" s="48"/>
      <c r="BC52" s="57">
        <v>0</v>
      </c>
      <c r="BD52" s="57">
        <v>952.76199999999994</v>
      </c>
      <c r="BE52" s="57">
        <v>4585.3485710000004</v>
      </c>
      <c r="BF52" s="57">
        <v>0</v>
      </c>
      <c r="BG52" s="57">
        <v>5538.1105710000002</v>
      </c>
      <c r="BH52" s="46"/>
      <c r="BI52" s="57">
        <v>0</v>
      </c>
      <c r="BJ52" s="57">
        <v>0</v>
      </c>
      <c r="BK52" s="57"/>
      <c r="BL52" s="57"/>
      <c r="BM52" s="57">
        <v>0</v>
      </c>
      <c r="BN52" s="57"/>
      <c r="BO52" s="57">
        <v>0</v>
      </c>
      <c r="BP52" s="46"/>
      <c r="BQ52" s="87">
        <v>34822.298341000002</v>
      </c>
      <c r="BR52" s="52">
        <v>24557.914508000005</v>
      </c>
      <c r="BS52" s="52">
        <v>10264.3842</v>
      </c>
    </row>
    <row r="53" spans="1:71" ht="12" customHeight="1" x14ac:dyDescent="0.2">
      <c r="A53" s="55">
        <v>2007</v>
      </c>
      <c r="B53" s="55" t="s">
        <v>10</v>
      </c>
      <c r="C53" s="82"/>
      <c r="D53" s="82">
        <v>11729.894700000001</v>
      </c>
      <c r="E53" s="78">
        <v>4555.9057000000003</v>
      </c>
      <c r="F53" s="78">
        <v>7173.9889999999996</v>
      </c>
      <c r="G53" s="82"/>
      <c r="H53" s="82"/>
      <c r="I53" s="82">
        <v>1949.5461</v>
      </c>
      <c r="J53" s="82">
        <v>0</v>
      </c>
      <c r="K53" s="82">
        <v>728.85950000000003</v>
      </c>
      <c r="L53" s="82"/>
      <c r="M53" s="82"/>
      <c r="N53" s="82">
        <v>8261.1672999999992</v>
      </c>
      <c r="O53" s="78">
        <v>8261.1672999999992</v>
      </c>
      <c r="P53" s="78">
        <v>0</v>
      </c>
      <c r="Q53" s="73">
        <v>22669.467599999996</v>
      </c>
      <c r="R53" s="78">
        <v>15495.4786</v>
      </c>
      <c r="S53" s="78">
        <v>7173.9889999999996</v>
      </c>
      <c r="T53" s="47"/>
      <c r="U53" s="57"/>
      <c r="V53" s="57"/>
      <c r="W53" s="57"/>
      <c r="X53" s="57"/>
      <c r="Y53" s="57">
        <v>0</v>
      </c>
      <c r="Z53" s="57">
        <v>920.76579139599994</v>
      </c>
      <c r="AA53" s="57">
        <v>920.76579139599994</v>
      </c>
      <c r="AB53" s="45"/>
      <c r="AC53" s="57">
        <v>0</v>
      </c>
      <c r="AD53" s="78">
        <v>0</v>
      </c>
      <c r="AE53" s="78"/>
      <c r="AF53" s="82">
        <v>103.15773900000001</v>
      </c>
      <c r="AG53" s="78">
        <v>0</v>
      </c>
      <c r="AH53" s="78">
        <v>103.15769999999999</v>
      </c>
      <c r="AI53" s="82"/>
      <c r="AJ53" s="82">
        <v>2261.676191</v>
      </c>
      <c r="AK53" s="78">
        <v>0</v>
      </c>
      <c r="AL53" s="78">
        <v>2261.6759999999999</v>
      </c>
      <c r="AM53" s="82">
        <v>0</v>
      </c>
      <c r="AN53" s="78">
        <v>0</v>
      </c>
      <c r="AO53" s="79">
        <v>0</v>
      </c>
      <c r="AP53" s="82">
        <v>0</v>
      </c>
      <c r="AQ53" s="78">
        <v>0</v>
      </c>
      <c r="AR53" s="52">
        <v>0</v>
      </c>
      <c r="AS53" s="48"/>
      <c r="AT53" s="78"/>
      <c r="AU53" s="52">
        <v>0</v>
      </c>
      <c r="AV53" s="48"/>
      <c r="AW53" s="52"/>
      <c r="AX53" s="52">
        <v>0</v>
      </c>
      <c r="AY53" s="87">
        <v>2364.8339300000002</v>
      </c>
      <c r="AZ53" s="52">
        <v>0</v>
      </c>
      <c r="BA53" s="52">
        <v>2364.8337000000001</v>
      </c>
      <c r="BB53" s="48"/>
      <c r="BC53" s="57">
        <v>0</v>
      </c>
      <c r="BD53" s="57">
        <v>0</v>
      </c>
      <c r="BE53" s="57">
        <v>3383.231902</v>
      </c>
      <c r="BF53" s="57">
        <v>0</v>
      </c>
      <c r="BG53" s="57">
        <v>3383.231902</v>
      </c>
      <c r="BH53" s="46"/>
      <c r="BI53" s="57">
        <v>0</v>
      </c>
      <c r="BJ53" s="57">
        <v>0</v>
      </c>
      <c r="BK53" s="57"/>
      <c r="BL53" s="57"/>
      <c r="BM53" s="57">
        <v>0</v>
      </c>
      <c r="BN53" s="57"/>
      <c r="BO53" s="57">
        <v>0</v>
      </c>
      <c r="BP53" s="46"/>
      <c r="BQ53" s="87">
        <v>29338.299223395996</v>
      </c>
      <c r="BR53" s="52">
        <v>19799.476293396001</v>
      </c>
      <c r="BS53" s="52">
        <v>9538.8227000000006</v>
      </c>
    </row>
    <row r="54" spans="1:71" ht="12" customHeight="1" x14ac:dyDescent="0.2">
      <c r="A54" s="55">
        <v>2007</v>
      </c>
      <c r="B54" s="55" t="s">
        <v>11</v>
      </c>
      <c r="C54" s="82"/>
      <c r="D54" s="82">
        <v>12221.108679999999</v>
      </c>
      <c r="E54" s="78">
        <v>4762.1935800000001</v>
      </c>
      <c r="F54" s="78">
        <v>7458.9150999999993</v>
      </c>
      <c r="G54" s="82"/>
      <c r="H54" s="82"/>
      <c r="I54" s="82">
        <v>2656.0738999999999</v>
      </c>
      <c r="J54" s="82">
        <v>0</v>
      </c>
      <c r="K54" s="82">
        <v>726.90150000000006</v>
      </c>
      <c r="L54" s="82"/>
      <c r="M54" s="82"/>
      <c r="N54" s="82">
        <v>8065.5438400000003</v>
      </c>
      <c r="O54" s="78">
        <v>8065.5438400000003</v>
      </c>
      <c r="P54" s="78">
        <v>0</v>
      </c>
      <c r="Q54" s="73">
        <v>23669.627920000003</v>
      </c>
      <c r="R54" s="78">
        <v>16210.712820000001</v>
      </c>
      <c r="S54" s="78">
        <v>7458.9150999999993</v>
      </c>
      <c r="T54" s="47"/>
      <c r="U54" s="57"/>
      <c r="V54" s="57"/>
      <c r="W54" s="57"/>
      <c r="X54" s="57"/>
      <c r="Y54" s="57">
        <v>0</v>
      </c>
      <c r="Z54" s="57">
        <v>3170.6551530210004</v>
      </c>
      <c r="AA54" s="57">
        <v>3170.6551530210004</v>
      </c>
      <c r="AB54" s="45"/>
      <c r="AC54" s="57">
        <v>0</v>
      </c>
      <c r="AD54" s="78">
        <v>0</v>
      </c>
      <c r="AE54" s="78"/>
      <c r="AF54" s="82">
        <v>118.37186800000001</v>
      </c>
      <c r="AG54" s="78">
        <v>0</v>
      </c>
      <c r="AH54" s="78">
        <v>118.37187</v>
      </c>
      <c r="AI54" s="82"/>
      <c r="AJ54" s="82">
        <v>1779.9414750000001</v>
      </c>
      <c r="AK54" s="78">
        <v>0</v>
      </c>
      <c r="AL54" s="78">
        <v>1779.942</v>
      </c>
      <c r="AM54" s="82">
        <v>0</v>
      </c>
      <c r="AN54" s="78">
        <v>0</v>
      </c>
      <c r="AO54" s="79">
        <v>0</v>
      </c>
      <c r="AP54" s="82">
        <v>0</v>
      </c>
      <c r="AQ54" s="78">
        <v>0</v>
      </c>
      <c r="AR54" s="52">
        <v>0</v>
      </c>
      <c r="AS54" s="48"/>
      <c r="AT54" s="78"/>
      <c r="AU54" s="52">
        <v>0</v>
      </c>
      <c r="AV54" s="48"/>
      <c r="AW54" s="52"/>
      <c r="AX54" s="52">
        <v>0</v>
      </c>
      <c r="AY54" s="87">
        <v>1898.313343</v>
      </c>
      <c r="AZ54" s="52">
        <v>0</v>
      </c>
      <c r="BA54" s="52">
        <v>1898.31387</v>
      </c>
      <c r="BB54" s="48"/>
      <c r="BC54" s="57">
        <v>0</v>
      </c>
      <c r="BD54" s="57">
        <v>0</v>
      </c>
      <c r="BE54" s="57">
        <v>4337.5326569999997</v>
      </c>
      <c r="BF54" s="57">
        <v>0</v>
      </c>
      <c r="BG54" s="57">
        <v>4337.5326569999997</v>
      </c>
      <c r="BH54" s="46"/>
      <c r="BI54" s="57">
        <v>0</v>
      </c>
      <c r="BJ54" s="57">
        <v>0</v>
      </c>
      <c r="BK54" s="57"/>
      <c r="BL54" s="57"/>
      <c r="BM54" s="57">
        <v>0</v>
      </c>
      <c r="BN54" s="57"/>
      <c r="BO54" s="57">
        <v>0</v>
      </c>
      <c r="BP54" s="46"/>
      <c r="BQ54" s="87">
        <v>33076.129073021002</v>
      </c>
      <c r="BR54" s="52">
        <v>23718.900630021002</v>
      </c>
      <c r="BS54" s="52">
        <v>9357.2289700000001</v>
      </c>
    </row>
    <row r="55" spans="1:71" ht="12" customHeight="1" x14ac:dyDescent="0.2">
      <c r="A55" s="55">
        <v>2007</v>
      </c>
      <c r="B55" s="55" t="s">
        <v>12</v>
      </c>
      <c r="C55" s="82"/>
      <c r="D55" s="82">
        <v>11619.05472</v>
      </c>
      <c r="E55" s="78">
        <v>4413.5881200000003</v>
      </c>
      <c r="F55" s="78">
        <v>7205.4665999999997</v>
      </c>
      <c r="G55" s="82"/>
      <c r="H55" s="82"/>
      <c r="I55" s="82">
        <v>4488.4258</v>
      </c>
      <c r="J55" s="82">
        <v>0</v>
      </c>
      <c r="K55" s="82">
        <v>727.89300000000003</v>
      </c>
      <c r="L55" s="82"/>
      <c r="M55" s="82"/>
      <c r="N55" s="82">
        <v>7964.9507999999987</v>
      </c>
      <c r="O55" s="78">
        <v>7964.9507999999987</v>
      </c>
      <c r="P55" s="78">
        <v>0</v>
      </c>
      <c r="Q55" s="73">
        <v>24800.32432</v>
      </c>
      <c r="R55" s="78">
        <v>17594.85772</v>
      </c>
      <c r="S55" s="78">
        <v>7205.4665999999997</v>
      </c>
      <c r="T55" s="47"/>
      <c r="U55" s="57"/>
      <c r="V55" s="57"/>
      <c r="W55" s="57"/>
      <c r="X55" s="57"/>
      <c r="Y55" s="57">
        <v>0</v>
      </c>
      <c r="Z55" s="57">
        <v>2512.625074</v>
      </c>
      <c r="AA55" s="57">
        <v>2512.625074</v>
      </c>
      <c r="AB55" s="45"/>
      <c r="AC55" s="57">
        <v>0</v>
      </c>
      <c r="AD55" s="78">
        <v>0</v>
      </c>
      <c r="AE55" s="78"/>
      <c r="AF55" s="82">
        <v>21.418761</v>
      </c>
      <c r="AG55" s="78">
        <v>0</v>
      </c>
      <c r="AH55" s="78">
        <v>21.418759999999999</v>
      </c>
      <c r="AI55" s="82"/>
      <c r="AJ55" s="82">
        <v>2267.7906480000001</v>
      </c>
      <c r="AK55" s="78">
        <v>0</v>
      </c>
      <c r="AL55" s="78">
        <v>2267.7910000000002</v>
      </c>
      <c r="AM55" s="82">
        <v>0</v>
      </c>
      <c r="AN55" s="78">
        <v>0</v>
      </c>
      <c r="AO55" s="79">
        <v>0</v>
      </c>
      <c r="AP55" s="82">
        <v>0</v>
      </c>
      <c r="AQ55" s="78">
        <v>0</v>
      </c>
      <c r="AR55" s="52">
        <v>0</v>
      </c>
      <c r="AS55" s="48"/>
      <c r="AT55" s="78"/>
      <c r="AU55" s="52">
        <v>0</v>
      </c>
      <c r="AV55" s="48"/>
      <c r="AW55" s="52"/>
      <c r="AX55" s="52">
        <v>0</v>
      </c>
      <c r="AY55" s="87">
        <v>2289.2094090000001</v>
      </c>
      <c r="AZ55" s="52">
        <v>0</v>
      </c>
      <c r="BA55" s="52">
        <v>2289.2097600000002</v>
      </c>
      <c r="BB55" s="48"/>
      <c r="BC55" s="57">
        <v>0</v>
      </c>
      <c r="BD55" s="57">
        <v>0</v>
      </c>
      <c r="BE55" s="57">
        <v>3478.5929860000006</v>
      </c>
      <c r="BF55" s="57">
        <v>0</v>
      </c>
      <c r="BG55" s="57">
        <v>3478.5929860000006</v>
      </c>
      <c r="BH55" s="46"/>
      <c r="BI55" s="57">
        <v>0</v>
      </c>
      <c r="BJ55" s="57">
        <v>0</v>
      </c>
      <c r="BK55" s="57"/>
      <c r="BL55" s="57"/>
      <c r="BM55" s="57">
        <v>0</v>
      </c>
      <c r="BN55" s="57"/>
      <c r="BO55" s="57">
        <v>0</v>
      </c>
      <c r="BP55" s="46"/>
      <c r="BQ55" s="87">
        <v>33080.751789000002</v>
      </c>
      <c r="BR55" s="52">
        <v>23586.075779999999</v>
      </c>
      <c r="BS55" s="52">
        <v>9494.6763599999995</v>
      </c>
    </row>
    <row r="56" spans="1:71" ht="12" customHeight="1" x14ac:dyDescent="0.2">
      <c r="A56" s="55">
        <v>2007</v>
      </c>
      <c r="B56" s="55" t="s">
        <v>13</v>
      </c>
      <c r="C56" s="82"/>
      <c r="D56" s="82">
        <v>15799.13307</v>
      </c>
      <c r="E56" s="78">
        <v>5173.96047</v>
      </c>
      <c r="F56" s="78">
        <v>10625.1726</v>
      </c>
      <c r="G56" s="82"/>
      <c r="H56" s="82"/>
      <c r="I56" s="82">
        <v>3961.1739800000005</v>
      </c>
      <c r="J56" s="82">
        <v>0</v>
      </c>
      <c r="K56" s="82">
        <v>728.35769999999991</v>
      </c>
      <c r="L56" s="82"/>
      <c r="M56" s="82"/>
      <c r="N56" s="82">
        <v>8338.4889000000003</v>
      </c>
      <c r="O56" s="78">
        <v>8338.4889000000003</v>
      </c>
      <c r="P56" s="78">
        <v>0</v>
      </c>
      <c r="Q56" s="73">
        <v>28827.15365</v>
      </c>
      <c r="R56" s="78">
        <v>18201.981050000002</v>
      </c>
      <c r="S56" s="78">
        <v>10625.1726</v>
      </c>
      <c r="T56" s="47"/>
      <c r="U56" s="57"/>
      <c r="V56" s="57"/>
      <c r="W56" s="57"/>
      <c r="X56" s="57"/>
      <c r="Y56" s="57">
        <v>0</v>
      </c>
      <c r="Z56" s="57">
        <v>1606.7600523090002</v>
      </c>
      <c r="AA56" s="57">
        <v>1606.7600523090002</v>
      </c>
      <c r="AB56" s="45"/>
      <c r="AC56" s="57">
        <v>0</v>
      </c>
      <c r="AD56" s="78">
        <v>0</v>
      </c>
      <c r="AE56" s="78"/>
      <c r="AF56" s="82">
        <v>0</v>
      </c>
      <c r="AG56" s="78">
        <v>0</v>
      </c>
      <c r="AH56" s="78">
        <v>0</v>
      </c>
      <c r="AI56" s="82"/>
      <c r="AJ56" s="82">
        <v>1941.0188349999999</v>
      </c>
      <c r="AK56" s="78">
        <v>0</v>
      </c>
      <c r="AL56" s="78">
        <v>1941.019</v>
      </c>
      <c r="AM56" s="82">
        <v>0</v>
      </c>
      <c r="AN56" s="78">
        <v>0</v>
      </c>
      <c r="AO56" s="79">
        <v>0</v>
      </c>
      <c r="AP56" s="82">
        <v>0</v>
      </c>
      <c r="AQ56" s="78">
        <v>0</v>
      </c>
      <c r="AR56" s="52">
        <v>0</v>
      </c>
      <c r="AS56" s="48"/>
      <c r="AT56" s="78"/>
      <c r="AU56" s="52">
        <v>0</v>
      </c>
      <c r="AV56" s="48"/>
      <c r="AW56" s="52"/>
      <c r="AX56" s="52">
        <v>0</v>
      </c>
      <c r="AY56" s="87">
        <v>1941.0188349999999</v>
      </c>
      <c r="AZ56" s="52">
        <v>0</v>
      </c>
      <c r="BA56" s="52">
        <v>1941.019</v>
      </c>
      <c r="BB56" s="48"/>
      <c r="BC56" s="57">
        <v>0</v>
      </c>
      <c r="BD56" s="57">
        <v>0</v>
      </c>
      <c r="BE56" s="57">
        <v>5484.9376950000005</v>
      </c>
      <c r="BF56" s="57">
        <v>0</v>
      </c>
      <c r="BG56" s="57">
        <v>5484.9376950000005</v>
      </c>
      <c r="BH56" s="46"/>
      <c r="BI56" s="57">
        <v>0</v>
      </c>
      <c r="BJ56" s="57">
        <v>0</v>
      </c>
      <c r="BK56" s="57"/>
      <c r="BL56" s="57"/>
      <c r="BM56" s="57">
        <v>0</v>
      </c>
      <c r="BN56" s="57"/>
      <c r="BO56" s="57">
        <v>0</v>
      </c>
      <c r="BP56" s="46"/>
      <c r="BQ56" s="87">
        <v>37859.870232308996</v>
      </c>
      <c r="BR56" s="52">
        <v>25293.678797309003</v>
      </c>
      <c r="BS56" s="52">
        <v>12566.1916</v>
      </c>
    </row>
    <row r="57" spans="1:71" ht="12" customHeight="1" x14ac:dyDescent="0.2">
      <c r="A57" s="55">
        <v>2007</v>
      </c>
      <c r="B57" s="55" t="s">
        <v>14</v>
      </c>
      <c r="C57" s="82"/>
      <c r="D57" s="82">
        <v>15974.934899999998</v>
      </c>
      <c r="E57" s="78">
        <v>5033.9261999999999</v>
      </c>
      <c r="F57" s="78">
        <v>10941.008699999998</v>
      </c>
      <c r="G57" s="82"/>
      <c r="H57" s="82"/>
      <c r="I57" s="82">
        <v>3040.6734700000002</v>
      </c>
      <c r="J57" s="82">
        <v>0</v>
      </c>
      <c r="K57" s="82">
        <v>727.16899999999998</v>
      </c>
      <c r="L57" s="82"/>
      <c r="M57" s="82"/>
      <c r="N57" s="82">
        <v>9445.8459999999995</v>
      </c>
      <c r="O57" s="78">
        <v>9086.2459999999992</v>
      </c>
      <c r="P57" s="78">
        <v>359.6</v>
      </c>
      <c r="Q57" s="73">
        <v>29188.623369999998</v>
      </c>
      <c r="R57" s="78">
        <v>17888.014669999997</v>
      </c>
      <c r="S57" s="78">
        <v>11300.608699999999</v>
      </c>
      <c r="T57" s="47"/>
      <c r="U57" s="57"/>
      <c r="V57" s="57"/>
      <c r="W57" s="57"/>
      <c r="X57" s="57"/>
      <c r="Y57" s="57">
        <v>0</v>
      </c>
      <c r="Z57" s="57">
        <v>4156.1813670000001</v>
      </c>
      <c r="AA57" s="57">
        <v>4156.1813670000001</v>
      </c>
      <c r="AB57" s="45"/>
      <c r="AC57" s="57">
        <v>0</v>
      </c>
      <c r="AD57" s="78">
        <v>0</v>
      </c>
      <c r="AE57" s="78"/>
      <c r="AF57" s="82">
        <v>26.127637999999997</v>
      </c>
      <c r="AG57" s="78">
        <v>0</v>
      </c>
      <c r="AH57" s="78">
        <v>26.12764</v>
      </c>
      <c r="AI57" s="82"/>
      <c r="AJ57" s="82">
        <v>2687.7528520000001</v>
      </c>
      <c r="AK57" s="78">
        <v>966.37639999999999</v>
      </c>
      <c r="AL57" s="78">
        <v>1721.377</v>
      </c>
      <c r="AM57" s="82">
        <v>0</v>
      </c>
      <c r="AN57" s="78">
        <v>0</v>
      </c>
      <c r="AO57" s="79">
        <v>0</v>
      </c>
      <c r="AP57" s="82">
        <v>0</v>
      </c>
      <c r="AQ57" s="78">
        <v>0</v>
      </c>
      <c r="AR57" s="52">
        <v>0</v>
      </c>
      <c r="AS57" s="48"/>
      <c r="AT57" s="78"/>
      <c r="AU57" s="52">
        <v>0</v>
      </c>
      <c r="AV57" s="48"/>
      <c r="AW57" s="52"/>
      <c r="AX57" s="52">
        <v>0</v>
      </c>
      <c r="AY57" s="87">
        <v>2713.88049</v>
      </c>
      <c r="AZ57" s="52">
        <v>966.37639999999999</v>
      </c>
      <c r="BA57" s="52">
        <v>1747.5046399999999</v>
      </c>
      <c r="BB57" s="48"/>
      <c r="BC57" s="57">
        <v>0</v>
      </c>
      <c r="BD57" s="57">
        <v>0</v>
      </c>
      <c r="BE57" s="57">
        <v>5123.0936600000005</v>
      </c>
      <c r="BF57" s="57">
        <v>0</v>
      </c>
      <c r="BG57" s="57">
        <v>5123.0936600000005</v>
      </c>
      <c r="BH57" s="46"/>
      <c r="BI57" s="57">
        <v>0</v>
      </c>
      <c r="BJ57" s="57">
        <v>0</v>
      </c>
      <c r="BK57" s="57"/>
      <c r="BL57" s="57"/>
      <c r="BM57" s="57">
        <v>0</v>
      </c>
      <c r="BN57" s="57"/>
      <c r="BO57" s="57">
        <v>0</v>
      </c>
      <c r="BP57" s="46"/>
      <c r="BQ57" s="87">
        <v>41181.778887</v>
      </c>
      <c r="BR57" s="52">
        <v>28133.666097000001</v>
      </c>
      <c r="BS57" s="52">
        <v>13048.113339999998</v>
      </c>
    </row>
    <row r="58" spans="1:71" ht="12" customHeight="1" x14ac:dyDescent="0.2">
      <c r="A58" s="55">
        <v>2007</v>
      </c>
      <c r="B58" s="55" t="s">
        <v>15</v>
      </c>
      <c r="C58" s="82"/>
      <c r="D58" s="82">
        <v>145741.19941000003</v>
      </c>
      <c r="E58" s="78">
        <v>46358.961810000001</v>
      </c>
      <c r="F58" s="78">
        <v>99382.237600000022</v>
      </c>
      <c r="G58" s="82"/>
      <c r="H58" s="82"/>
      <c r="I58" s="82">
        <v>46664.441200000001</v>
      </c>
      <c r="J58" s="82">
        <v>0</v>
      </c>
      <c r="K58" s="82">
        <v>8760.1667500000003</v>
      </c>
      <c r="L58" s="82"/>
      <c r="M58" s="82"/>
      <c r="N58" s="82">
        <v>98317.485079999999</v>
      </c>
      <c r="O58" s="78">
        <v>97957.885079999993</v>
      </c>
      <c r="P58" s="78">
        <v>359.6</v>
      </c>
      <c r="Q58" s="73">
        <v>299483.29243999999</v>
      </c>
      <c r="R58" s="78">
        <v>199741.45484000002</v>
      </c>
      <c r="S58" s="78">
        <v>99741.837600000028</v>
      </c>
      <c r="T58" s="47"/>
      <c r="U58" s="57"/>
      <c r="V58" s="57"/>
      <c r="W58" s="57"/>
      <c r="X58" s="57"/>
      <c r="Y58" s="57">
        <v>0</v>
      </c>
      <c r="Z58" s="57">
        <v>25853.406248242001</v>
      </c>
      <c r="AA58" s="57">
        <v>25853.406248242001</v>
      </c>
      <c r="AB58" s="45"/>
      <c r="AC58" s="57">
        <v>0</v>
      </c>
      <c r="AD58" s="78">
        <v>0</v>
      </c>
      <c r="AE58" s="78"/>
      <c r="AF58" s="82">
        <v>1162.8883319999998</v>
      </c>
      <c r="AG58" s="78">
        <v>0</v>
      </c>
      <c r="AH58" s="78">
        <v>1162.8882699999999</v>
      </c>
      <c r="AI58" s="82"/>
      <c r="AJ58" s="82">
        <v>26228.928993000001</v>
      </c>
      <c r="AK58" s="78">
        <v>966.37639999999999</v>
      </c>
      <c r="AL58" s="78">
        <v>25262.555</v>
      </c>
      <c r="AM58" s="82">
        <v>0</v>
      </c>
      <c r="AN58" s="78">
        <v>0</v>
      </c>
      <c r="AO58" s="79">
        <v>0</v>
      </c>
      <c r="AP58" s="82">
        <v>0</v>
      </c>
      <c r="AQ58" s="78">
        <v>0</v>
      </c>
      <c r="AR58" s="52">
        <v>0</v>
      </c>
      <c r="AS58" s="48"/>
      <c r="AT58" s="78"/>
      <c r="AU58" s="52">
        <v>0</v>
      </c>
      <c r="AV58" s="48"/>
      <c r="AW58" s="52"/>
      <c r="AX58" s="52">
        <v>0</v>
      </c>
      <c r="AY58" s="87">
        <v>27391.817325</v>
      </c>
      <c r="AZ58" s="52">
        <v>966.37639999999999</v>
      </c>
      <c r="BA58" s="52">
        <v>26425.44327</v>
      </c>
      <c r="BB58" s="48"/>
      <c r="BC58" s="57">
        <v>0</v>
      </c>
      <c r="BD58" s="57">
        <v>952.76199999999994</v>
      </c>
      <c r="BE58" s="57">
        <v>52673.461783999999</v>
      </c>
      <c r="BF58" s="57">
        <v>0</v>
      </c>
      <c r="BG58" s="57">
        <v>53626.223784000002</v>
      </c>
      <c r="BH58" s="46"/>
      <c r="BI58" s="57">
        <v>0</v>
      </c>
      <c r="BJ58" s="57">
        <v>0</v>
      </c>
      <c r="BK58" s="57"/>
      <c r="BL58" s="57"/>
      <c r="BM58" s="57">
        <v>0</v>
      </c>
      <c r="BN58" s="57"/>
      <c r="BO58" s="57">
        <v>0</v>
      </c>
      <c r="BP58" s="46"/>
      <c r="BQ58" s="87">
        <v>406354.73979724199</v>
      </c>
      <c r="BR58" s="52">
        <v>280187.46127224201</v>
      </c>
      <c r="BS58" s="52">
        <v>126167.28087000003</v>
      </c>
    </row>
    <row r="59" spans="1:71" ht="12" customHeight="1" x14ac:dyDescent="0.2">
      <c r="A59" s="55">
        <v>2008</v>
      </c>
      <c r="B59" s="55" t="s">
        <v>3</v>
      </c>
      <c r="C59" s="82"/>
      <c r="D59" s="82">
        <v>14464.22135</v>
      </c>
      <c r="E59" s="78">
        <v>4291.3704499999994</v>
      </c>
      <c r="F59" s="78">
        <v>10172.850900000001</v>
      </c>
      <c r="G59" s="82"/>
      <c r="H59" s="82"/>
      <c r="I59" s="82">
        <v>3981.7162000000003</v>
      </c>
      <c r="J59" s="82">
        <v>0</v>
      </c>
      <c r="K59" s="82">
        <v>727.84839999999997</v>
      </c>
      <c r="L59" s="82"/>
      <c r="M59" s="82"/>
      <c r="N59" s="82">
        <v>9893.4251999999997</v>
      </c>
      <c r="O59" s="78">
        <v>9893.4251999999997</v>
      </c>
      <c r="P59" s="78">
        <v>0</v>
      </c>
      <c r="Q59" s="73">
        <v>29067.211149999996</v>
      </c>
      <c r="R59" s="78">
        <v>18894.360249999998</v>
      </c>
      <c r="S59" s="78">
        <v>10172.850900000001</v>
      </c>
      <c r="T59" s="47"/>
      <c r="U59" s="57"/>
      <c r="V59" s="57"/>
      <c r="W59" s="57"/>
      <c r="X59" s="57"/>
      <c r="Y59" s="57">
        <v>0</v>
      </c>
      <c r="Z59" s="57">
        <v>5393.9871199999998</v>
      </c>
      <c r="AA59" s="57">
        <v>5393.9871199999998</v>
      </c>
      <c r="AB59" s="45"/>
      <c r="AC59" s="57">
        <v>0</v>
      </c>
      <c r="AD59" s="78">
        <v>0</v>
      </c>
      <c r="AE59" s="78"/>
      <c r="AF59" s="82">
        <v>284.85899999999998</v>
      </c>
      <c r="AG59" s="78">
        <v>0</v>
      </c>
      <c r="AH59" s="78">
        <v>284.85899999999998</v>
      </c>
      <c r="AI59" s="82"/>
      <c r="AJ59" s="82">
        <v>1769.8340000000001</v>
      </c>
      <c r="AK59" s="78">
        <v>0</v>
      </c>
      <c r="AL59" s="78">
        <v>1769.8340000000001</v>
      </c>
      <c r="AM59" s="82">
        <v>0</v>
      </c>
      <c r="AN59" s="78">
        <v>0</v>
      </c>
      <c r="AO59" s="79">
        <v>0</v>
      </c>
      <c r="AP59" s="82">
        <v>0</v>
      </c>
      <c r="AQ59" s="78">
        <v>0</v>
      </c>
      <c r="AR59" s="52">
        <v>0</v>
      </c>
      <c r="AS59" s="48"/>
      <c r="AT59" s="78"/>
      <c r="AU59" s="52">
        <v>0</v>
      </c>
      <c r="AV59" s="48"/>
      <c r="AW59" s="52"/>
      <c r="AX59" s="52">
        <v>0</v>
      </c>
      <c r="AY59" s="87">
        <v>2054.6930000000002</v>
      </c>
      <c r="AZ59" s="52">
        <v>0</v>
      </c>
      <c r="BA59" s="52">
        <v>2054.6930000000002</v>
      </c>
      <c r="BB59" s="48"/>
      <c r="BC59" s="57">
        <v>0</v>
      </c>
      <c r="BD59" s="57">
        <v>0</v>
      </c>
      <c r="BE59" s="57">
        <v>6537.3267000000005</v>
      </c>
      <c r="BF59" s="57">
        <v>0</v>
      </c>
      <c r="BG59" s="57">
        <v>6537.3267000000005</v>
      </c>
      <c r="BH59" s="46"/>
      <c r="BI59" s="57">
        <v>0</v>
      </c>
      <c r="BJ59" s="57">
        <v>0</v>
      </c>
      <c r="BK59" s="57"/>
      <c r="BL59" s="57"/>
      <c r="BM59" s="57">
        <v>0</v>
      </c>
      <c r="BN59" s="57"/>
      <c r="BO59" s="57">
        <v>0</v>
      </c>
      <c r="BP59" s="46"/>
      <c r="BQ59" s="87">
        <v>43053.217969999991</v>
      </c>
      <c r="BR59" s="52">
        <v>30825.674069999997</v>
      </c>
      <c r="BS59" s="52">
        <v>12227.543900000001</v>
      </c>
    </row>
    <row r="60" spans="1:71" ht="12" customHeight="1" x14ac:dyDescent="0.2">
      <c r="A60" s="55">
        <v>2008</v>
      </c>
      <c r="B60" s="55" t="s">
        <v>4</v>
      </c>
      <c r="C60" s="82"/>
      <c r="D60" s="82">
        <v>13975.409745000012</v>
      </c>
      <c r="E60" s="78">
        <v>3889.3593639999999</v>
      </c>
      <c r="F60" s="78">
        <v>10086.050381000012</v>
      </c>
      <c r="G60" s="82"/>
      <c r="H60" s="82"/>
      <c r="I60" s="82">
        <v>4570.8916040000004</v>
      </c>
      <c r="J60" s="82">
        <v>0</v>
      </c>
      <c r="K60" s="82">
        <v>487.262922</v>
      </c>
      <c r="L60" s="82"/>
      <c r="M60" s="82"/>
      <c r="N60" s="82">
        <v>8194.9515050449991</v>
      </c>
      <c r="O60" s="78">
        <v>8194.9513999999999</v>
      </c>
      <c r="P60" s="78">
        <v>0</v>
      </c>
      <c r="Q60" s="73">
        <v>27228.515776045013</v>
      </c>
      <c r="R60" s="78">
        <v>17142.46529</v>
      </c>
      <c r="S60" s="78">
        <v>10086.050381000012</v>
      </c>
      <c r="T60" s="47"/>
      <c r="U60" s="57"/>
      <c r="V60" s="57"/>
      <c r="W60" s="57"/>
      <c r="X60" s="57"/>
      <c r="Y60" s="57">
        <v>0</v>
      </c>
      <c r="Z60" s="57">
        <v>4358.2289619630001</v>
      </c>
      <c r="AA60" s="57">
        <v>4358.2289619630001</v>
      </c>
      <c r="AB60" s="45"/>
      <c r="AC60" s="57">
        <v>0</v>
      </c>
      <c r="AD60" s="78">
        <v>0</v>
      </c>
      <c r="AE60" s="78"/>
      <c r="AF60" s="82">
        <v>279.66035100000005</v>
      </c>
      <c r="AG60" s="78">
        <v>0</v>
      </c>
      <c r="AH60" s="78">
        <v>279.66038000000003</v>
      </c>
      <c r="AI60" s="82"/>
      <c r="AJ60" s="82">
        <v>1911.8029350000002</v>
      </c>
      <c r="AK60" s="78">
        <v>0</v>
      </c>
      <c r="AL60" s="78">
        <v>1911.8030000000001</v>
      </c>
      <c r="AM60" s="82">
        <v>0</v>
      </c>
      <c r="AN60" s="78">
        <v>0</v>
      </c>
      <c r="AO60" s="79">
        <v>0</v>
      </c>
      <c r="AP60" s="82">
        <v>0</v>
      </c>
      <c r="AQ60" s="78">
        <v>0</v>
      </c>
      <c r="AR60" s="52">
        <v>0</v>
      </c>
      <c r="AS60" s="48"/>
      <c r="AT60" s="78"/>
      <c r="AU60" s="52">
        <v>0</v>
      </c>
      <c r="AV60" s="48"/>
      <c r="AW60" s="52"/>
      <c r="AX60" s="52">
        <v>0</v>
      </c>
      <c r="AY60" s="87">
        <v>2191.4632860000002</v>
      </c>
      <c r="AZ60" s="52">
        <v>0</v>
      </c>
      <c r="BA60" s="52">
        <v>2191.4633800000001</v>
      </c>
      <c r="BB60" s="48"/>
      <c r="BC60" s="57">
        <v>0</v>
      </c>
      <c r="BD60" s="57">
        <v>0</v>
      </c>
      <c r="BE60" s="57">
        <v>4519.6157300000004</v>
      </c>
      <c r="BF60" s="57">
        <v>0</v>
      </c>
      <c r="BG60" s="57">
        <v>4519.6157300000004</v>
      </c>
      <c r="BH60" s="46"/>
      <c r="BI60" s="57">
        <v>0</v>
      </c>
      <c r="BJ60" s="57">
        <v>0</v>
      </c>
      <c r="BK60" s="57"/>
      <c r="BL60" s="57"/>
      <c r="BM60" s="57">
        <v>0</v>
      </c>
      <c r="BN60" s="57"/>
      <c r="BO60" s="57">
        <v>0</v>
      </c>
      <c r="BP60" s="46"/>
      <c r="BQ60" s="87">
        <v>38297.823754008008</v>
      </c>
      <c r="BR60" s="52">
        <v>26020.309981963001</v>
      </c>
      <c r="BS60" s="52">
        <v>12277.513761000013</v>
      </c>
    </row>
    <row r="61" spans="1:71" ht="12" customHeight="1" x14ac:dyDescent="0.2">
      <c r="A61" s="55">
        <v>2008</v>
      </c>
      <c r="B61" s="55" t="s">
        <v>5</v>
      </c>
      <c r="C61" s="82"/>
      <c r="D61" s="82">
        <v>14722.591792999998</v>
      </c>
      <c r="E61" s="78">
        <v>5051.8695819999994</v>
      </c>
      <c r="F61" s="78">
        <v>9670.7222109999984</v>
      </c>
      <c r="G61" s="82"/>
      <c r="H61" s="82"/>
      <c r="I61" s="82">
        <v>3651.3100509999999</v>
      </c>
      <c r="J61" s="82">
        <v>0</v>
      </c>
      <c r="K61" s="82">
        <v>730.30704000000003</v>
      </c>
      <c r="L61" s="82"/>
      <c r="M61" s="82"/>
      <c r="N61" s="82">
        <v>8385.7110087099991</v>
      </c>
      <c r="O61" s="78">
        <v>8385.7109</v>
      </c>
      <c r="P61" s="78">
        <v>0</v>
      </c>
      <c r="Q61" s="73">
        <v>27489.919892709997</v>
      </c>
      <c r="R61" s="78">
        <v>17819.197572999998</v>
      </c>
      <c r="S61" s="78">
        <v>9670.7222109999984</v>
      </c>
      <c r="T61" s="47"/>
      <c r="U61" s="57"/>
      <c r="V61" s="57"/>
      <c r="W61" s="57"/>
      <c r="X61" s="57"/>
      <c r="Y61" s="57">
        <v>0</v>
      </c>
      <c r="Z61" s="57">
        <v>5687.9630187870007</v>
      </c>
      <c r="AA61" s="57">
        <v>5687.9630187870007</v>
      </c>
      <c r="AB61" s="45"/>
      <c r="AC61" s="57">
        <v>0</v>
      </c>
      <c r="AD61" s="78">
        <v>0</v>
      </c>
      <c r="AE61" s="78"/>
      <c r="AF61" s="82">
        <v>295.64804700000002</v>
      </c>
      <c r="AG61" s="78">
        <v>0</v>
      </c>
      <c r="AH61" s="78">
        <v>295.64805000000001</v>
      </c>
      <c r="AI61" s="82"/>
      <c r="AJ61" s="82">
        <v>1821.3458989999999</v>
      </c>
      <c r="AK61" s="78">
        <v>0</v>
      </c>
      <c r="AL61" s="78">
        <v>1821.346</v>
      </c>
      <c r="AM61" s="82">
        <v>0</v>
      </c>
      <c r="AN61" s="78">
        <v>0</v>
      </c>
      <c r="AO61" s="79">
        <v>0</v>
      </c>
      <c r="AP61" s="82">
        <v>0</v>
      </c>
      <c r="AQ61" s="78">
        <v>0</v>
      </c>
      <c r="AR61" s="52">
        <v>0</v>
      </c>
      <c r="AS61" s="48"/>
      <c r="AT61" s="78"/>
      <c r="AU61" s="52">
        <v>0</v>
      </c>
      <c r="AV61" s="48"/>
      <c r="AW61" s="52"/>
      <c r="AX61" s="52">
        <v>0</v>
      </c>
      <c r="AY61" s="87">
        <v>2116.9939460000001</v>
      </c>
      <c r="AZ61" s="52">
        <v>0</v>
      </c>
      <c r="BA61" s="52">
        <v>2116.9940500000002</v>
      </c>
      <c r="BB61" s="48"/>
      <c r="BC61" s="57">
        <v>0</v>
      </c>
      <c r="BD61" s="57">
        <v>0</v>
      </c>
      <c r="BE61" s="57">
        <v>5237.6455849999993</v>
      </c>
      <c r="BF61" s="57">
        <v>0</v>
      </c>
      <c r="BG61" s="57">
        <v>5237.6455849999993</v>
      </c>
      <c r="BH61" s="46"/>
      <c r="BI61" s="57">
        <v>0</v>
      </c>
      <c r="BJ61" s="57">
        <v>0</v>
      </c>
      <c r="BK61" s="57"/>
      <c r="BL61" s="57"/>
      <c r="BM61" s="57">
        <v>0</v>
      </c>
      <c r="BN61" s="57"/>
      <c r="BO61" s="57">
        <v>0</v>
      </c>
      <c r="BP61" s="46"/>
      <c r="BQ61" s="87">
        <v>40532.522442497</v>
      </c>
      <c r="BR61" s="52">
        <v>28744.806176786995</v>
      </c>
      <c r="BS61" s="52">
        <v>11787.716260999998</v>
      </c>
    </row>
    <row r="62" spans="1:71" ht="12" customHeight="1" x14ac:dyDescent="0.2">
      <c r="A62" s="55">
        <v>2008</v>
      </c>
      <c r="B62" s="55" t="s">
        <v>6</v>
      </c>
      <c r="C62" s="82"/>
      <c r="D62" s="82">
        <v>14551.938259999999</v>
      </c>
      <c r="E62" s="78">
        <v>5567.0351599999995</v>
      </c>
      <c r="F62" s="78">
        <v>8984.9030999999995</v>
      </c>
      <c r="G62" s="82"/>
      <c r="H62" s="82"/>
      <c r="I62" s="82">
        <v>5769.9930000000004</v>
      </c>
      <c r="J62" s="82">
        <v>0</v>
      </c>
      <c r="K62" s="82">
        <v>731.52121</v>
      </c>
      <c r="L62" s="82"/>
      <c r="M62" s="82"/>
      <c r="N62" s="82">
        <v>5381.5029999999988</v>
      </c>
      <c r="O62" s="78">
        <v>5381.5029999999997</v>
      </c>
      <c r="P62" s="78">
        <v>0</v>
      </c>
      <c r="Q62" s="73">
        <v>26434.955470000001</v>
      </c>
      <c r="R62" s="78">
        <v>17450.052369999998</v>
      </c>
      <c r="S62" s="78">
        <v>8984.9030999999995</v>
      </c>
      <c r="T62" s="47"/>
      <c r="U62" s="57"/>
      <c r="V62" s="57"/>
      <c r="W62" s="57"/>
      <c r="X62" s="57"/>
      <c r="Y62" s="57">
        <v>0</v>
      </c>
      <c r="Z62" s="57">
        <v>3511.5817999999999</v>
      </c>
      <c r="AA62" s="57">
        <v>3511.5817999999999</v>
      </c>
      <c r="AB62" s="45"/>
      <c r="AC62" s="57">
        <v>0</v>
      </c>
      <c r="AD62" s="78">
        <v>0</v>
      </c>
      <c r="AE62" s="78"/>
      <c r="AF62" s="82">
        <v>196.0497</v>
      </c>
      <c r="AG62" s="78">
        <v>0</v>
      </c>
      <c r="AH62" s="78">
        <v>196.0497</v>
      </c>
      <c r="AI62" s="82"/>
      <c r="AJ62" s="82">
        <v>2519.6410000000001</v>
      </c>
      <c r="AK62" s="78">
        <v>340.274</v>
      </c>
      <c r="AL62" s="78">
        <v>2179.3670000000002</v>
      </c>
      <c r="AM62" s="82">
        <v>0</v>
      </c>
      <c r="AN62" s="78">
        <v>0</v>
      </c>
      <c r="AO62" s="79">
        <v>0</v>
      </c>
      <c r="AP62" s="82">
        <v>0</v>
      </c>
      <c r="AQ62" s="78">
        <v>0</v>
      </c>
      <c r="AR62" s="52">
        <v>0</v>
      </c>
      <c r="AS62" s="48"/>
      <c r="AT62" s="78"/>
      <c r="AU62" s="52">
        <v>0</v>
      </c>
      <c r="AV62" s="48"/>
      <c r="AW62" s="52"/>
      <c r="AX62" s="52">
        <v>0</v>
      </c>
      <c r="AY62" s="87">
        <v>2715.6907000000001</v>
      </c>
      <c r="AZ62" s="52">
        <v>340.274</v>
      </c>
      <c r="BA62" s="52">
        <v>2375.4167000000002</v>
      </c>
      <c r="BB62" s="48"/>
      <c r="BC62" s="57">
        <v>0</v>
      </c>
      <c r="BD62" s="57">
        <v>0</v>
      </c>
      <c r="BE62" s="57">
        <v>3949.2482</v>
      </c>
      <c r="BF62" s="57">
        <v>0</v>
      </c>
      <c r="BG62" s="57">
        <v>3949.2482</v>
      </c>
      <c r="BH62" s="46"/>
      <c r="BI62" s="57">
        <v>0</v>
      </c>
      <c r="BJ62" s="57">
        <v>0</v>
      </c>
      <c r="BK62" s="57"/>
      <c r="BL62" s="57"/>
      <c r="BM62" s="57">
        <v>0</v>
      </c>
      <c r="BN62" s="57"/>
      <c r="BO62" s="57">
        <v>0</v>
      </c>
      <c r="BP62" s="46"/>
      <c r="BQ62" s="87">
        <v>36611.476170000002</v>
      </c>
      <c r="BR62" s="52">
        <v>25251.156369999997</v>
      </c>
      <c r="BS62" s="52">
        <v>11360.319799999999</v>
      </c>
    </row>
    <row r="63" spans="1:71" ht="12" customHeight="1" x14ac:dyDescent="0.2">
      <c r="A63" s="55">
        <v>2008</v>
      </c>
      <c r="B63" s="55" t="s">
        <v>7</v>
      </c>
      <c r="C63" s="82"/>
      <c r="D63" s="82">
        <v>13316.268371507998</v>
      </c>
      <c r="E63" s="78">
        <v>4671.0250309079993</v>
      </c>
      <c r="F63" s="78">
        <v>8645.2433405999982</v>
      </c>
      <c r="G63" s="82"/>
      <c r="H63" s="82"/>
      <c r="I63" s="82">
        <v>3681.1958450000002</v>
      </c>
      <c r="J63" s="82">
        <v>0</v>
      </c>
      <c r="K63" s="82">
        <v>491.92638199999999</v>
      </c>
      <c r="L63" s="82"/>
      <c r="M63" s="82"/>
      <c r="N63" s="82">
        <v>7820.5495608209994</v>
      </c>
      <c r="O63" s="78">
        <v>7820.5495600000004</v>
      </c>
      <c r="P63" s="78">
        <v>0</v>
      </c>
      <c r="Q63" s="73">
        <v>25309.940159328999</v>
      </c>
      <c r="R63" s="78">
        <v>16664.696817908</v>
      </c>
      <c r="S63" s="78">
        <v>8645.2433405999982</v>
      </c>
      <c r="T63" s="47"/>
      <c r="U63" s="57"/>
      <c r="V63" s="57"/>
      <c r="W63" s="57"/>
      <c r="X63" s="57"/>
      <c r="Y63" s="57">
        <v>0</v>
      </c>
      <c r="Z63" s="57">
        <v>6396.3924304660004</v>
      </c>
      <c r="AA63" s="57">
        <v>6396.3924304660004</v>
      </c>
      <c r="AB63" s="45"/>
      <c r="AC63" s="57">
        <v>0</v>
      </c>
      <c r="AD63" s="78">
        <v>0</v>
      </c>
      <c r="AE63" s="78"/>
      <c r="AF63" s="82">
        <v>159.68449100000001</v>
      </c>
      <c r="AG63" s="78">
        <v>0</v>
      </c>
      <c r="AH63" s="78">
        <v>159.68450000000001</v>
      </c>
      <c r="AI63" s="82"/>
      <c r="AJ63" s="82">
        <v>2921.2157779999998</v>
      </c>
      <c r="AK63" s="78">
        <v>638.70140000000004</v>
      </c>
      <c r="AL63" s="78">
        <v>2282.5149999999999</v>
      </c>
      <c r="AM63" s="82">
        <v>0</v>
      </c>
      <c r="AN63" s="78">
        <v>0</v>
      </c>
      <c r="AO63" s="79">
        <v>0</v>
      </c>
      <c r="AP63" s="82">
        <v>0</v>
      </c>
      <c r="AQ63" s="78">
        <v>0</v>
      </c>
      <c r="AR63" s="52">
        <v>0</v>
      </c>
      <c r="AS63" s="48"/>
      <c r="AT63" s="78"/>
      <c r="AU63" s="52">
        <v>0</v>
      </c>
      <c r="AV63" s="48"/>
      <c r="AW63" s="52"/>
      <c r="AX63" s="52">
        <v>0</v>
      </c>
      <c r="AY63" s="87">
        <v>3080.9002689999998</v>
      </c>
      <c r="AZ63" s="52">
        <v>638.70140000000004</v>
      </c>
      <c r="BA63" s="52">
        <v>2442.1994999999997</v>
      </c>
      <c r="BB63" s="48"/>
      <c r="BC63" s="57">
        <v>0</v>
      </c>
      <c r="BD63" s="57">
        <v>0</v>
      </c>
      <c r="BE63" s="57">
        <v>4558.5508609999997</v>
      </c>
      <c r="BF63" s="57">
        <v>0</v>
      </c>
      <c r="BG63" s="57">
        <v>4558.5508609999997</v>
      </c>
      <c r="BH63" s="46"/>
      <c r="BI63" s="57">
        <v>0</v>
      </c>
      <c r="BJ63" s="57">
        <v>0</v>
      </c>
      <c r="BK63" s="57"/>
      <c r="BL63" s="57"/>
      <c r="BM63" s="57">
        <v>0</v>
      </c>
      <c r="BN63" s="57"/>
      <c r="BO63" s="57">
        <v>0</v>
      </c>
      <c r="BP63" s="46"/>
      <c r="BQ63" s="87">
        <v>39345.783719794999</v>
      </c>
      <c r="BR63" s="52">
        <v>28258.341509374</v>
      </c>
      <c r="BS63" s="52">
        <v>11087.442840599997</v>
      </c>
    </row>
    <row r="64" spans="1:71" ht="12" customHeight="1" x14ac:dyDescent="0.2">
      <c r="A64" s="55">
        <v>2008</v>
      </c>
      <c r="B64" s="55" t="s">
        <v>8</v>
      </c>
      <c r="C64" s="82"/>
      <c r="D64" s="82">
        <v>13522.501588380997</v>
      </c>
      <c r="E64" s="78">
        <v>4429.7051563810001</v>
      </c>
      <c r="F64" s="78">
        <v>9092.7964319999974</v>
      </c>
      <c r="G64" s="82"/>
      <c r="H64" s="82"/>
      <c r="I64" s="82">
        <v>3747.3704630000002</v>
      </c>
      <c r="J64" s="82">
        <v>0</v>
      </c>
      <c r="K64" s="82">
        <v>488.65575399999994</v>
      </c>
      <c r="L64" s="82"/>
      <c r="M64" s="82"/>
      <c r="N64" s="82">
        <v>10359.912332676999</v>
      </c>
      <c r="O64" s="78">
        <v>10359.91243</v>
      </c>
      <c r="P64" s="78">
        <v>0</v>
      </c>
      <c r="Q64" s="73">
        <v>28118.440138057995</v>
      </c>
      <c r="R64" s="78">
        <v>19025.643803381001</v>
      </c>
      <c r="S64" s="78">
        <v>9092.7964319999974</v>
      </c>
      <c r="T64" s="47"/>
      <c r="U64" s="57"/>
      <c r="V64" s="57"/>
      <c r="W64" s="57"/>
      <c r="X64" s="57"/>
      <c r="Y64" s="57">
        <v>0</v>
      </c>
      <c r="Z64" s="57">
        <v>3915.0227818439998</v>
      </c>
      <c r="AA64" s="57">
        <v>3915.0227818439998</v>
      </c>
      <c r="AB64" s="45"/>
      <c r="AC64" s="57">
        <v>0</v>
      </c>
      <c r="AD64" s="78">
        <v>0</v>
      </c>
      <c r="AE64" s="78"/>
      <c r="AF64" s="82">
        <v>1.5539639999999999</v>
      </c>
      <c r="AG64" s="78">
        <v>0</v>
      </c>
      <c r="AH64" s="78">
        <v>1.55396</v>
      </c>
      <c r="AI64" s="82"/>
      <c r="AJ64" s="82">
        <v>2117.5174109999998</v>
      </c>
      <c r="AK64" s="78">
        <v>0</v>
      </c>
      <c r="AL64" s="78">
        <v>2117.518</v>
      </c>
      <c r="AM64" s="82">
        <v>0</v>
      </c>
      <c r="AN64" s="78">
        <v>0</v>
      </c>
      <c r="AO64" s="79">
        <v>0</v>
      </c>
      <c r="AP64" s="82">
        <v>0</v>
      </c>
      <c r="AQ64" s="78">
        <v>0</v>
      </c>
      <c r="AR64" s="52">
        <v>0</v>
      </c>
      <c r="AS64" s="48"/>
      <c r="AT64" s="78"/>
      <c r="AU64" s="52">
        <v>0</v>
      </c>
      <c r="AV64" s="48"/>
      <c r="AW64" s="52"/>
      <c r="AX64" s="52">
        <v>0</v>
      </c>
      <c r="AY64" s="87">
        <v>2119.071375</v>
      </c>
      <c r="AZ64" s="52">
        <v>0</v>
      </c>
      <c r="BA64" s="52">
        <v>2119.0719600000002</v>
      </c>
      <c r="BB64" s="48"/>
      <c r="BC64" s="57">
        <v>0</v>
      </c>
      <c r="BD64" s="57">
        <v>0</v>
      </c>
      <c r="BE64" s="57">
        <v>4790.6225839999997</v>
      </c>
      <c r="BF64" s="57">
        <v>0</v>
      </c>
      <c r="BG64" s="57">
        <v>4790.6225839999997</v>
      </c>
      <c r="BH64" s="46"/>
      <c r="BI64" s="57">
        <v>0</v>
      </c>
      <c r="BJ64" s="57">
        <v>0</v>
      </c>
      <c r="BK64" s="57"/>
      <c r="BL64" s="57"/>
      <c r="BM64" s="57">
        <v>0</v>
      </c>
      <c r="BN64" s="57"/>
      <c r="BO64" s="57">
        <v>0</v>
      </c>
      <c r="BP64" s="46"/>
      <c r="BQ64" s="87">
        <v>38943.156878901995</v>
      </c>
      <c r="BR64" s="52">
        <v>27731.289169225001</v>
      </c>
      <c r="BS64" s="52">
        <v>11211.868391999997</v>
      </c>
    </row>
    <row r="65" spans="1:71" ht="12" customHeight="1" x14ac:dyDescent="0.2">
      <c r="A65" s="55">
        <v>2008</v>
      </c>
      <c r="B65" s="55" t="s">
        <v>9</v>
      </c>
      <c r="C65" s="82"/>
      <c r="D65" s="82">
        <v>13547.120339999998</v>
      </c>
      <c r="E65" s="78">
        <v>4486.78964</v>
      </c>
      <c r="F65" s="78">
        <v>9060.3306999999986</v>
      </c>
      <c r="G65" s="82"/>
      <c r="H65" s="82"/>
      <c r="I65" s="82">
        <v>5335.3233</v>
      </c>
      <c r="J65" s="82">
        <v>0</v>
      </c>
      <c r="K65" s="82">
        <v>245.99520000000001</v>
      </c>
      <c r="L65" s="82"/>
      <c r="M65" s="82"/>
      <c r="N65" s="82">
        <v>9109.1418000000012</v>
      </c>
      <c r="O65" s="78">
        <v>9109.1418000000012</v>
      </c>
      <c r="P65" s="78">
        <v>0</v>
      </c>
      <c r="Q65" s="73">
        <v>28237.58064</v>
      </c>
      <c r="R65" s="78">
        <v>19177.249940000002</v>
      </c>
      <c r="S65" s="78">
        <v>9060.3306999999986</v>
      </c>
      <c r="T65" s="47"/>
      <c r="U65" s="57"/>
      <c r="V65" s="57"/>
      <c r="W65" s="57"/>
      <c r="X65" s="57"/>
      <c r="Y65" s="57">
        <v>0</v>
      </c>
      <c r="Z65" s="57">
        <v>4392.2717000000002</v>
      </c>
      <c r="AA65" s="57">
        <v>4392.2717000000002</v>
      </c>
      <c r="AB65" s="45"/>
      <c r="AC65" s="57">
        <v>0</v>
      </c>
      <c r="AD65" s="78">
        <v>0</v>
      </c>
      <c r="AE65" s="78"/>
      <c r="AF65" s="82">
        <v>0</v>
      </c>
      <c r="AG65" s="78">
        <v>0</v>
      </c>
      <c r="AH65" s="78">
        <v>0</v>
      </c>
      <c r="AI65" s="82"/>
      <c r="AJ65" s="82">
        <v>0</v>
      </c>
      <c r="AK65" s="78">
        <v>0</v>
      </c>
      <c r="AL65" s="78">
        <v>0</v>
      </c>
      <c r="AM65" s="82">
        <v>0</v>
      </c>
      <c r="AN65" s="78">
        <v>0</v>
      </c>
      <c r="AO65" s="79">
        <v>0</v>
      </c>
      <c r="AP65" s="82">
        <v>0</v>
      </c>
      <c r="AQ65" s="78">
        <v>0</v>
      </c>
      <c r="AR65" s="52">
        <v>0</v>
      </c>
      <c r="AS65" s="48"/>
      <c r="AT65" s="78"/>
      <c r="AU65" s="52">
        <v>0</v>
      </c>
      <c r="AV65" s="48"/>
      <c r="AW65" s="52"/>
      <c r="AX65" s="52">
        <v>0</v>
      </c>
      <c r="AY65" s="87">
        <v>0</v>
      </c>
      <c r="AZ65" s="52">
        <v>0</v>
      </c>
      <c r="BA65" s="52">
        <v>0</v>
      </c>
      <c r="BB65" s="48"/>
      <c r="BC65" s="57">
        <v>0</v>
      </c>
      <c r="BD65" s="57">
        <v>0</v>
      </c>
      <c r="BE65" s="57">
        <v>4494.3365357759758</v>
      </c>
      <c r="BF65" s="57">
        <v>0</v>
      </c>
      <c r="BG65" s="57">
        <v>4494.3365357759831</v>
      </c>
      <c r="BH65" s="46"/>
      <c r="BI65" s="57">
        <v>0</v>
      </c>
      <c r="BJ65" s="57">
        <v>0</v>
      </c>
      <c r="BK65" s="57"/>
      <c r="BL65" s="57"/>
      <c r="BM65" s="57">
        <v>0</v>
      </c>
      <c r="BN65" s="57"/>
      <c r="BO65" s="57">
        <v>0</v>
      </c>
      <c r="BP65" s="46"/>
      <c r="BQ65" s="87">
        <v>37124.192286207923</v>
      </c>
      <c r="BR65" s="52">
        <v>28063.84614310399</v>
      </c>
      <c r="BS65" s="52">
        <v>9060.3293215520098</v>
      </c>
    </row>
    <row r="66" spans="1:71" ht="12" customHeight="1" x14ac:dyDescent="0.2">
      <c r="A66" s="55">
        <v>2008</v>
      </c>
      <c r="B66" s="55" t="s">
        <v>10</v>
      </c>
      <c r="C66" s="82"/>
      <c r="D66" s="82">
        <v>12098.78397525</v>
      </c>
      <c r="E66" s="78">
        <v>4175.2993699999997</v>
      </c>
      <c r="F66" s="78">
        <v>7923.4846052499997</v>
      </c>
      <c r="G66" s="82"/>
      <c r="H66" s="82"/>
      <c r="I66" s="82">
        <v>5590.6820989999997</v>
      </c>
      <c r="J66" s="82">
        <v>0</v>
      </c>
      <c r="K66" s="82">
        <v>0</v>
      </c>
      <c r="L66" s="82"/>
      <c r="M66" s="82"/>
      <c r="N66" s="82">
        <v>5253.4050593080001</v>
      </c>
      <c r="O66" s="78">
        <v>5253.4050999999999</v>
      </c>
      <c r="P66" s="78">
        <v>0</v>
      </c>
      <c r="Q66" s="73">
        <v>22942.871133558001</v>
      </c>
      <c r="R66" s="78">
        <v>15019.386569</v>
      </c>
      <c r="S66" s="78">
        <v>7923.4846052499997</v>
      </c>
      <c r="T66" s="47"/>
      <c r="U66" s="57"/>
      <c r="V66" s="57"/>
      <c r="W66" s="57"/>
      <c r="X66" s="57"/>
      <c r="Y66" s="57">
        <v>0</v>
      </c>
      <c r="Z66" s="57">
        <v>4008.7158830000003</v>
      </c>
      <c r="AA66" s="57">
        <v>4008.7158830000003</v>
      </c>
      <c r="AB66" s="45"/>
      <c r="AC66" s="57">
        <v>862.39081700000008</v>
      </c>
      <c r="AD66" s="78">
        <v>862.39081700000008</v>
      </c>
      <c r="AE66" s="78"/>
      <c r="AF66" s="82">
        <v>0</v>
      </c>
      <c r="AG66" s="78">
        <v>0</v>
      </c>
      <c r="AH66" s="78">
        <v>0</v>
      </c>
      <c r="AI66" s="82"/>
      <c r="AJ66" s="82">
        <v>2399.4029949999999</v>
      </c>
      <c r="AK66" s="78">
        <v>949.91740000000004</v>
      </c>
      <c r="AL66" s="78">
        <v>1449.4860000000001</v>
      </c>
      <c r="AM66" s="82">
        <v>0</v>
      </c>
      <c r="AN66" s="78">
        <v>0</v>
      </c>
      <c r="AO66" s="79">
        <v>0</v>
      </c>
      <c r="AP66" s="82">
        <v>0</v>
      </c>
      <c r="AQ66" s="78">
        <v>0</v>
      </c>
      <c r="AR66" s="52">
        <v>0</v>
      </c>
      <c r="AS66" s="48"/>
      <c r="AT66" s="78"/>
      <c r="AU66" s="52">
        <v>0</v>
      </c>
      <c r="AV66" s="48"/>
      <c r="AW66" s="52"/>
      <c r="AX66" s="52">
        <v>0</v>
      </c>
      <c r="AY66" s="87">
        <v>3261.7938119999999</v>
      </c>
      <c r="AZ66" s="52">
        <v>1812.3082170000002</v>
      </c>
      <c r="BA66" s="52">
        <v>1449.4860000000001</v>
      </c>
      <c r="BB66" s="48"/>
      <c r="BC66" s="57">
        <v>0</v>
      </c>
      <c r="BD66" s="57">
        <v>0</v>
      </c>
      <c r="BE66" s="57">
        <v>3511.631093</v>
      </c>
      <c r="BF66" s="57">
        <v>0</v>
      </c>
      <c r="BG66" s="57">
        <v>3511.631093</v>
      </c>
      <c r="BH66" s="46"/>
      <c r="BI66" s="57">
        <v>0</v>
      </c>
      <c r="BJ66" s="57">
        <v>0</v>
      </c>
      <c r="BK66" s="57"/>
      <c r="BL66" s="57"/>
      <c r="BM66" s="57">
        <v>0</v>
      </c>
      <c r="BN66" s="57"/>
      <c r="BO66" s="57">
        <v>0</v>
      </c>
      <c r="BP66" s="46"/>
      <c r="BQ66" s="87">
        <v>33725.011921558005</v>
      </c>
      <c r="BR66" s="52">
        <v>24352.041762000001</v>
      </c>
      <c r="BS66" s="52">
        <v>9372.9706052500005</v>
      </c>
    </row>
    <row r="67" spans="1:71" ht="12" customHeight="1" x14ac:dyDescent="0.2">
      <c r="A67" s="55">
        <v>2008</v>
      </c>
      <c r="B67" s="55" t="s">
        <v>11</v>
      </c>
      <c r="C67" s="82"/>
      <c r="D67" s="82">
        <v>11946.583757269</v>
      </c>
      <c r="E67" s="78">
        <v>3498.0562732690005</v>
      </c>
      <c r="F67" s="78">
        <v>8448.5274839999984</v>
      </c>
      <c r="G67" s="82"/>
      <c r="H67" s="82"/>
      <c r="I67" s="82">
        <v>6050.7831510000005</v>
      </c>
      <c r="J67" s="82">
        <v>0</v>
      </c>
      <c r="K67" s="82">
        <v>243.66650700000002</v>
      </c>
      <c r="L67" s="82"/>
      <c r="M67" s="82"/>
      <c r="N67" s="82">
        <v>5487.497894696</v>
      </c>
      <c r="O67" s="78">
        <v>5487.497800000001</v>
      </c>
      <c r="P67" s="78">
        <v>0</v>
      </c>
      <c r="Q67" s="73">
        <v>23728.531309965001</v>
      </c>
      <c r="R67" s="78">
        <v>15280.003731269002</v>
      </c>
      <c r="S67" s="78">
        <v>8448.5274839999984</v>
      </c>
      <c r="T67" s="47"/>
      <c r="U67" s="57"/>
      <c r="V67" s="57"/>
      <c r="W67" s="57"/>
      <c r="X67" s="57"/>
      <c r="Y67" s="57">
        <v>0</v>
      </c>
      <c r="Z67" s="57">
        <v>3398.9666656270001</v>
      </c>
      <c r="AA67" s="57">
        <v>3398.9666656270001</v>
      </c>
      <c r="AB67" s="45"/>
      <c r="AC67" s="57">
        <v>835.671379</v>
      </c>
      <c r="AD67" s="78">
        <v>835.671379</v>
      </c>
      <c r="AE67" s="78"/>
      <c r="AF67" s="82">
        <v>37.320779999999999</v>
      </c>
      <c r="AG67" s="78">
        <v>0</v>
      </c>
      <c r="AH67" s="78">
        <v>37.320779999999999</v>
      </c>
      <c r="AI67" s="82"/>
      <c r="AJ67" s="82">
        <v>4291.2936019999997</v>
      </c>
      <c r="AK67" s="78">
        <v>2816.0437299999999</v>
      </c>
      <c r="AL67" s="78">
        <v>1475.25</v>
      </c>
      <c r="AM67" s="82">
        <v>0</v>
      </c>
      <c r="AN67" s="78">
        <v>0</v>
      </c>
      <c r="AO67" s="79">
        <v>0</v>
      </c>
      <c r="AP67" s="82">
        <v>0</v>
      </c>
      <c r="AQ67" s="78">
        <v>0</v>
      </c>
      <c r="AR67" s="52">
        <v>0</v>
      </c>
      <c r="AS67" s="48"/>
      <c r="AT67" s="78"/>
      <c r="AU67" s="52">
        <v>0</v>
      </c>
      <c r="AV67" s="48"/>
      <c r="AW67" s="52"/>
      <c r="AX67" s="52">
        <v>0</v>
      </c>
      <c r="AY67" s="87">
        <v>5164.2857610000001</v>
      </c>
      <c r="AZ67" s="52">
        <v>3651.7151089999998</v>
      </c>
      <c r="BA67" s="52">
        <v>1512.57078</v>
      </c>
      <c r="BB67" s="48"/>
      <c r="BC67" s="57">
        <v>0</v>
      </c>
      <c r="BD67" s="57">
        <v>0</v>
      </c>
      <c r="BE67" s="57">
        <v>4316.9013900000009</v>
      </c>
      <c r="BF67" s="57">
        <v>0</v>
      </c>
      <c r="BG67" s="57">
        <v>4316.9013900000009</v>
      </c>
      <c r="BH67" s="46"/>
      <c r="BI67" s="57">
        <v>0</v>
      </c>
      <c r="BJ67" s="57">
        <v>0</v>
      </c>
      <c r="BK67" s="57"/>
      <c r="BL67" s="57"/>
      <c r="BM67" s="57">
        <v>0</v>
      </c>
      <c r="BN67" s="57"/>
      <c r="BO67" s="57">
        <v>0</v>
      </c>
      <c r="BP67" s="46"/>
      <c r="BQ67" s="87">
        <v>36608.685126591998</v>
      </c>
      <c r="BR67" s="52">
        <v>26647.586895896005</v>
      </c>
      <c r="BS67" s="52">
        <v>9961.0982639999984</v>
      </c>
    </row>
    <row r="68" spans="1:71" ht="12" customHeight="1" x14ac:dyDescent="0.2">
      <c r="A68" s="55">
        <v>2008</v>
      </c>
      <c r="B68" s="55" t="s">
        <v>12</v>
      </c>
      <c r="C68" s="82"/>
      <c r="D68" s="82">
        <v>12589.63645</v>
      </c>
      <c r="E68" s="78">
        <v>4281.7250469999999</v>
      </c>
      <c r="F68" s="78">
        <v>8307.9114030000001</v>
      </c>
      <c r="G68" s="82"/>
      <c r="H68" s="82"/>
      <c r="I68" s="82">
        <v>3088.5710750000003</v>
      </c>
      <c r="J68" s="82">
        <v>945.45519899999999</v>
      </c>
      <c r="K68" s="82">
        <v>487.410775</v>
      </c>
      <c r="L68" s="82"/>
      <c r="M68" s="82"/>
      <c r="N68" s="82">
        <v>9062.4817770000009</v>
      </c>
      <c r="O68" s="78">
        <v>9062.4818000000014</v>
      </c>
      <c r="P68" s="78">
        <v>0</v>
      </c>
      <c r="Q68" s="73">
        <v>26173.555275999999</v>
      </c>
      <c r="R68" s="78">
        <v>17865.643896000001</v>
      </c>
      <c r="S68" s="78">
        <v>8307.9114030000001</v>
      </c>
      <c r="T68" s="47"/>
      <c r="U68" s="57"/>
      <c r="V68" s="57"/>
      <c r="W68" s="57"/>
      <c r="X68" s="57"/>
      <c r="Y68" s="57">
        <v>0</v>
      </c>
      <c r="Z68" s="57">
        <v>4339.9604140000001</v>
      </c>
      <c r="AA68" s="57">
        <v>4339.9604140000001</v>
      </c>
      <c r="AB68" s="45"/>
      <c r="AC68" s="57">
        <v>0</v>
      </c>
      <c r="AD68" s="78">
        <v>0</v>
      </c>
      <c r="AE68" s="78"/>
      <c r="AF68" s="82">
        <v>68.177000000000007</v>
      </c>
      <c r="AG68" s="78">
        <v>0</v>
      </c>
      <c r="AH68" s="78">
        <v>68.177000000000007</v>
      </c>
      <c r="AI68" s="82"/>
      <c r="AJ68" s="82">
        <v>2813.6380679999997</v>
      </c>
      <c r="AK68" s="78">
        <v>982.6413</v>
      </c>
      <c r="AL68" s="78">
        <v>1830.9970000000001</v>
      </c>
      <c r="AM68" s="82">
        <v>0</v>
      </c>
      <c r="AN68" s="78">
        <v>0</v>
      </c>
      <c r="AO68" s="79">
        <v>0</v>
      </c>
      <c r="AP68" s="82">
        <v>0</v>
      </c>
      <c r="AQ68" s="78">
        <v>0</v>
      </c>
      <c r="AR68" s="52">
        <v>0</v>
      </c>
      <c r="AS68" s="48"/>
      <c r="AT68" s="78"/>
      <c r="AU68" s="52">
        <v>0</v>
      </c>
      <c r="AV68" s="48"/>
      <c r="AW68" s="52"/>
      <c r="AX68" s="52">
        <v>0</v>
      </c>
      <c r="AY68" s="87">
        <v>2881.8150679999999</v>
      </c>
      <c r="AZ68" s="52">
        <v>982.6413</v>
      </c>
      <c r="BA68" s="52">
        <v>1899.174</v>
      </c>
      <c r="BB68" s="48"/>
      <c r="BC68" s="57">
        <v>0</v>
      </c>
      <c r="BD68" s="57">
        <v>959.38056400000005</v>
      </c>
      <c r="BE68" s="57">
        <v>5404.6244539999998</v>
      </c>
      <c r="BF68" s="57">
        <v>0</v>
      </c>
      <c r="BG68" s="57">
        <v>6364.0050179999998</v>
      </c>
      <c r="BH68" s="46"/>
      <c r="BI68" s="57">
        <v>0</v>
      </c>
      <c r="BJ68" s="57">
        <v>0</v>
      </c>
      <c r="BK68" s="57"/>
      <c r="BL68" s="57"/>
      <c r="BM68" s="57">
        <v>0</v>
      </c>
      <c r="BN68" s="57"/>
      <c r="BO68" s="57">
        <v>0</v>
      </c>
      <c r="BP68" s="46"/>
      <c r="BQ68" s="87">
        <v>39759.335775999993</v>
      </c>
      <c r="BR68" s="52">
        <v>29552.250628000002</v>
      </c>
      <c r="BS68" s="52">
        <v>10207.085403000001</v>
      </c>
    </row>
    <row r="69" spans="1:71" ht="12" customHeight="1" x14ac:dyDescent="0.2">
      <c r="A69" s="55">
        <v>2008</v>
      </c>
      <c r="B69" s="55" t="s">
        <v>13</v>
      </c>
      <c r="C69" s="82"/>
      <c r="D69" s="82">
        <v>10811.583099903</v>
      </c>
      <c r="E69" s="78">
        <v>3611.996846903</v>
      </c>
      <c r="F69" s="78">
        <v>7199.5862530000004</v>
      </c>
      <c r="G69" s="82"/>
      <c r="H69" s="82"/>
      <c r="I69" s="82">
        <v>1774.1433959999999</v>
      </c>
      <c r="J69" s="82">
        <v>0</v>
      </c>
      <c r="K69" s="82">
        <v>728.00246300000003</v>
      </c>
      <c r="L69" s="82"/>
      <c r="M69" s="82"/>
      <c r="N69" s="82">
        <v>9399.8330500680004</v>
      </c>
      <c r="O69" s="78">
        <v>9399.8329300000023</v>
      </c>
      <c r="P69" s="78">
        <v>0</v>
      </c>
      <c r="Q69" s="73">
        <v>22713.562008971003</v>
      </c>
      <c r="R69" s="78">
        <v>15513.975635903003</v>
      </c>
      <c r="S69" s="78">
        <v>7199.5862530000004</v>
      </c>
      <c r="T69" s="47"/>
      <c r="U69" s="57"/>
      <c r="V69" s="57"/>
      <c r="W69" s="57"/>
      <c r="X69" s="57"/>
      <c r="Y69" s="57">
        <v>0</v>
      </c>
      <c r="Z69" s="57">
        <v>5218.5499858030016</v>
      </c>
      <c r="AA69" s="57">
        <v>5218.5499858030016</v>
      </c>
      <c r="AB69" s="45"/>
      <c r="AC69" s="57">
        <v>0</v>
      </c>
      <c r="AD69" s="78">
        <v>0</v>
      </c>
      <c r="AE69" s="78"/>
      <c r="AF69" s="82">
        <v>119.98113000000001</v>
      </c>
      <c r="AG69" s="78">
        <v>0</v>
      </c>
      <c r="AH69" s="78">
        <v>119.98110000000001</v>
      </c>
      <c r="AI69" s="82"/>
      <c r="AJ69" s="82">
        <v>3856.5989419999996</v>
      </c>
      <c r="AK69" s="78">
        <v>1894.5458000000001</v>
      </c>
      <c r="AL69" s="78">
        <v>1962.0530000000001</v>
      </c>
      <c r="AM69" s="82">
        <v>0</v>
      </c>
      <c r="AN69" s="78">
        <v>0</v>
      </c>
      <c r="AO69" s="79">
        <v>0</v>
      </c>
      <c r="AP69" s="82">
        <v>0</v>
      </c>
      <c r="AQ69" s="78">
        <v>0</v>
      </c>
      <c r="AR69" s="52">
        <v>0</v>
      </c>
      <c r="AS69" s="48"/>
      <c r="AT69" s="78"/>
      <c r="AU69" s="52">
        <v>0</v>
      </c>
      <c r="AV69" s="48"/>
      <c r="AW69" s="52"/>
      <c r="AX69" s="52">
        <v>0</v>
      </c>
      <c r="AY69" s="87">
        <v>3976.5800719999997</v>
      </c>
      <c r="AZ69" s="52">
        <v>1894.5458000000001</v>
      </c>
      <c r="BA69" s="52">
        <v>2082.0341000000003</v>
      </c>
      <c r="BB69" s="48"/>
      <c r="BC69" s="57">
        <v>0</v>
      </c>
      <c r="BD69" s="57">
        <v>956.39201700000001</v>
      </c>
      <c r="BE69" s="57">
        <v>5569.0085090000002</v>
      </c>
      <c r="BF69" s="57">
        <v>0</v>
      </c>
      <c r="BG69" s="57">
        <v>6525.4005260000004</v>
      </c>
      <c r="BH69" s="46"/>
      <c r="BI69" s="57">
        <v>0</v>
      </c>
      <c r="BJ69" s="57">
        <v>0</v>
      </c>
      <c r="BK69" s="57"/>
      <c r="BL69" s="57"/>
      <c r="BM69" s="57">
        <v>0</v>
      </c>
      <c r="BN69" s="57"/>
      <c r="BO69" s="57">
        <v>0</v>
      </c>
      <c r="BP69" s="46"/>
      <c r="BQ69" s="87">
        <v>38434.092592774003</v>
      </c>
      <c r="BR69" s="52">
        <v>29152.471947706006</v>
      </c>
      <c r="BS69" s="52">
        <v>9281.6203530000003</v>
      </c>
    </row>
    <row r="70" spans="1:71" ht="12" customHeight="1" x14ac:dyDescent="0.2">
      <c r="A70" s="55">
        <v>2008</v>
      </c>
      <c r="B70" s="55" t="s">
        <v>14</v>
      </c>
      <c r="C70" s="82"/>
      <c r="D70" s="82">
        <v>9741.2072840000001</v>
      </c>
      <c r="E70" s="78">
        <v>3668.6501010000002</v>
      </c>
      <c r="F70" s="78">
        <v>6072.5571829999999</v>
      </c>
      <c r="G70" s="82"/>
      <c r="H70" s="82"/>
      <c r="I70" s="82">
        <v>4593.2986900000005</v>
      </c>
      <c r="J70" s="82">
        <v>0</v>
      </c>
      <c r="K70" s="82">
        <v>727.74471100000005</v>
      </c>
      <c r="L70" s="82"/>
      <c r="M70" s="82"/>
      <c r="N70" s="82">
        <v>4260.0752910000001</v>
      </c>
      <c r="O70" s="78">
        <v>4260.0753999999997</v>
      </c>
      <c r="P70" s="78">
        <v>0</v>
      </c>
      <c r="Q70" s="73">
        <v>19322.325976</v>
      </c>
      <c r="R70" s="78">
        <v>13249.768902</v>
      </c>
      <c r="S70" s="78">
        <v>6072.5571829999999</v>
      </c>
      <c r="T70" s="47"/>
      <c r="U70" s="57"/>
      <c r="V70" s="57"/>
      <c r="W70" s="57"/>
      <c r="X70" s="57"/>
      <c r="Y70" s="57">
        <v>0</v>
      </c>
      <c r="Z70" s="57">
        <v>5187.2283035840001</v>
      </c>
      <c r="AA70" s="57">
        <v>5187.2283035840001</v>
      </c>
      <c r="AB70" s="45"/>
      <c r="AC70" s="57">
        <v>270.86334199999999</v>
      </c>
      <c r="AD70" s="78">
        <v>270.86334199999999</v>
      </c>
      <c r="AE70" s="78"/>
      <c r="AF70" s="82">
        <v>62.161199999999994</v>
      </c>
      <c r="AG70" s="78">
        <v>0</v>
      </c>
      <c r="AH70" s="78">
        <v>62.161199999999994</v>
      </c>
      <c r="AI70" s="82"/>
      <c r="AJ70" s="82">
        <v>5856.5019860000002</v>
      </c>
      <c r="AK70" s="78">
        <v>3829.047</v>
      </c>
      <c r="AL70" s="78">
        <v>2027.4549999999999</v>
      </c>
      <c r="AM70" s="82">
        <v>0</v>
      </c>
      <c r="AN70" s="78">
        <v>0</v>
      </c>
      <c r="AO70" s="79">
        <v>0</v>
      </c>
      <c r="AP70" s="82">
        <v>0</v>
      </c>
      <c r="AQ70" s="78">
        <v>0</v>
      </c>
      <c r="AR70" s="52">
        <v>0</v>
      </c>
      <c r="AS70" s="48"/>
      <c r="AT70" s="78"/>
      <c r="AU70" s="52">
        <v>0</v>
      </c>
      <c r="AV70" s="48"/>
      <c r="AW70" s="52"/>
      <c r="AX70" s="52">
        <v>0</v>
      </c>
      <c r="AY70" s="87">
        <v>6189.5265279999994</v>
      </c>
      <c r="AZ70" s="52">
        <v>4099.9103420000001</v>
      </c>
      <c r="BA70" s="52">
        <v>2089.6161999999999</v>
      </c>
      <c r="BB70" s="48"/>
      <c r="BC70" s="57">
        <v>0</v>
      </c>
      <c r="BD70" s="57">
        <v>0</v>
      </c>
      <c r="BE70" s="57">
        <v>4437.7753599999996</v>
      </c>
      <c r="BF70" s="57">
        <v>0</v>
      </c>
      <c r="BG70" s="57">
        <v>4437.7753599999996</v>
      </c>
      <c r="BH70" s="46"/>
      <c r="BI70" s="57">
        <v>0</v>
      </c>
      <c r="BJ70" s="57">
        <v>0</v>
      </c>
      <c r="BK70" s="57"/>
      <c r="BL70" s="57"/>
      <c r="BM70" s="57">
        <v>0</v>
      </c>
      <c r="BN70" s="57"/>
      <c r="BO70" s="57">
        <v>0</v>
      </c>
      <c r="BP70" s="46"/>
      <c r="BQ70" s="87">
        <v>35136.856167584003</v>
      </c>
      <c r="BR70" s="52">
        <v>26974.682907584</v>
      </c>
      <c r="BS70" s="52">
        <v>8162.1733829999994</v>
      </c>
    </row>
    <row r="71" spans="1:71" ht="12" customHeight="1" x14ac:dyDescent="0.2">
      <c r="A71" s="55">
        <v>2008</v>
      </c>
      <c r="B71" s="55" t="s">
        <v>15</v>
      </c>
      <c r="C71" s="82"/>
      <c r="D71" s="82">
        <v>155287.84601431101</v>
      </c>
      <c r="E71" s="78">
        <v>51622.882021460995</v>
      </c>
      <c r="F71" s="78">
        <v>103664.96399285</v>
      </c>
      <c r="G71" s="82"/>
      <c r="H71" s="82"/>
      <c r="I71" s="82">
        <v>51835.278874000011</v>
      </c>
      <c r="J71" s="82">
        <v>945.45519899999999</v>
      </c>
      <c r="K71" s="82">
        <v>6090.3413639999999</v>
      </c>
      <c r="L71" s="82"/>
      <c r="M71" s="82"/>
      <c r="N71" s="82">
        <v>92608.487479324991</v>
      </c>
      <c r="O71" s="78">
        <v>92608.487320000015</v>
      </c>
      <c r="P71" s="78">
        <v>0</v>
      </c>
      <c r="Q71" s="73">
        <v>306767.40893063601</v>
      </c>
      <c r="R71" s="78">
        <v>203102.44477846101</v>
      </c>
      <c r="S71" s="78">
        <v>103664.96399285</v>
      </c>
      <c r="T71" s="47"/>
      <c r="U71" s="57"/>
      <c r="V71" s="57"/>
      <c r="W71" s="57"/>
      <c r="X71" s="57"/>
      <c r="Y71" s="57">
        <v>0</v>
      </c>
      <c r="Z71" s="57">
        <v>55808.869065073995</v>
      </c>
      <c r="AA71" s="57">
        <v>55808.869065073995</v>
      </c>
      <c r="AB71" s="45"/>
      <c r="AC71" s="57">
        <v>1968.925538</v>
      </c>
      <c r="AD71" s="78">
        <v>1968.925538</v>
      </c>
      <c r="AE71" s="78"/>
      <c r="AF71" s="82">
        <v>1505.0956630000001</v>
      </c>
      <c r="AG71" s="78">
        <v>0</v>
      </c>
      <c r="AH71" s="78">
        <v>1505.0956699999999</v>
      </c>
      <c r="AI71" s="82"/>
      <c r="AJ71" s="82">
        <v>32278.792615999999</v>
      </c>
      <c r="AK71" s="78">
        <v>11451.170630000001</v>
      </c>
      <c r="AL71" s="78">
        <v>20827.624000000003</v>
      </c>
      <c r="AM71" s="82">
        <v>0</v>
      </c>
      <c r="AN71" s="78">
        <v>0</v>
      </c>
      <c r="AO71" s="79">
        <v>0</v>
      </c>
      <c r="AP71" s="82">
        <v>0</v>
      </c>
      <c r="AQ71" s="78">
        <v>0</v>
      </c>
      <c r="AR71" s="52">
        <v>0</v>
      </c>
      <c r="AS71" s="48"/>
      <c r="AT71" s="78"/>
      <c r="AU71" s="52">
        <v>0</v>
      </c>
      <c r="AV71" s="48"/>
      <c r="AW71" s="52"/>
      <c r="AX71" s="52">
        <v>0</v>
      </c>
      <c r="AY71" s="87">
        <v>35752.813817000002</v>
      </c>
      <c r="AZ71" s="52">
        <v>13420.096168</v>
      </c>
      <c r="BA71" s="52">
        <v>22332.719670000002</v>
      </c>
      <c r="BB71" s="48"/>
      <c r="BC71" s="57">
        <v>0</v>
      </c>
      <c r="BD71" s="57">
        <v>1915.7725810000002</v>
      </c>
      <c r="BE71" s="57">
        <v>57327.287165999995</v>
      </c>
      <c r="BF71" s="57">
        <v>0</v>
      </c>
      <c r="BG71" s="57">
        <v>59243.059746999992</v>
      </c>
      <c r="BH71" s="46"/>
      <c r="BI71" s="57">
        <v>0</v>
      </c>
      <c r="BJ71" s="57">
        <v>0</v>
      </c>
      <c r="BK71" s="57"/>
      <c r="BL71" s="57"/>
      <c r="BM71" s="57">
        <v>0</v>
      </c>
      <c r="BN71" s="57"/>
      <c r="BO71" s="57">
        <v>0</v>
      </c>
      <c r="BP71" s="46"/>
      <c r="BQ71" s="87">
        <v>457572.15155971004</v>
      </c>
      <c r="BR71" s="52">
        <v>331574.46975853498</v>
      </c>
      <c r="BS71" s="52">
        <v>125997.68366285</v>
      </c>
    </row>
    <row r="72" spans="1:71" ht="12" customHeight="1" x14ac:dyDescent="0.2">
      <c r="A72" s="55">
        <v>2009</v>
      </c>
      <c r="B72" s="55" t="s">
        <v>3</v>
      </c>
      <c r="C72" s="82"/>
      <c r="D72" s="82">
        <v>10534.20248</v>
      </c>
      <c r="E72" s="78">
        <v>2530.3732</v>
      </c>
      <c r="F72" s="78">
        <v>8003.8292800000008</v>
      </c>
      <c r="G72" s="82"/>
      <c r="H72" s="82"/>
      <c r="I72" s="82">
        <v>7299.8898000000008</v>
      </c>
      <c r="J72" s="82">
        <v>0</v>
      </c>
      <c r="K72" s="82">
        <v>729.22405000000003</v>
      </c>
      <c r="L72" s="82"/>
      <c r="M72" s="82"/>
      <c r="N72" s="82">
        <v>4851.4980800000003</v>
      </c>
      <c r="O72" s="78">
        <v>4851.4980800000003</v>
      </c>
      <c r="P72" s="78">
        <v>0</v>
      </c>
      <c r="Q72" s="73">
        <v>23414.814410000003</v>
      </c>
      <c r="R72" s="78">
        <v>15410.985130000001</v>
      </c>
      <c r="S72" s="78">
        <v>8003.8292800000008</v>
      </c>
      <c r="T72" s="47"/>
      <c r="U72" s="57"/>
      <c r="V72" s="57"/>
      <c r="W72" s="57"/>
      <c r="X72" s="57"/>
      <c r="Y72" s="57">
        <v>0</v>
      </c>
      <c r="Z72" s="57">
        <v>5985.2446099999997</v>
      </c>
      <c r="AA72" s="57">
        <v>5985.2446099999997</v>
      </c>
      <c r="AB72" s="45"/>
      <c r="AC72" s="57">
        <v>0</v>
      </c>
      <c r="AD72" s="78">
        <v>0</v>
      </c>
      <c r="AE72" s="78"/>
      <c r="AF72" s="82">
        <v>0</v>
      </c>
      <c r="AG72" s="78">
        <v>0</v>
      </c>
      <c r="AH72" s="78">
        <v>0</v>
      </c>
      <c r="AI72" s="82"/>
      <c r="AJ72" s="82">
        <v>2749.0693999999999</v>
      </c>
      <c r="AK72" s="78">
        <v>721.61440000000005</v>
      </c>
      <c r="AL72" s="78">
        <v>2027.4549999999999</v>
      </c>
      <c r="AM72" s="82">
        <v>0</v>
      </c>
      <c r="AN72" s="78">
        <v>0</v>
      </c>
      <c r="AO72" s="79">
        <v>0</v>
      </c>
      <c r="AP72" s="82">
        <v>0</v>
      </c>
      <c r="AQ72" s="78">
        <v>0</v>
      </c>
      <c r="AR72" s="52">
        <v>0</v>
      </c>
      <c r="AS72" s="48"/>
      <c r="AT72" s="78"/>
      <c r="AU72" s="52">
        <v>0</v>
      </c>
      <c r="AV72" s="48"/>
      <c r="AW72" s="52"/>
      <c r="AX72" s="52">
        <v>0</v>
      </c>
      <c r="AY72" s="87">
        <v>2749.0693999999999</v>
      </c>
      <c r="AZ72" s="52">
        <v>721.61440000000005</v>
      </c>
      <c r="BA72" s="52">
        <v>2027.4549999999999</v>
      </c>
      <c r="BB72" s="48"/>
      <c r="BC72" s="57">
        <v>0</v>
      </c>
      <c r="BD72" s="57">
        <v>0</v>
      </c>
      <c r="BE72" s="57">
        <v>4825.1204299999999</v>
      </c>
      <c r="BF72" s="57">
        <v>0</v>
      </c>
      <c r="BG72" s="57">
        <v>4825.1204299999999</v>
      </c>
      <c r="BH72" s="46"/>
      <c r="BI72" s="57">
        <v>0</v>
      </c>
      <c r="BJ72" s="57">
        <v>0</v>
      </c>
      <c r="BK72" s="57"/>
      <c r="BL72" s="57"/>
      <c r="BM72" s="57">
        <v>0</v>
      </c>
      <c r="BN72" s="57"/>
      <c r="BO72" s="57">
        <v>0</v>
      </c>
      <c r="BP72" s="46"/>
      <c r="BQ72" s="87">
        <v>36974.248850000004</v>
      </c>
      <c r="BR72" s="52">
        <v>26942.96457</v>
      </c>
      <c r="BS72" s="52">
        <v>10031.28428</v>
      </c>
    </row>
    <row r="73" spans="1:71" ht="12" customHeight="1" x14ac:dyDescent="0.2">
      <c r="A73" s="55">
        <v>2009</v>
      </c>
      <c r="B73" s="55" t="s">
        <v>4</v>
      </c>
      <c r="C73" s="82"/>
      <c r="D73" s="82">
        <v>10154.860799999999</v>
      </c>
      <c r="E73" s="78">
        <v>4209.3656999999994</v>
      </c>
      <c r="F73" s="78">
        <v>5945.4950999999992</v>
      </c>
      <c r="G73" s="82"/>
      <c r="H73" s="82"/>
      <c r="I73" s="82">
        <v>4538.6113499999992</v>
      </c>
      <c r="J73" s="82">
        <v>0</v>
      </c>
      <c r="K73" s="82">
        <v>729.93799999999999</v>
      </c>
      <c r="L73" s="82"/>
      <c r="M73" s="82"/>
      <c r="N73" s="82">
        <v>3575.6431999999995</v>
      </c>
      <c r="O73" s="78">
        <v>3575.6431999999995</v>
      </c>
      <c r="P73" s="78">
        <v>0</v>
      </c>
      <c r="Q73" s="73">
        <v>18999.053349999995</v>
      </c>
      <c r="R73" s="78">
        <v>13053.558249999998</v>
      </c>
      <c r="S73" s="78">
        <v>5945.4950999999992</v>
      </c>
      <c r="T73" s="47"/>
      <c r="U73" s="57"/>
      <c r="V73" s="57"/>
      <c r="W73" s="57"/>
      <c r="X73" s="57"/>
      <c r="Y73" s="57">
        <v>0</v>
      </c>
      <c r="Z73" s="57">
        <v>4315.9528</v>
      </c>
      <c r="AA73" s="57">
        <v>4315.9528</v>
      </c>
      <c r="AB73" s="45"/>
      <c r="AC73" s="57">
        <v>0</v>
      </c>
      <c r="AD73" s="78">
        <v>0</v>
      </c>
      <c r="AE73" s="78"/>
      <c r="AF73" s="82">
        <v>213.35329999999999</v>
      </c>
      <c r="AG73" s="78">
        <v>0</v>
      </c>
      <c r="AH73" s="78">
        <v>213.35329999999999</v>
      </c>
      <c r="AI73" s="82"/>
      <c r="AJ73" s="82">
        <v>3993.5716000000002</v>
      </c>
      <c r="AK73" s="78">
        <v>2162.3216000000002</v>
      </c>
      <c r="AL73" s="78">
        <v>1831.25</v>
      </c>
      <c r="AM73" s="82">
        <v>0</v>
      </c>
      <c r="AN73" s="78">
        <v>0</v>
      </c>
      <c r="AO73" s="79">
        <v>0</v>
      </c>
      <c r="AP73" s="82">
        <v>0</v>
      </c>
      <c r="AQ73" s="78">
        <v>0</v>
      </c>
      <c r="AR73" s="52">
        <v>0</v>
      </c>
      <c r="AS73" s="48"/>
      <c r="AT73" s="78"/>
      <c r="AU73" s="52">
        <v>0</v>
      </c>
      <c r="AV73" s="48"/>
      <c r="AW73" s="52"/>
      <c r="AX73" s="52">
        <v>0</v>
      </c>
      <c r="AY73" s="87">
        <v>4206.9249</v>
      </c>
      <c r="AZ73" s="52">
        <v>2162.3216000000002</v>
      </c>
      <c r="BA73" s="52">
        <v>2044.6033</v>
      </c>
      <c r="BB73" s="48"/>
      <c r="BC73" s="57">
        <v>0</v>
      </c>
      <c r="BD73" s="57">
        <v>1896.7746000000002</v>
      </c>
      <c r="BE73" s="57">
        <v>2321.3197999999998</v>
      </c>
      <c r="BF73" s="57">
        <v>0</v>
      </c>
      <c r="BG73" s="57">
        <v>4218.0944</v>
      </c>
      <c r="BH73" s="46"/>
      <c r="BI73" s="57">
        <v>0</v>
      </c>
      <c r="BJ73" s="57">
        <v>0</v>
      </c>
      <c r="BK73" s="57"/>
      <c r="BL73" s="57"/>
      <c r="BM73" s="57">
        <v>0</v>
      </c>
      <c r="BN73" s="57"/>
      <c r="BO73" s="57">
        <v>0</v>
      </c>
      <c r="BP73" s="46"/>
      <c r="BQ73" s="87">
        <v>31740.025449999994</v>
      </c>
      <c r="BR73" s="52">
        <v>23749.927049999998</v>
      </c>
      <c r="BS73" s="52">
        <v>7990.0983999999989</v>
      </c>
    </row>
    <row r="74" spans="1:71" ht="12" customHeight="1" x14ac:dyDescent="0.2">
      <c r="A74" s="55">
        <v>2009</v>
      </c>
      <c r="B74" s="55" t="s">
        <v>5</v>
      </c>
      <c r="C74" s="82"/>
      <c r="D74" s="82">
        <v>9344.1313200000004</v>
      </c>
      <c r="E74" s="78">
        <v>4172.5603200000005</v>
      </c>
      <c r="F74" s="78">
        <v>5171.5709999999999</v>
      </c>
      <c r="G74" s="82"/>
      <c r="H74" s="82"/>
      <c r="I74" s="82">
        <v>4347.0652699999991</v>
      </c>
      <c r="J74" s="82">
        <v>0</v>
      </c>
      <c r="K74" s="82">
        <v>974.79309999999998</v>
      </c>
      <c r="L74" s="82"/>
      <c r="M74" s="82"/>
      <c r="N74" s="82">
        <v>2773.7528200000002</v>
      </c>
      <c r="O74" s="78">
        <v>2773.7528200000002</v>
      </c>
      <c r="P74" s="78">
        <v>0</v>
      </c>
      <c r="Q74" s="73">
        <v>17439.74251</v>
      </c>
      <c r="R74" s="78">
        <v>12268.17151</v>
      </c>
      <c r="S74" s="78">
        <v>5171.5709999999999</v>
      </c>
      <c r="T74" s="47"/>
      <c r="U74" s="57"/>
      <c r="V74" s="57"/>
      <c r="W74" s="57"/>
      <c r="X74" s="57"/>
      <c r="Y74" s="57">
        <v>0</v>
      </c>
      <c r="Z74" s="57">
        <v>5260.8334399999994</v>
      </c>
      <c r="AA74" s="57">
        <v>5260.8334399999994</v>
      </c>
      <c r="AB74" s="45"/>
      <c r="AC74" s="57">
        <v>0</v>
      </c>
      <c r="AD74" s="78">
        <v>0</v>
      </c>
      <c r="AE74" s="78"/>
      <c r="AF74" s="82">
        <v>0</v>
      </c>
      <c r="AG74" s="78">
        <v>0</v>
      </c>
      <c r="AH74" s="78">
        <v>0</v>
      </c>
      <c r="AI74" s="82"/>
      <c r="AJ74" s="82">
        <v>4972.9237999999996</v>
      </c>
      <c r="AK74" s="78">
        <v>2948.1938000000005</v>
      </c>
      <c r="AL74" s="78">
        <v>2024.73</v>
      </c>
      <c r="AM74" s="82">
        <v>0</v>
      </c>
      <c r="AN74" s="78">
        <v>0</v>
      </c>
      <c r="AO74" s="79">
        <v>0</v>
      </c>
      <c r="AP74" s="82">
        <v>0</v>
      </c>
      <c r="AQ74" s="78">
        <v>0</v>
      </c>
      <c r="AR74" s="52">
        <v>0</v>
      </c>
      <c r="AS74" s="48"/>
      <c r="AT74" s="78"/>
      <c r="AU74" s="52">
        <v>0</v>
      </c>
      <c r="AV74" s="48"/>
      <c r="AW74" s="52"/>
      <c r="AX74" s="52">
        <v>0</v>
      </c>
      <c r="AY74" s="87">
        <v>4972.9237999999996</v>
      </c>
      <c r="AZ74" s="52">
        <v>2948.1938000000005</v>
      </c>
      <c r="BA74" s="52">
        <v>2024.73</v>
      </c>
      <c r="BB74" s="48"/>
      <c r="BC74" s="57">
        <v>0</v>
      </c>
      <c r="BD74" s="57">
        <v>982.31070000000011</v>
      </c>
      <c r="BE74" s="57">
        <v>4799.0290999999997</v>
      </c>
      <c r="BF74" s="57">
        <v>0</v>
      </c>
      <c r="BG74" s="57">
        <v>5781.3397999999997</v>
      </c>
      <c r="BH74" s="46"/>
      <c r="BI74" s="57">
        <v>0</v>
      </c>
      <c r="BJ74" s="57">
        <v>0</v>
      </c>
      <c r="BK74" s="57"/>
      <c r="BL74" s="57"/>
      <c r="BM74" s="57">
        <v>0</v>
      </c>
      <c r="BN74" s="57"/>
      <c r="BO74" s="57">
        <v>0</v>
      </c>
      <c r="BP74" s="46"/>
      <c r="BQ74" s="87">
        <v>33454.839549999997</v>
      </c>
      <c r="BR74" s="52">
        <v>26258.538549999997</v>
      </c>
      <c r="BS74" s="52">
        <v>7196.3009999999995</v>
      </c>
    </row>
    <row r="75" spans="1:71" ht="12" customHeight="1" x14ac:dyDescent="0.2">
      <c r="A75" s="55">
        <v>2009</v>
      </c>
      <c r="B75" s="55" t="s">
        <v>6</v>
      </c>
      <c r="C75" s="82"/>
      <c r="D75" s="82">
        <v>10327.62528</v>
      </c>
      <c r="E75" s="78">
        <v>4079.2301299999999</v>
      </c>
      <c r="F75" s="78">
        <v>6248.3951500000003</v>
      </c>
      <c r="G75" s="82"/>
      <c r="H75" s="82"/>
      <c r="I75" s="82">
        <v>3838.4573300000002</v>
      </c>
      <c r="J75" s="82">
        <v>0</v>
      </c>
      <c r="K75" s="82">
        <v>729.70485000000008</v>
      </c>
      <c r="L75" s="82"/>
      <c r="M75" s="82"/>
      <c r="N75" s="82">
        <v>2554.8031599999995</v>
      </c>
      <c r="O75" s="78">
        <v>2554.8031599999999</v>
      </c>
      <c r="P75" s="78">
        <v>0</v>
      </c>
      <c r="Q75" s="73">
        <v>17450.590620000003</v>
      </c>
      <c r="R75" s="78">
        <v>11202.195470000001</v>
      </c>
      <c r="S75" s="78">
        <v>6248.3951500000003</v>
      </c>
      <c r="T75" s="47"/>
      <c r="U75" s="57"/>
      <c r="V75" s="57"/>
      <c r="W75" s="57"/>
      <c r="X75" s="57"/>
      <c r="Y75" s="57">
        <v>0</v>
      </c>
      <c r="Z75" s="57">
        <v>3470.03703</v>
      </c>
      <c r="AA75" s="57">
        <v>3470.03703</v>
      </c>
      <c r="AB75" s="45"/>
      <c r="AC75" s="57">
        <v>0</v>
      </c>
      <c r="AD75" s="78">
        <v>0</v>
      </c>
      <c r="AE75" s="78"/>
      <c r="AF75" s="82">
        <v>63.494019999999999</v>
      </c>
      <c r="AG75" s="78">
        <v>0</v>
      </c>
      <c r="AH75" s="78">
        <v>63.494019999999999</v>
      </c>
      <c r="AI75" s="82"/>
      <c r="AJ75" s="82">
        <v>2923.95804</v>
      </c>
      <c r="AK75" s="78">
        <v>971.99804000000006</v>
      </c>
      <c r="AL75" s="78">
        <v>1951.96</v>
      </c>
      <c r="AM75" s="82">
        <v>0</v>
      </c>
      <c r="AN75" s="78">
        <v>0</v>
      </c>
      <c r="AO75" s="79">
        <v>0</v>
      </c>
      <c r="AP75" s="82">
        <v>0</v>
      </c>
      <c r="AQ75" s="78">
        <v>0</v>
      </c>
      <c r="AR75" s="52">
        <v>0</v>
      </c>
      <c r="AS75" s="48"/>
      <c r="AT75" s="78"/>
      <c r="AU75" s="52">
        <v>0</v>
      </c>
      <c r="AV75" s="48"/>
      <c r="AW75" s="52"/>
      <c r="AX75" s="52">
        <v>0</v>
      </c>
      <c r="AY75" s="87">
        <v>2987.4520600000001</v>
      </c>
      <c r="AZ75" s="52">
        <v>971.99804000000006</v>
      </c>
      <c r="BA75" s="52">
        <v>2015.4540200000001</v>
      </c>
      <c r="BB75" s="48"/>
      <c r="BC75" s="57">
        <v>0</v>
      </c>
      <c r="BD75" s="57">
        <v>1856.99872</v>
      </c>
      <c r="BE75" s="57">
        <v>4880.5925699999998</v>
      </c>
      <c r="BF75" s="57">
        <v>0</v>
      </c>
      <c r="BG75" s="57">
        <v>6737.5912900000003</v>
      </c>
      <c r="BH75" s="46"/>
      <c r="BI75" s="57">
        <v>0</v>
      </c>
      <c r="BJ75" s="57">
        <v>0</v>
      </c>
      <c r="BK75" s="57"/>
      <c r="BL75" s="57"/>
      <c r="BM75" s="57">
        <v>0</v>
      </c>
      <c r="BN75" s="57"/>
      <c r="BO75" s="57">
        <v>0</v>
      </c>
      <c r="BP75" s="46"/>
      <c r="BQ75" s="87">
        <v>30645.671000000002</v>
      </c>
      <c r="BR75" s="52">
        <v>22381.821830000001</v>
      </c>
      <c r="BS75" s="52">
        <v>8263.8491700000013</v>
      </c>
    </row>
    <row r="76" spans="1:71" ht="12" customHeight="1" x14ac:dyDescent="0.2">
      <c r="A76" s="55">
        <v>2009</v>
      </c>
      <c r="B76" s="55" t="s">
        <v>7</v>
      </c>
      <c r="C76" s="82"/>
      <c r="D76" s="82">
        <v>10805.018799999998</v>
      </c>
      <c r="E76" s="78">
        <v>4334.9685299999992</v>
      </c>
      <c r="F76" s="78">
        <v>6470.0502699999997</v>
      </c>
      <c r="G76" s="82"/>
      <c r="H76" s="82"/>
      <c r="I76" s="82">
        <v>3673.6111799999999</v>
      </c>
      <c r="J76" s="82">
        <v>0</v>
      </c>
      <c r="K76" s="82">
        <v>728.77165999999988</v>
      </c>
      <c r="L76" s="82"/>
      <c r="M76" s="82"/>
      <c r="N76" s="82">
        <v>4611.7839499999991</v>
      </c>
      <c r="O76" s="78">
        <v>4611.7839499999991</v>
      </c>
      <c r="P76" s="78">
        <v>0</v>
      </c>
      <c r="Q76" s="73">
        <v>19819.185589999994</v>
      </c>
      <c r="R76" s="78">
        <v>13349.135319999999</v>
      </c>
      <c r="S76" s="78">
        <v>6470.0502699999997</v>
      </c>
      <c r="T76" s="47"/>
      <c r="U76" s="57"/>
      <c r="V76" s="57"/>
      <c r="W76" s="57"/>
      <c r="X76" s="57"/>
      <c r="Y76" s="57">
        <v>0</v>
      </c>
      <c r="Z76" s="57">
        <v>1732.16283</v>
      </c>
      <c r="AA76" s="57">
        <v>1732.16283</v>
      </c>
      <c r="AB76" s="45"/>
      <c r="AC76" s="57">
        <v>0</v>
      </c>
      <c r="AD76" s="78">
        <v>0</v>
      </c>
      <c r="AE76" s="78"/>
      <c r="AF76" s="82">
        <v>107.11837</v>
      </c>
      <c r="AG76" s="78">
        <v>0</v>
      </c>
      <c r="AH76" s="78">
        <v>107.11837</v>
      </c>
      <c r="AI76" s="82"/>
      <c r="AJ76" s="82">
        <v>3463.2704100000001</v>
      </c>
      <c r="AK76" s="78">
        <v>1895.82707</v>
      </c>
      <c r="AL76" s="78">
        <v>1567.44334</v>
      </c>
      <c r="AM76" s="82">
        <v>0</v>
      </c>
      <c r="AN76" s="78">
        <v>0</v>
      </c>
      <c r="AO76" s="79">
        <v>0</v>
      </c>
      <c r="AP76" s="82">
        <v>0</v>
      </c>
      <c r="AQ76" s="78">
        <v>0</v>
      </c>
      <c r="AR76" s="52">
        <v>0</v>
      </c>
      <c r="AS76" s="48"/>
      <c r="AT76" s="78"/>
      <c r="AU76" s="52">
        <v>0</v>
      </c>
      <c r="AV76" s="48"/>
      <c r="AW76" s="52"/>
      <c r="AX76" s="52">
        <v>0</v>
      </c>
      <c r="AY76" s="87">
        <v>3570.3887800000002</v>
      </c>
      <c r="AZ76" s="52">
        <v>1895.82707</v>
      </c>
      <c r="BA76" s="52">
        <v>1674.5617099999999</v>
      </c>
      <c r="BB76" s="48"/>
      <c r="BC76" s="57">
        <v>0</v>
      </c>
      <c r="BD76" s="57">
        <v>1940.94686</v>
      </c>
      <c r="BE76" s="57">
        <v>4037.1550400000001</v>
      </c>
      <c r="BF76" s="57">
        <v>0</v>
      </c>
      <c r="BG76" s="57">
        <v>5978.1018999999997</v>
      </c>
      <c r="BH76" s="46"/>
      <c r="BI76" s="57">
        <v>0</v>
      </c>
      <c r="BJ76" s="57">
        <v>0</v>
      </c>
      <c r="BK76" s="57"/>
      <c r="BL76" s="57"/>
      <c r="BM76" s="57">
        <v>0</v>
      </c>
      <c r="BN76" s="57"/>
      <c r="BO76" s="57">
        <v>0</v>
      </c>
      <c r="BP76" s="46"/>
      <c r="BQ76" s="87">
        <v>31099.839099999997</v>
      </c>
      <c r="BR76" s="52">
        <v>22955.227119999996</v>
      </c>
      <c r="BS76" s="52">
        <v>8144.6119799999997</v>
      </c>
    </row>
    <row r="77" spans="1:71" ht="12" customHeight="1" x14ac:dyDescent="0.2">
      <c r="A77" s="55">
        <v>2009</v>
      </c>
      <c r="B77" s="55" t="s">
        <v>8</v>
      </c>
      <c r="C77" s="82"/>
      <c r="D77" s="82">
        <v>12495.70558</v>
      </c>
      <c r="E77" s="78">
        <v>5436.0633600000001</v>
      </c>
      <c r="F77" s="78">
        <v>7059.6422199999997</v>
      </c>
      <c r="G77" s="82"/>
      <c r="H77" s="82"/>
      <c r="I77" s="82">
        <v>6349.3402599999999</v>
      </c>
      <c r="J77" s="82">
        <v>0</v>
      </c>
      <c r="K77" s="82">
        <v>729.98699999999997</v>
      </c>
      <c r="L77" s="82"/>
      <c r="M77" s="82"/>
      <c r="N77" s="82">
        <v>3678.4042100000001</v>
      </c>
      <c r="O77" s="78">
        <v>3678.4042100000001</v>
      </c>
      <c r="P77" s="78">
        <v>0</v>
      </c>
      <c r="Q77" s="73">
        <v>23253.43705</v>
      </c>
      <c r="R77" s="78">
        <v>16193.794830000001</v>
      </c>
      <c r="S77" s="78">
        <v>7059.6422199999997</v>
      </c>
      <c r="T77" s="47"/>
      <c r="U77" s="57"/>
      <c r="V77" s="57"/>
      <c r="W77" s="57"/>
      <c r="X77" s="57"/>
      <c r="Y77" s="57">
        <v>0</v>
      </c>
      <c r="Z77" s="57">
        <v>3445.9205099999999</v>
      </c>
      <c r="AA77" s="57">
        <v>3445.9205099999999</v>
      </c>
      <c r="AB77" s="45"/>
      <c r="AC77" s="57">
        <v>0</v>
      </c>
      <c r="AD77" s="78">
        <v>0</v>
      </c>
      <c r="AE77" s="78"/>
      <c r="AF77" s="82">
        <v>89.480550000000008</v>
      </c>
      <c r="AG77" s="78">
        <v>0</v>
      </c>
      <c r="AH77" s="78">
        <v>89.480550000000008</v>
      </c>
      <c r="AI77" s="82"/>
      <c r="AJ77" s="82">
        <v>4472.9406300000001</v>
      </c>
      <c r="AK77" s="78">
        <v>2837.2429400000001</v>
      </c>
      <c r="AL77" s="78">
        <v>1635.69769</v>
      </c>
      <c r="AM77" s="82">
        <v>0</v>
      </c>
      <c r="AN77" s="78">
        <v>0</v>
      </c>
      <c r="AO77" s="79">
        <v>0</v>
      </c>
      <c r="AP77" s="82">
        <v>0</v>
      </c>
      <c r="AQ77" s="78">
        <v>0</v>
      </c>
      <c r="AR77" s="52">
        <v>0</v>
      </c>
      <c r="AS77" s="48"/>
      <c r="AT77" s="78"/>
      <c r="AU77" s="52">
        <v>0</v>
      </c>
      <c r="AV77" s="48"/>
      <c r="AW77" s="52"/>
      <c r="AX77" s="52">
        <v>0</v>
      </c>
      <c r="AY77" s="87">
        <v>4562.4211800000003</v>
      </c>
      <c r="AZ77" s="52">
        <v>2837.2429400000001</v>
      </c>
      <c r="BA77" s="52">
        <v>1725.17824</v>
      </c>
      <c r="BB77" s="48"/>
      <c r="BC77" s="57">
        <v>0</v>
      </c>
      <c r="BD77" s="57">
        <v>1872.7990300000001</v>
      </c>
      <c r="BE77" s="57">
        <v>4000.6720700000001</v>
      </c>
      <c r="BF77" s="57">
        <v>0</v>
      </c>
      <c r="BG77" s="57">
        <v>5873.4711000000007</v>
      </c>
      <c r="BH77" s="46"/>
      <c r="BI77" s="57">
        <v>0</v>
      </c>
      <c r="BJ77" s="57">
        <v>0</v>
      </c>
      <c r="BK77" s="57"/>
      <c r="BL77" s="57"/>
      <c r="BM77" s="57">
        <v>0</v>
      </c>
      <c r="BN77" s="57"/>
      <c r="BO77" s="57">
        <v>0</v>
      </c>
      <c r="BP77" s="46"/>
      <c r="BQ77" s="87">
        <v>37135.249840000004</v>
      </c>
      <c r="BR77" s="52">
        <v>28350.429380000001</v>
      </c>
      <c r="BS77" s="52">
        <v>8784.820459999999</v>
      </c>
    </row>
    <row r="78" spans="1:71" ht="12" customHeight="1" x14ac:dyDescent="0.2">
      <c r="A78" s="55">
        <v>2009</v>
      </c>
      <c r="B78" s="55" t="s">
        <v>9</v>
      </c>
      <c r="C78" s="82"/>
      <c r="D78" s="82">
        <v>13218.704229999999</v>
      </c>
      <c r="E78" s="78">
        <v>6284.2875099999992</v>
      </c>
      <c r="F78" s="78">
        <v>6934.4167200000002</v>
      </c>
      <c r="G78" s="82"/>
      <c r="H78" s="82"/>
      <c r="I78" s="82">
        <v>3712.1408800000004</v>
      </c>
      <c r="J78" s="82">
        <v>0</v>
      </c>
      <c r="K78" s="82">
        <v>732.75474999999994</v>
      </c>
      <c r="L78" s="82"/>
      <c r="M78" s="82"/>
      <c r="N78" s="82">
        <v>5562.0714600000001</v>
      </c>
      <c r="O78" s="78">
        <v>5562.0714600000001</v>
      </c>
      <c r="P78" s="78">
        <v>0</v>
      </c>
      <c r="Q78" s="73">
        <v>23225.671319999998</v>
      </c>
      <c r="R78" s="78">
        <v>16291.2546</v>
      </c>
      <c r="S78" s="78">
        <v>6934.4167200000002</v>
      </c>
      <c r="T78" s="47"/>
      <c r="U78" s="57"/>
      <c r="V78" s="57"/>
      <c r="W78" s="57"/>
      <c r="X78" s="57"/>
      <c r="Y78" s="57">
        <v>0</v>
      </c>
      <c r="Z78" s="57">
        <v>3946.9102200000007</v>
      </c>
      <c r="AA78" s="57">
        <v>3946.9102200000007</v>
      </c>
      <c r="AB78" s="45"/>
      <c r="AC78" s="57">
        <v>0</v>
      </c>
      <c r="AD78" s="78">
        <v>0</v>
      </c>
      <c r="AE78" s="78"/>
      <c r="AF78" s="82">
        <v>319.34073999999998</v>
      </c>
      <c r="AG78" s="78">
        <v>0</v>
      </c>
      <c r="AH78" s="78">
        <v>319.34073999999998</v>
      </c>
      <c r="AI78" s="82"/>
      <c r="AJ78" s="82">
        <v>3906.5003299999998</v>
      </c>
      <c r="AK78" s="78">
        <v>1879.0453300000001</v>
      </c>
      <c r="AL78" s="78">
        <v>2027.4549999999999</v>
      </c>
      <c r="AM78" s="82">
        <v>0</v>
      </c>
      <c r="AN78" s="78">
        <v>0</v>
      </c>
      <c r="AO78" s="79">
        <v>0</v>
      </c>
      <c r="AP78" s="82">
        <v>0</v>
      </c>
      <c r="AQ78" s="78">
        <v>0</v>
      </c>
      <c r="AR78" s="52">
        <v>0</v>
      </c>
      <c r="AS78" s="48"/>
      <c r="AT78" s="78"/>
      <c r="AU78" s="52">
        <v>0</v>
      </c>
      <c r="AV78" s="48"/>
      <c r="AW78" s="52"/>
      <c r="AX78" s="52">
        <v>0</v>
      </c>
      <c r="AY78" s="87">
        <v>4225.8410699999995</v>
      </c>
      <c r="AZ78" s="52">
        <v>1879.0453300000001</v>
      </c>
      <c r="BA78" s="52">
        <v>2346.79574</v>
      </c>
      <c r="BB78" s="48"/>
      <c r="BC78" s="57">
        <v>0</v>
      </c>
      <c r="BD78" s="57">
        <v>961.7360799999999</v>
      </c>
      <c r="BE78" s="57">
        <v>5413.23225</v>
      </c>
      <c r="BF78" s="57">
        <v>0</v>
      </c>
      <c r="BG78" s="57">
        <v>6374.9683299999997</v>
      </c>
      <c r="BH78" s="46"/>
      <c r="BI78" s="57">
        <v>0</v>
      </c>
      <c r="BJ78" s="57">
        <v>0</v>
      </c>
      <c r="BK78" s="57"/>
      <c r="BL78" s="57"/>
      <c r="BM78" s="57">
        <v>0</v>
      </c>
      <c r="BN78" s="57"/>
      <c r="BO78" s="57">
        <v>0</v>
      </c>
      <c r="BP78" s="46"/>
      <c r="BQ78" s="87">
        <v>37773.390939999997</v>
      </c>
      <c r="BR78" s="52">
        <v>28492.178480000002</v>
      </c>
      <c r="BS78" s="52">
        <v>9281.2124600000006</v>
      </c>
    </row>
    <row r="79" spans="1:71" ht="12" customHeight="1" x14ac:dyDescent="0.2">
      <c r="A79" s="55">
        <v>2009</v>
      </c>
      <c r="B79" s="55" t="s">
        <v>10</v>
      </c>
      <c r="C79" s="82"/>
      <c r="D79" s="82">
        <v>11777.440999999999</v>
      </c>
      <c r="E79" s="78">
        <v>5840.7760200000002</v>
      </c>
      <c r="F79" s="78">
        <v>5936.6649799999996</v>
      </c>
      <c r="G79" s="82"/>
      <c r="H79" s="82"/>
      <c r="I79" s="82">
        <v>3711.7988600000003</v>
      </c>
      <c r="J79" s="82">
        <v>0</v>
      </c>
      <c r="K79" s="82">
        <v>235.89524</v>
      </c>
      <c r="L79" s="82"/>
      <c r="M79" s="82"/>
      <c r="N79" s="82">
        <v>3679.7094000000002</v>
      </c>
      <c r="O79" s="78">
        <v>3679.7094000000002</v>
      </c>
      <c r="P79" s="78">
        <v>0</v>
      </c>
      <c r="Q79" s="73">
        <v>19404.844499999999</v>
      </c>
      <c r="R79" s="78">
        <v>13468.179520000002</v>
      </c>
      <c r="S79" s="78">
        <v>5936.6649799999996</v>
      </c>
      <c r="T79" s="47"/>
      <c r="U79" s="57"/>
      <c r="V79" s="57"/>
      <c r="W79" s="57"/>
      <c r="X79" s="57"/>
      <c r="Y79" s="57">
        <v>0</v>
      </c>
      <c r="Z79" s="57">
        <v>3914.7011999999995</v>
      </c>
      <c r="AA79" s="57">
        <v>3914.7011999999995</v>
      </c>
      <c r="AB79" s="45"/>
      <c r="AC79" s="57">
        <v>0</v>
      </c>
      <c r="AD79" s="78">
        <v>0</v>
      </c>
      <c r="AE79" s="78"/>
      <c r="AF79" s="82">
        <v>284.38231000000002</v>
      </c>
      <c r="AG79" s="78">
        <v>0</v>
      </c>
      <c r="AH79" s="78">
        <v>284.38231000000002</v>
      </c>
      <c r="AI79" s="82"/>
      <c r="AJ79" s="82">
        <v>3361.6667200000002</v>
      </c>
      <c r="AK79" s="78">
        <v>1459.9870000000001</v>
      </c>
      <c r="AL79" s="78">
        <v>1901.6797199999999</v>
      </c>
      <c r="AM79" s="82">
        <v>0</v>
      </c>
      <c r="AN79" s="78">
        <v>0</v>
      </c>
      <c r="AO79" s="79">
        <v>0</v>
      </c>
      <c r="AP79" s="82">
        <v>0</v>
      </c>
      <c r="AQ79" s="78">
        <v>0</v>
      </c>
      <c r="AR79" s="52">
        <v>0</v>
      </c>
      <c r="AS79" s="48"/>
      <c r="AT79" s="78"/>
      <c r="AU79" s="52">
        <v>0</v>
      </c>
      <c r="AV79" s="48"/>
      <c r="AW79" s="52"/>
      <c r="AX79" s="52">
        <v>0</v>
      </c>
      <c r="AY79" s="87">
        <v>3646.0490300000001</v>
      </c>
      <c r="AZ79" s="52">
        <v>1459.9870000000001</v>
      </c>
      <c r="BA79" s="52">
        <v>2186.06203</v>
      </c>
      <c r="BB79" s="48"/>
      <c r="BC79" s="57">
        <v>0</v>
      </c>
      <c r="BD79" s="57">
        <v>2876.7647099999999</v>
      </c>
      <c r="BE79" s="57">
        <v>3655.0659500000002</v>
      </c>
      <c r="BF79" s="57">
        <v>0</v>
      </c>
      <c r="BG79" s="57">
        <v>6531.8306599999996</v>
      </c>
      <c r="BH79" s="46"/>
      <c r="BI79" s="57">
        <v>0</v>
      </c>
      <c r="BJ79" s="57">
        <v>0</v>
      </c>
      <c r="BK79" s="57"/>
      <c r="BL79" s="57"/>
      <c r="BM79" s="57">
        <v>0</v>
      </c>
      <c r="BN79" s="57"/>
      <c r="BO79" s="57">
        <v>0</v>
      </c>
      <c r="BP79" s="46"/>
      <c r="BQ79" s="87">
        <v>33497.425389999997</v>
      </c>
      <c r="BR79" s="52">
        <v>25374.698380000002</v>
      </c>
      <c r="BS79" s="52">
        <v>8122.7270099999996</v>
      </c>
    </row>
    <row r="80" spans="1:71" ht="12" customHeight="1" x14ac:dyDescent="0.2">
      <c r="A80" s="55">
        <v>2009</v>
      </c>
      <c r="B80" s="55" t="s">
        <v>11</v>
      </c>
      <c r="C80" s="82"/>
      <c r="D80" s="82">
        <v>14604.630880000001</v>
      </c>
      <c r="E80" s="78">
        <v>7442.6070099999997</v>
      </c>
      <c r="F80" s="78">
        <v>7162.02387</v>
      </c>
      <c r="G80" s="82"/>
      <c r="H80" s="82"/>
      <c r="I80" s="82">
        <v>2665.6370999999999</v>
      </c>
      <c r="J80" s="82">
        <v>0</v>
      </c>
      <c r="K80" s="82">
        <v>718.12069999999994</v>
      </c>
      <c r="L80" s="82"/>
      <c r="M80" s="82"/>
      <c r="N80" s="82">
        <v>4430.6453300000003</v>
      </c>
      <c r="O80" s="78">
        <v>4430.6453300000003</v>
      </c>
      <c r="P80" s="78">
        <v>0</v>
      </c>
      <c r="Q80" s="73">
        <v>22419.034009999999</v>
      </c>
      <c r="R80" s="78">
        <v>15257.010139999999</v>
      </c>
      <c r="S80" s="78">
        <v>7162.02387</v>
      </c>
      <c r="T80" s="47"/>
      <c r="U80" s="57"/>
      <c r="V80" s="57"/>
      <c r="W80" s="57"/>
      <c r="X80" s="57"/>
      <c r="Y80" s="57">
        <v>0</v>
      </c>
      <c r="Z80" s="57">
        <v>5249.29522</v>
      </c>
      <c r="AA80" s="57">
        <v>5249.29522</v>
      </c>
      <c r="AB80" s="45"/>
      <c r="AC80" s="57">
        <v>0</v>
      </c>
      <c r="AD80" s="78">
        <v>0</v>
      </c>
      <c r="AE80" s="78"/>
      <c r="AF80" s="82">
        <v>252.63791000000001</v>
      </c>
      <c r="AG80" s="78">
        <v>0</v>
      </c>
      <c r="AH80" s="78">
        <v>252.63791000000001</v>
      </c>
      <c r="AI80" s="82"/>
      <c r="AJ80" s="82">
        <v>1833.2936399999999</v>
      </c>
      <c r="AK80" s="78">
        <v>0</v>
      </c>
      <c r="AL80" s="78">
        <v>1833.2936399999999</v>
      </c>
      <c r="AM80" s="82">
        <v>0</v>
      </c>
      <c r="AN80" s="78">
        <v>0</v>
      </c>
      <c r="AO80" s="79">
        <v>0</v>
      </c>
      <c r="AP80" s="82">
        <v>0</v>
      </c>
      <c r="AQ80" s="78">
        <v>0</v>
      </c>
      <c r="AR80" s="52">
        <v>0</v>
      </c>
      <c r="AS80" s="48"/>
      <c r="AT80" s="78"/>
      <c r="AU80" s="52">
        <v>0</v>
      </c>
      <c r="AV80" s="48"/>
      <c r="AW80" s="52"/>
      <c r="AX80" s="52">
        <v>0</v>
      </c>
      <c r="AY80" s="87">
        <v>2085.9315499999998</v>
      </c>
      <c r="AZ80" s="52">
        <v>0</v>
      </c>
      <c r="BA80" s="52">
        <v>2085.9315499999998</v>
      </c>
      <c r="BB80" s="48"/>
      <c r="BC80" s="57">
        <v>0</v>
      </c>
      <c r="BD80" s="57">
        <v>1824.72567</v>
      </c>
      <c r="BE80" s="57">
        <v>3662.5491699999998</v>
      </c>
      <c r="BF80" s="57">
        <v>0</v>
      </c>
      <c r="BG80" s="57">
        <v>5487.27484</v>
      </c>
      <c r="BH80" s="46"/>
      <c r="BI80" s="57">
        <v>0</v>
      </c>
      <c r="BJ80" s="57">
        <v>0</v>
      </c>
      <c r="BK80" s="57"/>
      <c r="BL80" s="57"/>
      <c r="BM80" s="57">
        <v>0</v>
      </c>
      <c r="BN80" s="57"/>
      <c r="BO80" s="57">
        <v>0</v>
      </c>
      <c r="BP80" s="46"/>
      <c r="BQ80" s="87">
        <v>35241.535620000002</v>
      </c>
      <c r="BR80" s="52">
        <v>25993.580199999997</v>
      </c>
      <c r="BS80" s="52">
        <v>9247.9554200000002</v>
      </c>
    </row>
    <row r="81" spans="1:71" ht="12" customHeight="1" x14ac:dyDescent="0.2">
      <c r="A81" s="55">
        <v>2009</v>
      </c>
      <c r="B81" s="55" t="s">
        <v>12</v>
      </c>
      <c r="C81" s="82"/>
      <c r="D81" s="82">
        <v>10574.504840000001</v>
      </c>
      <c r="E81" s="78">
        <v>4976.2038200000006</v>
      </c>
      <c r="F81" s="78">
        <v>5598.3010200000008</v>
      </c>
      <c r="G81" s="82"/>
      <c r="H81" s="82"/>
      <c r="I81" s="82">
        <v>5516.4729200000002</v>
      </c>
      <c r="J81" s="82">
        <v>0</v>
      </c>
      <c r="K81" s="82">
        <v>726.84145000000001</v>
      </c>
      <c r="L81" s="82"/>
      <c r="M81" s="82"/>
      <c r="N81" s="82">
        <v>3451.0356200000001</v>
      </c>
      <c r="O81" s="78">
        <v>3451.0356200000001</v>
      </c>
      <c r="P81" s="78">
        <v>0</v>
      </c>
      <c r="Q81" s="73">
        <v>20268.854830000004</v>
      </c>
      <c r="R81" s="78">
        <v>14670.553810000001</v>
      </c>
      <c r="S81" s="78">
        <v>5598.3010200000008</v>
      </c>
      <c r="T81" s="47"/>
      <c r="U81" s="57"/>
      <c r="V81" s="57"/>
      <c r="W81" s="57"/>
      <c r="X81" s="57"/>
      <c r="Y81" s="57">
        <v>0</v>
      </c>
      <c r="Z81" s="57">
        <v>3449.74809</v>
      </c>
      <c r="AA81" s="57">
        <v>3449.74809</v>
      </c>
      <c r="AB81" s="45"/>
      <c r="AC81" s="57">
        <v>0</v>
      </c>
      <c r="AD81" s="78">
        <v>0</v>
      </c>
      <c r="AE81" s="78"/>
      <c r="AF81" s="82">
        <v>164.34547768058906</v>
      </c>
      <c r="AG81" s="78">
        <v>0</v>
      </c>
      <c r="AH81" s="78">
        <v>164.34547768058928</v>
      </c>
      <c r="AI81" s="82"/>
      <c r="AJ81" s="82">
        <v>1850.4083526947161</v>
      </c>
      <c r="AK81" s="78">
        <v>0</v>
      </c>
      <c r="AL81" s="78">
        <v>1850.4083526947179</v>
      </c>
      <c r="AM81" s="82">
        <v>0</v>
      </c>
      <c r="AN81" s="78">
        <v>0</v>
      </c>
      <c r="AO81" s="79">
        <v>0</v>
      </c>
      <c r="AP81" s="82">
        <v>0</v>
      </c>
      <c r="AQ81" s="78">
        <v>0</v>
      </c>
      <c r="AR81" s="52">
        <v>0</v>
      </c>
      <c r="AS81" s="48"/>
      <c r="AT81" s="78"/>
      <c r="AU81" s="52">
        <v>0</v>
      </c>
      <c r="AV81" s="48"/>
      <c r="AW81" s="52"/>
      <c r="AX81" s="52">
        <v>0</v>
      </c>
      <c r="AY81" s="87">
        <v>2014.7530792572197</v>
      </c>
      <c r="AZ81" s="52">
        <v>0</v>
      </c>
      <c r="BA81" s="52">
        <v>2014.7530792572215</v>
      </c>
      <c r="BB81" s="48"/>
      <c r="BC81" s="57">
        <v>0</v>
      </c>
      <c r="BD81" s="57">
        <v>911.94587556611168</v>
      </c>
      <c r="BE81" s="57">
        <v>5520.7896607789007</v>
      </c>
      <c r="BF81" s="57">
        <v>0</v>
      </c>
      <c r="BG81" s="57">
        <v>6432.734973278908</v>
      </c>
      <c r="BH81" s="46"/>
      <c r="BI81" s="57">
        <v>0</v>
      </c>
      <c r="BJ81" s="57">
        <v>0</v>
      </c>
      <c r="BK81" s="57"/>
      <c r="BL81" s="57"/>
      <c r="BM81" s="57">
        <v>0</v>
      </c>
      <c r="BN81" s="57"/>
      <c r="BO81" s="57">
        <v>0</v>
      </c>
      <c r="BP81" s="46"/>
      <c r="BQ81" s="87">
        <v>32166.080518115661</v>
      </c>
      <c r="BR81" s="52">
        <v>24553.03364311569</v>
      </c>
      <c r="BS81" s="52">
        <v>7613.0552857789298</v>
      </c>
    </row>
    <row r="82" spans="1:71" ht="12" customHeight="1" x14ac:dyDescent="0.2">
      <c r="A82" s="55">
        <v>2009</v>
      </c>
      <c r="B82" s="55" t="s">
        <v>13</v>
      </c>
      <c r="C82" s="82"/>
      <c r="D82" s="82">
        <v>14050.327160000001</v>
      </c>
      <c r="E82" s="78">
        <v>5665.3707199999999</v>
      </c>
      <c r="F82" s="78">
        <v>8384.9564399999999</v>
      </c>
      <c r="G82" s="82"/>
      <c r="H82" s="82"/>
      <c r="I82" s="82">
        <v>4138.5535100000006</v>
      </c>
      <c r="J82" s="82">
        <v>0</v>
      </c>
      <c r="K82" s="82">
        <v>730.6228000000001</v>
      </c>
      <c r="L82" s="82"/>
      <c r="M82" s="82"/>
      <c r="N82" s="82">
        <v>6405.6896199999992</v>
      </c>
      <c r="O82" s="78">
        <v>6405.689620000001</v>
      </c>
      <c r="P82" s="78">
        <v>0</v>
      </c>
      <c r="Q82" s="73">
        <v>25325.193090000001</v>
      </c>
      <c r="R82" s="78">
        <v>16940.236650000003</v>
      </c>
      <c r="S82" s="78">
        <v>8384.9564399999999</v>
      </c>
      <c r="T82" s="47"/>
      <c r="U82" s="57"/>
      <c r="V82" s="57"/>
      <c r="W82" s="57"/>
      <c r="X82" s="57"/>
      <c r="Y82" s="57">
        <v>0</v>
      </c>
      <c r="Z82" s="57">
        <v>4830.4825199999996</v>
      </c>
      <c r="AA82" s="57">
        <v>4830.4825199999996</v>
      </c>
      <c r="AB82" s="45"/>
      <c r="AC82" s="57">
        <v>0</v>
      </c>
      <c r="AD82" s="78">
        <v>0</v>
      </c>
      <c r="AE82" s="78"/>
      <c r="AF82" s="82">
        <v>0</v>
      </c>
      <c r="AG82" s="78">
        <v>0</v>
      </c>
      <c r="AH82" s="78">
        <v>0</v>
      </c>
      <c r="AI82" s="82"/>
      <c r="AJ82" s="82">
        <v>2659.4958200000001</v>
      </c>
      <c r="AK82" s="78">
        <v>883.14323000000002</v>
      </c>
      <c r="AL82" s="78">
        <v>1776.3525900000002</v>
      </c>
      <c r="AM82" s="82">
        <v>0</v>
      </c>
      <c r="AN82" s="78">
        <v>0</v>
      </c>
      <c r="AO82" s="79">
        <v>0</v>
      </c>
      <c r="AP82" s="82">
        <v>0</v>
      </c>
      <c r="AQ82" s="78">
        <v>0</v>
      </c>
      <c r="AR82" s="52">
        <v>0</v>
      </c>
      <c r="AS82" s="48"/>
      <c r="AT82" s="78"/>
      <c r="AU82" s="52">
        <v>0</v>
      </c>
      <c r="AV82" s="48"/>
      <c r="AW82" s="52"/>
      <c r="AX82" s="52">
        <v>0</v>
      </c>
      <c r="AY82" s="87">
        <v>2659.4958200000001</v>
      </c>
      <c r="AZ82" s="52">
        <v>883.14323000000002</v>
      </c>
      <c r="BA82" s="52">
        <v>1776.3525900000002</v>
      </c>
      <c r="BB82" s="48"/>
      <c r="BC82" s="57">
        <v>0</v>
      </c>
      <c r="BD82" s="57">
        <v>0</v>
      </c>
      <c r="BE82" s="57">
        <v>3633.3804399999995</v>
      </c>
      <c r="BF82" s="57">
        <v>0</v>
      </c>
      <c r="BG82" s="57">
        <v>3633.3804399999995</v>
      </c>
      <c r="BH82" s="46"/>
      <c r="BI82" s="57">
        <v>0</v>
      </c>
      <c r="BJ82" s="57">
        <v>0</v>
      </c>
      <c r="BK82" s="57"/>
      <c r="BL82" s="57"/>
      <c r="BM82" s="57">
        <v>0</v>
      </c>
      <c r="BN82" s="57"/>
      <c r="BO82" s="57">
        <v>0</v>
      </c>
      <c r="BP82" s="46"/>
      <c r="BQ82" s="87">
        <v>36448.551870000003</v>
      </c>
      <c r="BR82" s="52">
        <v>26287.242840000006</v>
      </c>
      <c r="BS82" s="52">
        <v>10161.30903</v>
      </c>
    </row>
    <row r="83" spans="1:71" ht="12" customHeight="1" x14ac:dyDescent="0.2">
      <c r="A83" s="55">
        <v>2009</v>
      </c>
      <c r="B83" s="55" t="s">
        <v>14</v>
      </c>
      <c r="C83" s="82"/>
      <c r="D83" s="82">
        <v>14308.432979999998</v>
      </c>
      <c r="E83" s="78">
        <v>6323.984269999999</v>
      </c>
      <c r="F83" s="78">
        <v>7984.4487099999997</v>
      </c>
      <c r="G83" s="82"/>
      <c r="H83" s="82"/>
      <c r="I83" s="82">
        <v>1752.2125600000002</v>
      </c>
      <c r="J83" s="82">
        <v>0</v>
      </c>
      <c r="K83" s="82">
        <v>728.72307999999998</v>
      </c>
      <c r="L83" s="82"/>
      <c r="M83" s="82"/>
      <c r="N83" s="82">
        <v>5303.6410099999994</v>
      </c>
      <c r="O83" s="78">
        <v>5303.6410099999994</v>
      </c>
      <c r="P83" s="78">
        <v>0</v>
      </c>
      <c r="Q83" s="73">
        <v>22093.009629999997</v>
      </c>
      <c r="R83" s="78">
        <v>14108.560919999998</v>
      </c>
      <c r="S83" s="78">
        <v>7984.4487099999997</v>
      </c>
      <c r="T83" s="47"/>
      <c r="U83" s="57"/>
      <c r="V83" s="57"/>
      <c r="W83" s="57"/>
      <c r="X83" s="57"/>
      <c r="Y83" s="57">
        <v>0</v>
      </c>
      <c r="Z83" s="57">
        <v>3464.3864899999999</v>
      </c>
      <c r="AA83" s="57">
        <v>3464.3864899999999</v>
      </c>
      <c r="AB83" s="45"/>
      <c r="AC83" s="57">
        <v>872.95296999999994</v>
      </c>
      <c r="AD83" s="78">
        <v>872.95296999999994</v>
      </c>
      <c r="AE83" s="78"/>
      <c r="AF83" s="82">
        <v>80.599999999999994</v>
      </c>
      <c r="AG83" s="78">
        <v>0</v>
      </c>
      <c r="AH83" s="78">
        <v>80.599999999999994</v>
      </c>
      <c r="AI83" s="82"/>
      <c r="AJ83" s="82">
        <v>1924.7679499999999</v>
      </c>
      <c r="AK83" s="78">
        <v>0</v>
      </c>
      <c r="AL83" s="78">
        <v>1924.7679499999999</v>
      </c>
      <c r="AM83" s="82">
        <v>0</v>
      </c>
      <c r="AN83" s="78">
        <v>0</v>
      </c>
      <c r="AO83" s="79">
        <v>0</v>
      </c>
      <c r="AP83" s="82">
        <v>0</v>
      </c>
      <c r="AQ83" s="78">
        <v>0</v>
      </c>
      <c r="AR83" s="52">
        <v>0</v>
      </c>
      <c r="AS83" s="48"/>
      <c r="AT83" s="78"/>
      <c r="AU83" s="52">
        <v>0</v>
      </c>
      <c r="AV83" s="48"/>
      <c r="AW83" s="52"/>
      <c r="AX83" s="52">
        <v>0</v>
      </c>
      <c r="AY83" s="87">
        <v>2878.3209199999997</v>
      </c>
      <c r="AZ83" s="52">
        <v>872.95296999999994</v>
      </c>
      <c r="BA83" s="52">
        <v>2005.3679499999998</v>
      </c>
      <c r="BB83" s="48"/>
      <c r="BC83" s="57">
        <v>0</v>
      </c>
      <c r="BD83" s="57">
        <v>0</v>
      </c>
      <c r="BE83" s="57">
        <v>4895.8173499999994</v>
      </c>
      <c r="BF83" s="57">
        <v>1047.5001299999999</v>
      </c>
      <c r="BG83" s="57">
        <v>5943.3174799999997</v>
      </c>
      <c r="BH83" s="46"/>
      <c r="BI83" s="57">
        <v>0</v>
      </c>
      <c r="BJ83" s="57">
        <v>0</v>
      </c>
      <c r="BK83" s="57"/>
      <c r="BL83" s="57"/>
      <c r="BM83" s="57">
        <v>0</v>
      </c>
      <c r="BN83" s="57"/>
      <c r="BO83" s="57">
        <v>0</v>
      </c>
      <c r="BP83" s="46"/>
      <c r="BQ83" s="87">
        <v>34379.034519999994</v>
      </c>
      <c r="BR83" s="52">
        <v>24389.217859999997</v>
      </c>
      <c r="BS83" s="52">
        <v>9989.8166600000004</v>
      </c>
    </row>
    <row r="84" spans="1:71" ht="12" customHeight="1" x14ac:dyDescent="0.2">
      <c r="A84" s="55">
        <v>2009</v>
      </c>
      <c r="B84" s="55" t="s">
        <v>15</v>
      </c>
      <c r="C84" s="82"/>
      <c r="D84" s="82">
        <v>142195.58534999998</v>
      </c>
      <c r="E84" s="78">
        <v>61295.790589999997</v>
      </c>
      <c r="F84" s="78">
        <v>80899.79475999999</v>
      </c>
      <c r="G84" s="82"/>
      <c r="H84" s="82"/>
      <c r="I84" s="82">
        <v>51543.791020000004</v>
      </c>
      <c r="J84" s="82">
        <v>0</v>
      </c>
      <c r="K84" s="82">
        <v>8495.3766799999994</v>
      </c>
      <c r="L84" s="82"/>
      <c r="M84" s="82"/>
      <c r="N84" s="82">
        <v>50878.677859999996</v>
      </c>
      <c r="O84" s="78">
        <v>50878.677860000003</v>
      </c>
      <c r="P84" s="78">
        <v>0</v>
      </c>
      <c r="Q84" s="73">
        <v>253113.43091</v>
      </c>
      <c r="R84" s="78">
        <v>172213.63614999998</v>
      </c>
      <c r="S84" s="78">
        <v>80899.79475999999</v>
      </c>
      <c r="T84" s="47"/>
      <c r="U84" s="57"/>
      <c r="V84" s="57"/>
      <c r="W84" s="57"/>
      <c r="X84" s="57"/>
      <c r="Y84" s="57">
        <v>0</v>
      </c>
      <c r="Z84" s="57">
        <v>49065.674959999997</v>
      </c>
      <c r="AA84" s="57">
        <v>49065.674959999997</v>
      </c>
      <c r="AB84" s="45"/>
      <c r="AC84" s="57">
        <v>872.95296999999994</v>
      </c>
      <c r="AD84" s="78">
        <v>872.95296999999994</v>
      </c>
      <c r="AE84" s="78"/>
      <c r="AF84" s="82">
        <v>1574.7527799999998</v>
      </c>
      <c r="AG84" s="78">
        <v>0</v>
      </c>
      <c r="AH84" s="78">
        <v>1574.7527799999998</v>
      </c>
      <c r="AI84" s="82"/>
      <c r="AJ84" s="82">
        <v>38111.866549999999</v>
      </c>
      <c r="AK84" s="78">
        <v>15759.373410000002</v>
      </c>
      <c r="AL84" s="78">
        <v>22352.493140000002</v>
      </c>
      <c r="AM84" s="82">
        <v>0</v>
      </c>
      <c r="AN84" s="78">
        <v>0</v>
      </c>
      <c r="AO84" s="79">
        <v>0</v>
      </c>
      <c r="AP84" s="82">
        <v>0</v>
      </c>
      <c r="AQ84" s="78">
        <v>0</v>
      </c>
      <c r="AR84" s="52">
        <v>0</v>
      </c>
      <c r="AS84" s="48"/>
      <c r="AT84" s="78"/>
      <c r="AU84" s="52">
        <v>0</v>
      </c>
      <c r="AV84" s="48"/>
      <c r="AW84" s="52"/>
      <c r="AX84" s="52">
        <v>0</v>
      </c>
      <c r="AY84" s="87">
        <v>40559.5723</v>
      </c>
      <c r="AZ84" s="52">
        <v>16632.326380000002</v>
      </c>
      <c r="BA84" s="52">
        <v>23927.245920000001</v>
      </c>
      <c r="BB84" s="48"/>
      <c r="BC84" s="57">
        <v>0</v>
      </c>
      <c r="BD84" s="57">
        <v>15125.002350000001</v>
      </c>
      <c r="BE84" s="57">
        <v>51644.725019999998</v>
      </c>
      <c r="BF84" s="57">
        <v>1047.5001299999999</v>
      </c>
      <c r="BG84" s="57">
        <v>67817.227500000008</v>
      </c>
      <c r="BH84" s="46"/>
      <c r="BI84" s="57">
        <v>0</v>
      </c>
      <c r="BJ84" s="57">
        <v>0</v>
      </c>
      <c r="BK84" s="57"/>
      <c r="BL84" s="57"/>
      <c r="BM84" s="57">
        <v>0</v>
      </c>
      <c r="BN84" s="57"/>
      <c r="BO84" s="57">
        <v>0</v>
      </c>
      <c r="BP84" s="46"/>
      <c r="BQ84" s="87">
        <v>410555.90567000001</v>
      </c>
      <c r="BR84" s="52">
        <v>305728.86499000003</v>
      </c>
      <c r="BS84" s="52">
        <v>104827.04067999999</v>
      </c>
    </row>
    <row r="85" spans="1:71" ht="12" customHeight="1" x14ac:dyDescent="0.2">
      <c r="A85" s="55">
        <v>2010</v>
      </c>
      <c r="B85" s="55" t="s">
        <v>3</v>
      </c>
      <c r="C85" s="82"/>
      <c r="D85" s="82">
        <v>13707.81884</v>
      </c>
      <c r="E85" s="78">
        <v>4830.7072799999996</v>
      </c>
      <c r="F85" s="78">
        <v>8877.1115600000012</v>
      </c>
      <c r="G85" s="82"/>
      <c r="H85" s="82"/>
      <c r="I85" s="82">
        <v>3628.0042999999996</v>
      </c>
      <c r="J85" s="82">
        <v>0</v>
      </c>
      <c r="K85" s="82">
        <v>727.47843</v>
      </c>
      <c r="L85" s="82"/>
      <c r="M85" s="82"/>
      <c r="N85" s="82">
        <v>6290.3787899999988</v>
      </c>
      <c r="O85" s="78">
        <v>6290.3787899999988</v>
      </c>
      <c r="P85" s="78">
        <v>0</v>
      </c>
      <c r="Q85" s="73">
        <v>24353.680359999998</v>
      </c>
      <c r="R85" s="78">
        <v>15476.568799999997</v>
      </c>
      <c r="S85" s="78">
        <v>8877.1115600000012</v>
      </c>
      <c r="T85" s="47"/>
      <c r="U85" s="57"/>
      <c r="V85" s="57"/>
      <c r="W85" s="57"/>
      <c r="X85" s="57"/>
      <c r="Y85" s="57">
        <v>0</v>
      </c>
      <c r="Z85" s="57">
        <v>4308.5858799999996</v>
      </c>
      <c r="AA85" s="57">
        <v>4308.5858799999996</v>
      </c>
      <c r="AB85" s="45"/>
      <c r="AC85" s="57">
        <v>875.93829000000005</v>
      </c>
      <c r="AD85" s="78">
        <v>875.93829000000005</v>
      </c>
      <c r="AE85" s="78"/>
      <c r="AF85" s="82">
        <v>185.345</v>
      </c>
      <c r="AG85" s="78">
        <v>0</v>
      </c>
      <c r="AH85" s="78">
        <v>185.345</v>
      </c>
      <c r="AI85" s="82"/>
      <c r="AJ85" s="82">
        <v>4550.5226399999992</v>
      </c>
      <c r="AK85" s="78">
        <v>2824.6705499999998</v>
      </c>
      <c r="AL85" s="78">
        <v>1725.8520900000001</v>
      </c>
      <c r="AM85" s="82">
        <v>0</v>
      </c>
      <c r="AN85" s="78">
        <v>0</v>
      </c>
      <c r="AO85" s="79">
        <v>0</v>
      </c>
      <c r="AP85" s="82">
        <v>0</v>
      </c>
      <c r="AQ85" s="78">
        <v>0</v>
      </c>
      <c r="AR85" s="52">
        <v>0</v>
      </c>
      <c r="AS85" s="48"/>
      <c r="AT85" s="78"/>
      <c r="AU85" s="52">
        <v>0</v>
      </c>
      <c r="AV85" s="48"/>
      <c r="AW85" s="52"/>
      <c r="AX85" s="52">
        <v>0</v>
      </c>
      <c r="AY85" s="87">
        <v>5611.8059299999995</v>
      </c>
      <c r="AZ85" s="52">
        <v>3700.6088399999999</v>
      </c>
      <c r="BA85" s="52">
        <v>1911.1970900000001</v>
      </c>
      <c r="BB85" s="48"/>
      <c r="BC85" s="57">
        <v>0</v>
      </c>
      <c r="BD85" s="57">
        <v>0</v>
      </c>
      <c r="BE85" s="57">
        <v>4756.7622299999994</v>
      </c>
      <c r="BF85" s="57">
        <v>0</v>
      </c>
      <c r="BG85" s="57">
        <v>4756.7622299999994</v>
      </c>
      <c r="BH85" s="46"/>
      <c r="BI85" s="57">
        <v>0</v>
      </c>
      <c r="BJ85" s="57">
        <v>0</v>
      </c>
      <c r="BK85" s="57"/>
      <c r="BL85" s="57"/>
      <c r="BM85" s="57">
        <v>0</v>
      </c>
      <c r="BN85" s="57"/>
      <c r="BO85" s="57">
        <v>0</v>
      </c>
      <c r="BP85" s="46"/>
      <c r="BQ85" s="87">
        <v>39030.8344</v>
      </c>
      <c r="BR85" s="52">
        <v>28242.525749999997</v>
      </c>
      <c r="BS85" s="52">
        <v>10788.308650000001</v>
      </c>
    </row>
    <row r="86" spans="1:71" ht="12" customHeight="1" x14ac:dyDescent="0.2">
      <c r="A86" s="55">
        <v>2010</v>
      </c>
      <c r="B86" s="55" t="s">
        <v>4</v>
      </c>
      <c r="C86" s="82"/>
      <c r="D86" s="82">
        <v>12381.990719999998</v>
      </c>
      <c r="E86" s="78">
        <v>4624.652759999999</v>
      </c>
      <c r="F86" s="78">
        <v>7757.3379599999998</v>
      </c>
      <c r="G86" s="82"/>
      <c r="H86" s="82"/>
      <c r="I86" s="82">
        <v>2766.5471200000002</v>
      </c>
      <c r="J86" s="82">
        <v>0</v>
      </c>
      <c r="K86" s="82">
        <v>481.99513000000002</v>
      </c>
      <c r="L86" s="82"/>
      <c r="M86" s="82"/>
      <c r="N86" s="82">
        <v>7490.7286900000008</v>
      </c>
      <c r="O86" s="78">
        <v>7490.7286900000008</v>
      </c>
      <c r="P86" s="78">
        <v>0</v>
      </c>
      <c r="Q86" s="73">
        <v>23121.261659999996</v>
      </c>
      <c r="R86" s="78">
        <v>15363.923699999999</v>
      </c>
      <c r="S86" s="78">
        <v>7757.3379599999998</v>
      </c>
      <c r="T86" s="47"/>
      <c r="U86" s="57"/>
      <c r="V86" s="57"/>
      <c r="W86" s="57"/>
      <c r="X86" s="57"/>
      <c r="Y86" s="57">
        <v>0</v>
      </c>
      <c r="Z86" s="57">
        <v>3460.2762699999998</v>
      </c>
      <c r="AA86" s="57">
        <v>3460.2762699999998</v>
      </c>
      <c r="AB86" s="45"/>
      <c r="AC86" s="57">
        <v>0</v>
      </c>
      <c r="AD86" s="78">
        <v>0</v>
      </c>
      <c r="AE86" s="78"/>
      <c r="AF86" s="82">
        <v>228.6097</v>
      </c>
      <c r="AG86" s="78">
        <v>0</v>
      </c>
      <c r="AH86" s="78">
        <v>228.6097</v>
      </c>
      <c r="AI86" s="82"/>
      <c r="AJ86" s="82">
        <v>2350.9206700000004</v>
      </c>
      <c r="AK86" s="78">
        <v>959.62061000000006</v>
      </c>
      <c r="AL86" s="78">
        <v>1391.30006</v>
      </c>
      <c r="AM86" s="82">
        <v>0</v>
      </c>
      <c r="AN86" s="78">
        <v>0</v>
      </c>
      <c r="AO86" s="79">
        <v>0</v>
      </c>
      <c r="AP86" s="82">
        <v>0</v>
      </c>
      <c r="AQ86" s="78">
        <v>0</v>
      </c>
      <c r="AR86" s="52">
        <v>0</v>
      </c>
      <c r="AS86" s="48"/>
      <c r="AT86" s="78"/>
      <c r="AU86" s="52">
        <v>0</v>
      </c>
      <c r="AV86" s="48"/>
      <c r="AW86" s="52"/>
      <c r="AX86" s="52">
        <v>0</v>
      </c>
      <c r="AY86" s="87">
        <v>2579.5303700000004</v>
      </c>
      <c r="AZ86" s="52">
        <v>959.62061000000006</v>
      </c>
      <c r="BA86" s="52">
        <v>1619.90976</v>
      </c>
      <c r="BB86" s="48"/>
      <c r="BC86" s="57">
        <v>0</v>
      </c>
      <c r="BD86" s="57">
        <v>0</v>
      </c>
      <c r="BE86" s="57">
        <v>3963.2062100000003</v>
      </c>
      <c r="BF86" s="57">
        <v>0</v>
      </c>
      <c r="BG86" s="57">
        <v>3963.2062100000003</v>
      </c>
      <c r="BH86" s="46"/>
      <c r="BI86" s="57">
        <v>0</v>
      </c>
      <c r="BJ86" s="57">
        <v>0</v>
      </c>
      <c r="BK86" s="57"/>
      <c r="BL86" s="57"/>
      <c r="BM86" s="57">
        <v>0</v>
      </c>
      <c r="BN86" s="57"/>
      <c r="BO86" s="57">
        <v>0</v>
      </c>
      <c r="BP86" s="46"/>
      <c r="BQ86" s="87">
        <v>33124.274509999996</v>
      </c>
      <c r="BR86" s="52">
        <v>23747.02679</v>
      </c>
      <c r="BS86" s="52">
        <v>9377.2477199999994</v>
      </c>
    </row>
    <row r="87" spans="1:71" ht="12" customHeight="1" x14ac:dyDescent="0.2">
      <c r="A87" s="55">
        <v>2010</v>
      </c>
      <c r="B87" s="55" t="s">
        <v>5</v>
      </c>
      <c r="C87" s="82"/>
      <c r="D87" s="82">
        <v>14722.06941</v>
      </c>
      <c r="E87" s="78">
        <v>5673.8706600000005</v>
      </c>
      <c r="F87" s="78">
        <v>9048.1987499999996</v>
      </c>
      <c r="G87" s="82"/>
      <c r="H87" s="82"/>
      <c r="I87" s="82">
        <v>4583.5817400000005</v>
      </c>
      <c r="J87" s="82">
        <v>0</v>
      </c>
      <c r="K87" s="82">
        <v>485.03742000000005</v>
      </c>
      <c r="L87" s="82"/>
      <c r="M87" s="82"/>
      <c r="N87" s="82">
        <v>4949.4817499999999</v>
      </c>
      <c r="O87" s="78">
        <v>4949.4817499999999</v>
      </c>
      <c r="P87" s="78">
        <v>0</v>
      </c>
      <c r="Q87" s="73">
        <v>24740.170320000001</v>
      </c>
      <c r="R87" s="78">
        <v>15691.971570000002</v>
      </c>
      <c r="S87" s="78">
        <v>9048.1987499999996</v>
      </c>
      <c r="T87" s="47"/>
      <c r="U87" s="57"/>
      <c r="V87" s="57"/>
      <c r="W87" s="57"/>
      <c r="X87" s="57"/>
      <c r="Y87" s="57">
        <v>0</v>
      </c>
      <c r="Z87" s="57">
        <v>4475.4300400000002</v>
      </c>
      <c r="AA87" s="57">
        <v>4475.4300400000002</v>
      </c>
      <c r="AB87" s="45"/>
      <c r="AC87" s="57">
        <v>0</v>
      </c>
      <c r="AD87" s="78">
        <v>0</v>
      </c>
      <c r="AE87" s="78"/>
      <c r="AF87" s="82">
        <v>253.01050000000004</v>
      </c>
      <c r="AG87" s="78">
        <v>0</v>
      </c>
      <c r="AH87" s="78">
        <v>253.01050000000004</v>
      </c>
      <c r="AI87" s="82"/>
      <c r="AJ87" s="82">
        <v>2630.6329500000002</v>
      </c>
      <c r="AK87" s="78">
        <v>969.17820999999992</v>
      </c>
      <c r="AL87" s="78">
        <v>1661.4547399999999</v>
      </c>
      <c r="AM87" s="82">
        <v>0</v>
      </c>
      <c r="AN87" s="78">
        <v>0</v>
      </c>
      <c r="AO87" s="79">
        <v>0</v>
      </c>
      <c r="AP87" s="82">
        <v>0</v>
      </c>
      <c r="AQ87" s="78">
        <v>0</v>
      </c>
      <c r="AR87" s="52">
        <v>0</v>
      </c>
      <c r="AS87" s="48"/>
      <c r="AT87" s="78"/>
      <c r="AU87" s="52">
        <v>0</v>
      </c>
      <c r="AV87" s="48"/>
      <c r="AW87" s="52"/>
      <c r="AX87" s="52">
        <v>0</v>
      </c>
      <c r="AY87" s="87">
        <v>2883.64345</v>
      </c>
      <c r="AZ87" s="52">
        <v>969.17820999999992</v>
      </c>
      <c r="BA87" s="52">
        <v>1914.46524</v>
      </c>
      <c r="BB87" s="48"/>
      <c r="BC87" s="57">
        <v>0</v>
      </c>
      <c r="BD87" s="57">
        <v>0</v>
      </c>
      <c r="BE87" s="57">
        <v>4032.9585300000003</v>
      </c>
      <c r="BF87" s="57">
        <v>0</v>
      </c>
      <c r="BG87" s="57">
        <v>4032.9585300000003</v>
      </c>
      <c r="BH87" s="46"/>
      <c r="BI87" s="57">
        <v>0</v>
      </c>
      <c r="BJ87" s="57">
        <v>0</v>
      </c>
      <c r="BK87" s="57"/>
      <c r="BL87" s="57"/>
      <c r="BM87" s="57">
        <v>0</v>
      </c>
      <c r="BN87" s="57"/>
      <c r="BO87" s="57">
        <v>0</v>
      </c>
      <c r="BP87" s="46"/>
      <c r="BQ87" s="87">
        <v>36132.202340000003</v>
      </c>
      <c r="BR87" s="52">
        <v>25169.538349999999</v>
      </c>
      <c r="BS87" s="52">
        <v>10962.663989999999</v>
      </c>
    </row>
    <row r="88" spans="1:71" ht="12" customHeight="1" x14ac:dyDescent="0.2">
      <c r="A88" s="55">
        <v>2010</v>
      </c>
      <c r="B88" s="55" t="s">
        <v>6</v>
      </c>
      <c r="C88" s="82"/>
      <c r="D88" s="82">
        <v>9281.8473699999995</v>
      </c>
      <c r="E88" s="78">
        <v>3721.4627900000005</v>
      </c>
      <c r="F88" s="78">
        <v>5560.384579999999</v>
      </c>
      <c r="G88" s="82"/>
      <c r="H88" s="82"/>
      <c r="I88" s="82">
        <v>2760.9649199999999</v>
      </c>
      <c r="J88" s="82">
        <v>0</v>
      </c>
      <c r="K88" s="82">
        <v>489.87479000000002</v>
      </c>
      <c r="L88" s="82"/>
      <c r="M88" s="82"/>
      <c r="N88" s="82">
        <v>6921.7413399999996</v>
      </c>
      <c r="O88" s="78">
        <v>6921.7413399999996</v>
      </c>
      <c r="P88" s="78">
        <v>0</v>
      </c>
      <c r="Q88" s="73">
        <v>19454.42842</v>
      </c>
      <c r="R88" s="78">
        <v>13894.04384</v>
      </c>
      <c r="S88" s="78">
        <v>5560.384579999999</v>
      </c>
      <c r="T88" s="47"/>
      <c r="U88" s="57"/>
      <c r="V88" s="57"/>
      <c r="W88" s="57"/>
      <c r="X88" s="57"/>
      <c r="Y88" s="57">
        <v>0</v>
      </c>
      <c r="Z88" s="57">
        <v>3466.3874599999999</v>
      </c>
      <c r="AA88" s="57">
        <v>3466.3874599999999</v>
      </c>
      <c r="AB88" s="45"/>
      <c r="AC88" s="57">
        <v>0</v>
      </c>
      <c r="AD88" s="78">
        <v>0</v>
      </c>
      <c r="AE88" s="78"/>
      <c r="AF88" s="82">
        <v>34.08408</v>
      </c>
      <c r="AG88" s="78">
        <v>0</v>
      </c>
      <c r="AH88" s="78">
        <v>34.08408</v>
      </c>
      <c r="AI88" s="82"/>
      <c r="AJ88" s="82">
        <v>1943.7666099999999</v>
      </c>
      <c r="AK88" s="78">
        <v>950.87486000000001</v>
      </c>
      <c r="AL88" s="78">
        <v>992.89175</v>
      </c>
      <c r="AM88" s="82">
        <v>0</v>
      </c>
      <c r="AN88" s="78">
        <v>0</v>
      </c>
      <c r="AO88" s="79">
        <v>0</v>
      </c>
      <c r="AP88" s="82">
        <v>0</v>
      </c>
      <c r="AQ88" s="78">
        <v>0</v>
      </c>
      <c r="AR88" s="52">
        <v>0</v>
      </c>
      <c r="AS88" s="48"/>
      <c r="AT88" s="78"/>
      <c r="AU88" s="52">
        <v>0</v>
      </c>
      <c r="AV88" s="48"/>
      <c r="AW88" s="52"/>
      <c r="AX88" s="52">
        <v>0</v>
      </c>
      <c r="AY88" s="87">
        <v>1977.85069</v>
      </c>
      <c r="AZ88" s="52">
        <v>950.87486000000001</v>
      </c>
      <c r="BA88" s="52">
        <v>1026.9758300000001</v>
      </c>
      <c r="BB88" s="48"/>
      <c r="BC88" s="57">
        <v>0</v>
      </c>
      <c r="BD88" s="57">
        <v>0</v>
      </c>
      <c r="BE88" s="57">
        <v>6014.0084299999999</v>
      </c>
      <c r="BF88" s="57">
        <v>949.18809999999996</v>
      </c>
      <c r="BG88" s="57">
        <v>6963.1965300000002</v>
      </c>
      <c r="BH88" s="46"/>
      <c r="BI88" s="57">
        <v>0</v>
      </c>
      <c r="BJ88" s="57">
        <v>0</v>
      </c>
      <c r="BK88" s="57"/>
      <c r="BL88" s="57"/>
      <c r="BM88" s="57">
        <v>0</v>
      </c>
      <c r="BN88" s="57"/>
      <c r="BO88" s="57">
        <v>0</v>
      </c>
      <c r="BP88" s="46"/>
      <c r="BQ88" s="87">
        <v>31861.863100000002</v>
      </c>
      <c r="BR88" s="52">
        <v>25274.502690000001</v>
      </c>
      <c r="BS88" s="52">
        <v>6587.3604099999993</v>
      </c>
    </row>
    <row r="89" spans="1:71" ht="12" customHeight="1" x14ac:dyDescent="0.2">
      <c r="A89" s="55">
        <v>2010</v>
      </c>
      <c r="B89" s="55" t="s">
        <v>7</v>
      </c>
      <c r="C89" s="82"/>
      <c r="D89" s="82">
        <v>8920.5126299999993</v>
      </c>
      <c r="E89" s="78">
        <v>2609.7485899999997</v>
      </c>
      <c r="F89" s="78">
        <v>6310.76404</v>
      </c>
      <c r="G89" s="82"/>
      <c r="H89" s="82"/>
      <c r="I89" s="82">
        <v>2673.2382900000002</v>
      </c>
      <c r="J89" s="82">
        <v>0</v>
      </c>
      <c r="K89" s="82">
        <v>0</v>
      </c>
      <c r="L89" s="82"/>
      <c r="M89" s="82"/>
      <c r="N89" s="82">
        <v>7210.6325300000008</v>
      </c>
      <c r="O89" s="78">
        <v>7210.6325299999999</v>
      </c>
      <c r="P89" s="78">
        <v>0</v>
      </c>
      <c r="Q89" s="73">
        <v>18804.383450000001</v>
      </c>
      <c r="R89" s="78">
        <v>12493.619409999999</v>
      </c>
      <c r="S89" s="78">
        <v>6310.76404</v>
      </c>
      <c r="T89" s="47"/>
      <c r="U89" s="57"/>
      <c r="V89" s="57"/>
      <c r="W89" s="57"/>
      <c r="X89" s="57"/>
      <c r="Y89" s="57">
        <v>0</v>
      </c>
      <c r="Z89" s="57">
        <v>2597.8084399999998</v>
      </c>
      <c r="AA89" s="57">
        <v>2597.8084399999998</v>
      </c>
      <c r="AB89" s="45"/>
      <c r="AC89" s="57">
        <v>0</v>
      </c>
      <c r="AD89" s="78">
        <v>0</v>
      </c>
      <c r="AE89" s="78"/>
      <c r="AF89" s="82">
        <v>35.220219999999998</v>
      </c>
      <c r="AG89" s="78">
        <v>0</v>
      </c>
      <c r="AH89" s="78">
        <v>35.220219999999998</v>
      </c>
      <c r="AI89" s="82"/>
      <c r="AJ89" s="82">
        <v>4151.6553300000005</v>
      </c>
      <c r="AK89" s="78">
        <v>2805.56709</v>
      </c>
      <c r="AL89" s="78">
        <v>1346.08824</v>
      </c>
      <c r="AM89" s="82">
        <v>0</v>
      </c>
      <c r="AN89" s="78">
        <v>0</v>
      </c>
      <c r="AO89" s="79">
        <v>0</v>
      </c>
      <c r="AP89" s="82">
        <v>0</v>
      </c>
      <c r="AQ89" s="78">
        <v>0</v>
      </c>
      <c r="AR89" s="52">
        <v>0</v>
      </c>
      <c r="AS89" s="48"/>
      <c r="AT89" s="78"/>
      <c r="AU89" s="52">
        <v>0</v>
      </c>
      <c r="AV89" s="48"/>
      <c r="AW89" s="52"/>
      <c r="AX89" s="52">
        <v>0</v>
      </c>
      <c r="AY89" s="87">
        <v>4186.8755500000007</v>
      </c>
      <c r="AZ89" s="52">
        <v>2805.56709</v>
      </c>
      <c r="BA89" s="52">
        <v>1381.30846</v>
      </c>
      <c r="BB89" s="48"/>
      <c r="BC89" s="57">
        <v>0</v>
      </c>
      <c r="BD89" s="57">
        <v>0</v>
      </c>
      <c r="BE89" s="57">
        <v>6186.8732200000004</v>
      </c>
      <c r="BF89" s="57">
        <v>949.99716000000001</v>
      </c>
      <c r="BG89" s="57">
        <v>7136.8703800000003</v>
      </c>
      <c r="BH89" s="46"/>
      <c r="BI89" s="57">
        <v>0</v>
      </c>
      <c r="BJ89" s="57">
        <v>0</v>
      </c>
      <c r="BK89" s="57"/>
      <c r="BL89" s="57"/>
      <c r="BM89" s="57">
        <v>0</v>
      </c>
      <c r="BN89" s="57"/>
      <c r="BO89" s="57">
        <v>0</v>
      </c>
      <c r="BP89" s="46"/>
      <c r="BQ89" s="87">
        <v>32725.937820000003</v>
      </c>
      <c r="BR89" s="52">
        <v>25033.865320000001</v>
      </c>
      <c r="BS89" s="52">
        <v>7692.0725000000002</v>
      </c>
    </row>
    <row r="90" spans="1:71" ht="12" customHeight="1" x14ac:dyDescent="0.2">
      <c r="A90" s="55">
        <v>2010</v>
      </c>
      <c r="B90" s="55" t="s">
        <v>8</v>
      </c>
      <c r="C90" s="82"/>
      <c r="D90" s="82">
        <v>11813.335739999999</v>
      </c>
      <c r="E90" s="78">
        <v>5922.6159600000001</v>
      </c>
      <c r="F90" s="78">
        <v>5890.7197799999994</v>
      </c>
      <c r="G90" s="82"/>
      <c r="H90" s="82"/>
      <c r="I90" s="82">
        <v>3628.48569</v>
      </c>
      <c r="J90" s="82">
        <v>0</v>
      </c>
      <c r="K90" s="82">
        <v>0</v>
      </c>
      <c r="L90" s="82"/>
      <c r="M90" s="82"/>
      <c r="N90" s="82">
        <v>6293.4827000000014</v>
      </c>
      <c r="O90" s="78">
        <v>6293.4827000000014</v>
      </c>
      <c r="P90" s="78">
        <v>0</v>
      </c>
      <c r="Q90" s="73">
        <v>21735.30413</v>
      </c>
      <c r="R90" s="78">
        <v>15844.584350000001</v>
      </c>
      <c r="S90" s="78">
        <v>5890.7197799999994</v>
      </c>
      <c r="T90" s="47"/>
      <c r="U90" s="57"/>
      <c r="V90" s="57"/>
      <c r="W90" s="57"/>
      <c r="X90" s="57"/>
      <c r="Y90" s="57">
        <v>0</v>
      </c>
      <c r="Z90" s="57">
        <v>2551.9255499999999</v>
      </c>
      <c r="AA90" s="57">
        <v>2551.9255499999999</v>
      </c>
      <c r="AB90" s="45"/>
      <c r="AC90" s="57">
        <v>0</v>
      </c>
      <c r="AD90" s="78">
        <v>0</v>
      </c>
      <c r="AE90" s="78"/>
      <c r="AF90" s="82">
        <v>94.236080000000001</v>
      </c>
      <c r="AG90" s="78">
        <v>0</v>
      </c>
      <c r="AH90" s="78">
        <v>94.236080000000001</v>
      </c>
      <c r="AI90" s="82"/>
      <c r="AJ90" s="82">
        <v>4402.8402799999994</v>
      </c>
      <c r="AK90" s="78">
        <v>2770.0960399999999</v>
      </c>
      <c r="AL90" s="78">
        <v>1632.74424</v>
      </c>
      <c r="AM90" s="82">
        <v>0</v>
      </c>
      <c r="AN90" s="78">
        <v>0</v>
      </c>
      <c r="AO90" s="79">
        <v>0</v>
      </c>
      <c r="AP90" s="82">
        <v>0</v>
      </c>
      <c r="AQ90" s="78">
        <v>0</v>
      </c>
      <c r="AR90" s="52">
        <v>0</v>
      </c>
      <c r="AS90" s="48"/>
      <c r="AT90" s="78"/>
      <c r="AU90" s="52">
        <v>0</v>
      </c>
      <c r="AV90" s="48"/>
      <c r="AW90" s="52"/>
      <c r="AX90" s="52">
        <v>0</v>
      </c>
      <c r="AY90" s="87">
        <v>4497.0763599999991</v>
      </c>
      <c r="AZ90" s="52">
        <v>2770.0960399999999</v>
      </c>
      <c r="BA90" s="52">
        <v>1726.9803199999999</v>
      </c>
      <c r="BB90" s="48"/>
      <c r="BC90" s="57">
        <v>0</v>
      </c>
      <c r="BD90" s="57">
        <v>0</v>
      </c>
      <c r="BE90" s="57">
        <v>5640.3672100000013</v>
      </c>
      <c r="BF90" s="57">
        <v>0</v>
      </c>
      <c r="BG90" s="57">
        <v>5640.3672100000013</v>
      </c>
      <c r="BH90" s="46"/>
      <c r="BI90" s="57">
        <v>0</v>
      </c>
      <c r="BJ90" s="57">
        <v>0</v>
      </c>
      <c r="BK90" s="57"/>
      <c r="BL90" s="57"/>
      <c r="BM90" s="57">
        <v>0</v>
      </c>
      <c r="BN90" s="57"/>
      <c r="BO90" s="57">
        <v>0</v>
      </c>
      <c r="BP90" s="46"/>
      <c r="BQ90" s="87">
        <v>34424.67325</v>
      </c>
      <c r="BR90" s="52">
        <v>26806.973150000002</v>
      </c>
      <c r="BS90" s="52">
        <v>7617.7000999999991</v>
      </c>
    </row>
    <row r="91" spans="1:71" ht="12" customHeight="1" x14ac:dyDescent="0.2">
      <c r="A91" s="55">
        <v>2010</v>
      </c>
      <c r="B91" s="55" t="s">
        <v>9</v>
      </c>
      <c r="C91" s="82"/>
      <c r="D91" s="82">
        <v>9775.6870199999994</v>
      </c>
      <c r="E91" s="78">
        <v>4156.1369800000002</v>
      </c>
      <c r="F91" s="78">
        <v>5619.5500399999992</v>
      </c>
      <c r="G91" s="82"/>
      <c r="H91" s="82"/>
      <c r="I91" s="82">
        <v>0</v>
      </c>
      <c r="J91" s="82">
        <v>0</v>
      </c>
      <c r="K91" s="82">
        <v>112.64192999999999</v>
      </c>
      <c r="L91" s="82"/>
      <c r="M91" s="82"/>
      <c r="N91" s="82">
        <v>11018.973959999999</v>
      </c>
      <c r="O91" s="78">
        <v>11018.973959999999</v>
      </c>
      <c r="P91" s="78">
        <v>0</v>
      </c>
      <c r="Q91" s="73">
        <v>20907.302910000002</v>
      </c>
      <c r="R91" s="78">
        <v>15287.752869999998</v>
      </c>
      <c r="S91" s="78">
        <v>5619.5500399999992</v>
      </c>
      <c r="T91" s="47"/>
      <c r="U91" s="57"/>
      <c r="V91" s="57"/>
      <c r="W91" s="57"/>
      <c r="X91" s="57"/>
      <c r="Y91" s="57">
        <v>0</v>
      </c>
      <c r="Z91" s="57">
        <v>3006.5008100000005</v>
      </c>
      <c r="AA91" s="57">
        <v>3006.5008100000005</v>
      </c>
      <c r="AB91" s="45"/>
      <c r="AC91" s="57">
        <v>0</v>
      </c>
      <c r="AD91" s="78">
        <v>0</v>
      </c>
      <c r="AE91" s="78"/>
      <c r="AF91" s="82">
        <v>71.141000000000005</v>
      </c>
      <c r="AG91" s="78">
        <v>0</v>
      </c>
      <c r="AH91" s="78">
        <v>71.141000000000005</v>
      </c>
      <c r="AI91" s="82"/>
      <c r="AJ91" s="82">
        <v>4925.0965400000005</v>
      </c>
      <c r="AK91" s="78">
        <v>3752.3547399999998</v>
      </c>
      <c r="AL91" s="78">
        <v>1172.7418</v>
      </c>
      <c r="AM91" s="82">
        <v>0</v>
      </c>
      <c r="AN91" s="78">
        <v>0</v>
      </c>
      <c r="AO91" s="79">
        <v>0</v>
      </c>
      <c r="AP91" s="82">
        <v>0</v>
      </c>
      <c r="AQ91" s="78">
        <v>0</v>
      </c>
      <c r="AR91" s="52">
        <v>0</v>
      </c>
      <c r="AS91" s="48"/>
      <c r="AT91" s="78"/>
      <c r="AU91" s="52">
        <v>0</v>
      </c>
      <c r="AV91" s="48"/>
      <c r="AW91" s="52"/>
      <c r="AX91" s="52">
        <v>0</v>
      </c>
      <c r="AY91" s="87">
        <v>4996.2375400000001</v>
      </c>
      <c r="AZ91" s="52">
        <v>3752.3547399999998</v>
      </c>
      <c r="BA91" s="52">
        <v>1243.8828000000001</v>
      </c>
      <c r="BB91" s="48"/>
      <c r="BC91" s="57">
        <v>0</v>
      </c>
      <c r="BD91" s="57">
        <v>0</v>
      </c>
      <c r="BE91" s="57">
        <v>5007.7611999999999</v>
      </c>
      <c r="BF91" s="57">
        <v>0</v>
      </c>
      <c r="BG91" s="57">
        <v>5007.7611999999999</v>
      </c>
      <c r="BH91" s="46"/>
      <c r="BI91" s="57">
        <v>0</v>
      </c>
      <c r="BJ91" s="57">
        <v>0</v>
      </c>
      <c r="BK91" s="57"/>
      <c r="BL91" s="57"/>
      <c r="BM91" s="57">
        <v>0</v>
      </c>
      <c r="BN91" s="57"/>
      <c r="BO91" s="57">
        <v>0</v>
      </c>
      <c r="BP91" s="46"/>
      <c r="BQ91" s="87">
        <v>33917.802460000006</v>
      </c>
      <c r="BR91" s="52">
        <v>27054.369619999998</v>
      </c>
      <c r="BS91" s="52">
        <v>6863.4328399999995</v>
      </c>
    </row>
    <row r="92" spans="1:71" ht="12" customHeight="1" x14ac:dyDescent="0.2">
      <c r="A92" s="55">
        <v>2010</v>
      </c>
      <c r="B92" s="55" t="s">
        <v>10</v>
      </c>
      <c r="C92" s="82"/>
      <c r="D92" s="82">
        <v>6070.2462400000004</v>
      </c>
      <c r="E92" s="78">
        <v>1871.2303699999998</v>
      </c>
      <c r="F92" s="78">
        <v>4199.0158700000002</v>
      </c>
      <c r="G92" s="82"/>
      <c r="H92" s="82"/>
      <c r="I92" s="82">
        <v>1746.0916099999999</v>
      </c>
      <c r="J92" s="82">
        <v>0</v>
      </c>
      <c r="K92" s="82">
        <v>664.55223999999998</v>
      </c>
      <c r="L92" s="82"/>
      <c r="M92" s="82"/>
      <c r="N92" s="82">
        <v>11016.383440000001</v>
      </c>
      <c r="O92" s="78">
        <v>11016.383440000001</v>
      </c>
      <c r="P92" s="78">
        <v>0</v>
      </c>
      <c r="Q92" s="73">
        <v>19497.273530000002</v>
      </c>
      <c r="R92" s="78">
        <v>15298.257659999999</v>
      </c>
      <c r="S92" s="78">
        <v>4199.0158700000002</v>
      </c>
      <c r="T92" s="47"/>
      <c r="U92" s="57"/>
      <c r="V92" s="57"/>
      <c r="W92" s="57"/>
      <c r="X92" s="57"/>
      <c r="Y92" s="57">
        <v>3110.6807000000003</v>
      </c>
      <c r="Z92" s="57">
        <v>854.33080000000007</v>
      </c>
      <c r="AA92" s="57">
        <v>3965.0115000000005</v>
      </c>
      <c r="AB92" s="45"/>
      <c r="AC92" s="57">
        <v>0</v>
      </c>
      <c r="AD92" s="78">
        <v>0</v>
      </c>
      <c r="AE92" s="78"/>
      <c r="AF92" s="82">
        <v>8.3070900000000005</v>
      </c>
      <c r="AG92" s="78">
        <v>0</v>
      </c>
      <c r="AH92" s="78">
        <v>8.3070900000000005</v>
      </c>
      <c r="AI92" s="82"/>
      <c r="AJ92" s="82">
        <v>1177.2532699999999</v>
      </c>
      <c r="AK92" s="78">
        <v>932.26485000000002</v>
      </c>
      <c r="AL92" s="78">
        <v>244.98842000000002</v>
      </c>
      <c r="AM92" s="82">
        <v>0</v>
      </c>
      <c r="AN92" s="78">
        <v>0</v>
      </c>
      <c r="AO92" s="79">
        <v>0</v>
      </c>
      <c r="AP92" s="82">
        <v>0</v>
      </c>
      <c r="AQ92" s="78">
        <v>0</v>
      </c>
      <c r="AR92" s="52">
        <v>0</v>
      </c>
      <c r="AS92" s="48"/>
      <c r="AT92" s="78"/>
      <c r="AU92" s="52">
        <v>0</v>
      </c>
      <c r="AV92" s="48"/>
      <c r="AW92" s="52"/>
      <c r="AX92" s="52">
        <v>0</v>
      </c>
      <c r="AY92" s="87">
        <v>1185.5603599999999</v>
      </c>
      <c r="AZ92" s="52">
        <v>932.26485000000002</v>
      </c>
      <c r="BA92" s="52">
        <v>253.29551000000001</v>
      </c>
      <c r="BB92" s="48"/>
      <c r="BC92" s="57">
        <v>0</v>
      </c>
      <c r="BD92" s="57">
        <v>0</v>
      </c>
      <c r="BE92" s="57">
        <v>6410.2311500000005</v>
      </c>
      <c r="BF92" s="57">
        <v>0</v>
      </c>
      <c r="BG92" s="57">
        <v>6410.2311500000005</v>
      </c>
      <c r="BH92" s="46"/>
      <c r="BI92" s="57">
        <v>0</v>
      </c>
      <c r="BJ92" s="57">
        <v>0</v>
      </c>
      <c r="BK92" s="57"/>
      <c r="BL92" s="57"/>
      <c r="BM92" s="57">
        <v>0</v>
      </c>
      <c r="BN92" s="57"/>
      <c r="BO92" s="57">
        <v>0</v>
      </c>
      <c r="BP92" s="46"/>
      <c r="BQ92" s="87">
        <v>31058.076540000002</v>
      </c>
      <c r="BR92" s="52">
        <v>26605.765159999999</v>
      </c>
      <c r="BS92" s="52">
        <v>4452.3113800000001</v>
      </c>
    </row>
    <row r="93" spans="1:71" ht="12" customHeight="1" x14ac:dyDescent="0.2">
      <c r="A93" s="55">
        <v>2010</v>
      </c>
      <c r="B93" s="55" t="s">
        <v>11</v>
      </c>
      <c r="C93" s="82"/>
      <c r="D93" s="82">
        <v>7572.5175600000002</v>
      </c>
      <c r="E93" s="78">
        <v>2833.3120500000005</v>
      </c>
      <c r="F93" s="78">
        <v>4739.2055099999998</v>
      </c>
      <c r="G93" s="82"/>
      <c r="H93" s="82"/>
      <c r="I93" s="82">
        <v>4644.8726999999999</v>
      </c>
      <c r="J93" s="82">
        <v>0</v>
      </c>
      <c r="K93" s="82">
        <v>435.65836999999999</v>
      </c>
      <c r="L93" s="82"/>
      <c r="M93" s="82"/>
      <c r="N93" s="82">
        <v>6464.4169000000002</v>
      </c>
      <c r="O93" s="78">
        <v>6464.4169000000002</v>
      </c>
      <c r="P93" s="78">
        <v>0</v>
      </c>
      <c r="Q93" s="73">
        <v>19117.465530000001</v>
      </c>
      <c r="R93" s="78">
        <v>14378.26002</v>
      </c>
      <c r="S93" s="78">
        <v>4739.2055099999998</v>
      </c>
      <c r="T93" s="47"/>
      <c r="U93" s="57"/>
      <c r="V93" s="57"/>
      <c r="W93" s="57"/>
      <c r="X93" s="57"/>
      <c r="Y93" s="57">
        <v>0</v>
      </c>
      <c r="Z93" s="57">
        <v>1550.6321400000002</v>
      </c>
      <c r="AA93" s="57">
        <v>1550.6321400000002</v>
      </c>
      <c r="AB93" s="45"/>
      <c r="AC93" s="57">
        <v>0</v>
      </c>
      <c r="AD93" s="78">
        <v>0</v>
      </c>
      <c r="AE93" s="78"/>
      <c r="AF93" s="82">
        <v>178.72565999999998</v>
      </c>
      <c r="AG93" s="78">
        <v>0</v>
      </c>
      <c r="AH93" s="78">
        <v>178.72565999999998</v>
      </c>
      <c r="AI93" s="82"/>
      <c r="AJ93" s="82">
        <v>1954.51802</v>
      </c>
      <c r="AK93" s="78">
        <v>956.24968999999999</v>
      </c>
      <c r="AL93" s="78">
        <v>998.26832999999999</v>
      </c>
      <c r="AM93" s="82">
        <v>0</v>
      </c>
      <c r="AN93" s="78">
        <v>0</v>
      </c>
      <c r="AO93" s="79">
        <v>0</v>
      </c>
      <c r="AP93" s="82">
        <v>0</v>
      </c>
      <c r="AQ93" s="78">
        <v>0</v>
      </c>
      <c r="AR93" s="52">
        <v>0</v>
      </c>
      <c r="AS93" s="48"/>
      <c r="AT93" s="78"/>
      <c r="AU93" s="52">
        <v>0</v>
      </c>
      <c r="AV93" s="48"/>
      <c r="AW93" s="52"/>
      <c r="AX93" s="52">
        <v>0</v>
      </c>
      <c r="AY93" s="87">
        <v>2133.24368</v>
      </c>
      <c r="AZ93" s="52">
        <v>956.24968999999999</v>
      </c>
      <c r="BA93" s="52">
        <v>1176.9939899999999</v>
      </c>
      <c r="BB93" s="48"/>
      <c r="BC93" s="57">
        <v>0</v>
      </c>
      <c r="BD93" s="57">
        <v>0</v>
      </c>
      <c r="BE93" s="57">
        <v>7930.9480899999999</v>
      </c>
      <c r="BF93" s="57">
        <v>1068.3671100000001</v>
      </c>
      <c r="BG93" s="57">
        <v>8999.3152000000009</v>
      </c>
      <c r="BH93" s="46"/>
      <c r="BI93" s="57">
        <v>0</v>
      </c>
      <c r="BJ93" s="57">
        <v>0</v>
      </c>
      <c r="BK93" s="57"/>
      <c r="BL93" s="57"/>
      <c r="BM93" s="57">
        <v>0</v>
      </c>
      <c r="BN93" s="57"/>
      <c r="BO93" s="57">
        <v>0</v>
      </c>
      <c r="BP93" s="46"/>
      <c r="BQ93" s="87">
        <v>31800.656550000003</v>
      </c>
      <c r="BR93" s="52">
        <v>25884.457050000001</v>
      </c>
      <c r="BS93" s="52">
        <v>5916.1994999999997</v>
      </c>
    </row>
    <row r="94" spans="1:71" ht="12" customHeight="1" x14ac:dyDescent="0.2">
      <c r="A94" s="55">
        <v>2010</v>
      </c>
      <c r="B94" s="55" t="s">
        <v>12</v>
      </c>
      <c r="C94" s="82"/>
      <c r="D94" s="82">
        <v>10582.988649999999</v>
      </c>
      <c r="E94" s="78">
        <v>3857.5772899999997</v>
      </c>
      <c r="F94" s="78">
        <v>6725.4113599999991</v>
      </c>
      <c r="G94" s="82"/>
      <c r="H94" s="82"/>
      <c r="I94" s="82">
        <v>989.41246999999998</v>
      </c>
      <c r="J94" s="82">
        <v>0</v>
      </c>
      <c r="K94" s="82">
        <v>241.52457000000001</v>
      </c>
      <c r="L94" s="82"/>
      <c r="M94" s="82"/>
      <c r="N94" s="82">
        <v>6556.3986799999993</v>
      </c>
      <c r="O94" s="78">
        <v>6556.3986799999993</v>
      </c>
      <c r="P94" s="78">
        <v>0</v>
      </c>
      <c r="Q94" s="73">
        <v>18370.324369999998</v>
      </c>
      <c r="R94" s="78">
        <v>11644.913009999998</v>
      </c>
      <c r="S94" s="78">
        <v>6725.4113599999991</v>
      </c>
      <c r="T94" s="47"/>
      <c r="U94" s="57"/>
      <c r="V94" s="57"/>
      <c r="W94" s="57"/>
      <c r="X94" s="57"/>
      <c r="Y94" s="57">
        <v>2076.5309200000002</v>
      </c>
      <c r="Z94" s="57">
        <v>5347.0928800000002</v>
      </c>
      <c r="AA94" s="57">
        <v>7423.6238000000003</v>
      </c>
      <c r="AB94" s="45"/>
      <c r="AC94" s="57">
        <v>0</v>
      </c>
      <c r="AD94" s="78">
        <v>0</v>
      </c>
      <c r="AE94" s="78"/>
      <c r="AF94" s="82">
        <v>227.98445999999998</v>
      </c>
      <c r="AG94" s="78">
        <v>0</v>
      </c>
      <c r="AH94" s="78">
        <v>227.98446000000001</v>
      </c>
      <c r="AI94" s="82"/>
      <c r="AJ94" s="82">
        <v>1896.23261</v>
      </c>
      <c r="AK94" s="78">
        <v>0</v>
      </c>
      <c r="AL94" s="78">
        <v>1896.23261</v>
      </c>
      <c r="AM94" s="82">
        <v>0</v>
      </c>
      <c r="AN94" s="78">
        <v>0</v>
      </c>
      <c r="AO94" s="79">
        <v>0</v>
      </c>
      <c r="AP94" s="82">
        <v>0</v>
      </c>
      <c r="AQ94" s="78">
        <v>0</v>
      </c>
      <c r="AR94" s="52">
        <v>0</v>
      </c>
      <c r="AS94" s="48"/>
      <c r="AT94" s="78"/>
      <c r="AU94" s="52">
        <v>0</v>
      </c>
      <c r="AV94" s="48"/>
      <c r="AW94" s="52"/>
      <c r="AX94" s="52">
        <v>0</v>
      </c>
      <c r="AY94" s="87">
        <v>2124.2170700000001</v>
      </c>
      <c r="AZ94" s="52">
        <v>0</v>
      </c>
      <c r="BA94" s="52">
        <v>2124.2170700000001</v>
      </c>
      <c r="BB94" s="48"/>
      <c r="BC94" s="57">
        <v>0</v>
      </c>
      <c r="BD94" s="57">
        <v>0</v>
      </c>
      <c r="BE94" s="57">
        <v>7169.6090200000008</v>
      </c>
      <c r="BF94" s="57">
        <v>0</v>
      </c>
      <c r="BG94" s="57">
        <v>7169.6090200000008</v>
      </c>
      <c r="BH94" s="46"/>
      <c r="BI94" s="57">
        <v>0</v>
      </c>
      <c r="BJ94" s="57">
        <v>0</v>
      </c>
      <c r="BK94" s="57"/>
      <c r="BL94" s="57"/>
      <c r="BM94" s="57">
        <v>0</v>
      </c>
      <c r="BN94" s="57"/>
      <c r="BO94" s="57">
        <v>0</v>
      </c>
      <c r="BP94" s="46"/>
      <c r="BQ94" s="87">
        <v>35087.774259999998</v>
      </c>
      <c r="BR94" s="52">
        <v>26238.145829999998</v>
      </c>
      <c r="BS94" s="52">
        <v>8849.6284299999988</v>
      </c>
    </row>
    <row r="95" spans="1:71" ht="12" customHeight="1" x14ac:dyDescent="0.2">
      <c r="A95" s="55">
        <v>2010</v>
      </c>
      <c r="B95" s="55" t="s">
        <v>13</v>
      </c>
      <c r="C95" s="82"/>
      <c r="D95" s="82">
        <v>13331.883809999999</v>
      </c>
      <c r="E95" s="78">
        <v>5935.5038099999992</v>
      </c>
      <c r="F95" s="78">
        <v>7396.38</v>
      </c>
      <c r="G95" s="82"/>
      <c r="H95" s="82"/>
      <c r="I95" s="82">
        <v>2626.71218</v>
      </c>
      <c r="J95" s="82">
        <v>0</v>
      </c>
      <c r="K95" s="82">
        <v>0</v>
      </c>
      <c r="L95" s="82"/>
      <c r="M95" s="82"/>
      <c r="N95" s="82">
        <v>5438.8864299999996</v>
      </c>
      <c r="O95" s="78">
        <v>5438.8864299999996</v>
      </c>
      <c r="P95" s="78">
        <v>0</v>
      </c>
      <c r="Q95" s="73">
        <v>21397.482419999997</v>
      </c>
      <c r="R95" s="78">
        <v>14001.102419999999</v>
      </c>
      <c r="S95" s="78">
        <v>7396.38</v>
      </c>
      <c r="T95" s="47"/>
      <c r="U95" s="57"/>
      <c r="V95" s="57"/>
      <c r="W95" s="57"/>
      <c r="X95" s="57"/>
      <c r="Y95" s="57">
        <v>1976.3865899999998</v>
      </c>
      <c r="Z95" s="57">
        <v>2777.1553699999999</v>
      </c>
      <c r="AA95" s="57">
        <v>4753.5419599999996</v>
      </c>
      <c r="AB95" s="45"/>
      <c r="AC95" s="57">
        <v>0</v>
      </c>
      <c r="AD95" s="78">
        <v>0</v>
      </c>
      <c r="AE95" s="78"/>
      <c r="AF95" s="82">
        <v>254.75037</v>
      </c>
      <c r="AG95" s="78">
        <v>0</v>
      </c>
      <c r="AH95" s="78">
        <v>254.75037</v>
      </c>
      <c r="AI95" s="82"/>
      <c r="AJ95" s="82">
        <v>4688.6048200000005</v>
      </c>
      <c r="AK95" s="78">
        <v>2825.9261800000004</v>
      </c>
      <c r="AL95" s="78">
        <v>1862.6786399999999</v>
      </c>
      <c r="AM95" s="82">
        <v>0</v>
      </c>
      <c r="AN95" s="78">
        <v>0</v>
      </c>
      <c r="AO95" s="79">
        <v>0</v>
      </c>
      <c r="AP95" s="82">
        <v>0</v>
      </c>
      <c r="AQ95" s="78">
        <v>0</v>
      </c>
      <c r="AR95" s="52">
        <v>0</v>
      </c>
      <c r="AS95" s="48"/>
      <c r="AT95" s="78"/>
      <c r="AU95" s="52">
        <v>0</v>
      </c>
      <c r="AV95" s="48"/>
      <c r="AW95" s="52"/>
      <c r="AX95" s="52">
        <v>0</v>
      </c>
      <c r="AY95" s="87">
        <v>4943.3551900000002</v>
      </c>
      <c r="AZ95" s="52">
        <v>2825.9261800000004</v>
      </c>
      <c r="BA95" s="52">
        <v>2117.4290099999998</v>
      </c>
      <c r="BB95" s="48"/>
      <c r="BC95" s="57">
        <v>0</v>
      </c>
      <c r="BD95" s="57">
        <v>0</v>
      </c>
      <c r="BE95" s="57">
        <v>4771.1997999999994</v>
      </c>
      <c r="BF95" s="57">
        <v>0</v>
      </c>
      <c r="BG95" s="57">
        <v>4771.1997999999994</v>
      </c>
      <c r="BH95" s="46"/>
      <c r="BI95" s="57">
        <v>0</v>
      </c>
      <c r="BJ95" s="57">
        <v>0</v>
      </c>
      <c r="BK95" s="57"/>
      <c r="BL95" s="57"/>
      <c r="BM95" s="57">
        <v>0</v>
      </c>
      <c r="BN95" s="57"/>
      <c r="BO95" s="57">
        <v>0</v>
      </c>
      <c r="BP95" s="46"/>
      <c r="BQ95" s="87">
        <v>35865.579369999999</v>
      </c>
      <c r="BR95" s="52">
        <v>26351.770359999999</v>
      </c>
      <c r="BS95" s="52">
        <v>9513.8090100000009</v>
      </c>
    </row>
    <row r="96" spans="1:71" ht="12" customHeight="1" x14ac:dyDescent="0.2">
      <c r="A96" s="55">
        <v>2010</v>
      </c>
      <c r="B96" s="55" t="s">
        <v>14</v>
      </c>
      <c r="C96" s="82"/>
      <c r="D96" s="82">
        <v>15997.67628</v>
      </c>
      <c r="E96" s="78">
        <v>6902.2810499999996</v>
      </c>
      <c r="F96" s="78">
        <v>9095.3952300000001</v>
      </c>
      <c r="G96" s="82"/>
      <c r="H96" s="82"/>
      <c r="I96" s="82">
        <v>2680.1116899999997</v>
      </c>
      <c r="J96" s="82">
        <v>0</v>
      </c>
      <c r="K96" s="82">
        <v>489.54981999999995</v>
      </c>
      <c r="L96" s="82"/>
      <c r="M96" s="82"/>
      <c r="N96" s="82">
        <v>7341.6585999999988</v>
      </c>
      <c r="O96" s="78">
        <v>7341.6585999999998</v>
      </c>
      <c r="P96" s="78">
        <v>0</v>
      </c>
      <c r="Q96" s="73">
        <v>26508.99639</v>
      </c>
      <c r="R96" s="78">
        <v>17413.601159999998</v>
      </c>
      <c r="S96" s="78">
        <v>9095.3952300000001</v>
      </c>
      <c r="T96" s="47"/>
      <c r="U96" s="57"/>
      <c r="V96" s="57"/>
      <c r="W96" s="57"/>
      <c r="X96" s="57"/>
      <c r="Y96" s="57">
        <v>0</v>
      </c>
      <c r="Z96" s="57">
        <v>2576.2144700000003</v>
      </c>
      <c r="AA96" s="57">
        <v>2576.2144700000003</v>
      </c>
      <c r="AB96" s="45"/>
      <c r="AC96" s="57">
        <v>0</v>
      </c>
      <c r="AD96" s="78">
        <v>0</v>
      </c>
      <c r="AE96" s="78"/>
      <c r="AF96" s="82">
        <v>279.72540000000004</v>
      </c>
      <c r="AG96" s="78">
        <v>0</v>
      </c>
      <c r="AH96" s="78">
        <v>279.72540000000004</v>
      </c>
      <c r="AI96" s="82"/>
      <c r="AJ96" s="82">
        <v>2953.49892</v>
      </c>
      <c r="AK96" s="78">
        <v>926.28283999999996</v>
      </c>
      <c r="AL96" s="78">
        <v>2027.2160800000001</v>
      </c>
      <c r="AM96" s="82">
        <v>0</v>
      </c>
      <c r="AN96" s="78">
        <v>0</v>
      </c>
      <c r="AO96" s="79">
        <v>0</v>
      </c>
      <c r="AP96" s="82">
        <v>0</v>
      </c>
      <c r="AQ96" s="78">
        <v>0</v>
      </c>
      <c r="AR96" s="52">
        <v>0</v>
      </c>
      <c r="AS96" s="48"/>
      <c r="AT96" s="78"/>
      <c r="AU96" s="52">
        <v>0</v>
      </c>
      <c r="AV96" s="48"/>
      <c r="AW96" s="52"/>
      <c r="AX96" s="52">
        <v>0</v>
      </c>
      <c r="AY96" s="87">
        <v>3233.2243200000003</v>
      </c>
      <c r="AZ96" s="52">
        <v>926.28283999999996</v>
      </c>
      <c r="BA96" s="52">
        <v>2306.9414800000004</v>
      </c>
      <c r="BB96" s="48"/>
      <c r="BC96" s="57">
        <v>0</v>
      </c>
      <c r="BD96" s="57">
        <v>1931.1225499999998</v>
      </c>
      <c r="BE96" s="57">
        <v>3648.62905</v>
      </c>
      <c r="BF96" s="57">
        <v>0</v>
      </c>
      <c r="BG96" s="57">
        <v>5579.7515999999996</v>
      </c>
      <c r="BH96" s="46"/>
      <c r="BI96" s="57">
        <v>0</v>
      </c>
      <c r="BJ96" s="57">
        <v>0</v>
      </c>
      <c r="BK96" s="57"/>
      <c r="BL96" s="57"/>
      <c r="BM96" s="57">
        <v>0</v>
      </c>
      <c r="BN96" s="57"/>
      <c r="BO96" s="57">
        <v>0</v>
      </c>
      <c r="BP96" s="46"/>
      <c r="BQ96" s="87">
        <v>37898.186780000004</v>
      </c>
      <c r="BR96" s="52">
        <v>26495.850069999997</v>
      </c>
      <c r="BS96" s="52">
        <v>11402.33671</v>
      </c>
    </row>
    <row r="97" spans="1:71" ht="12" customHeight="1" x14ac:dyDescent="0.2">
      <c r="A97" s="55">
        <v>2010</v>
      </c>
      <c r="B97" s="55" t="s">
        <v>15</v>
      </c>
      <c r="C97" s="82"/>
      <c r="D97" s="82">
        <v>134158.57426999998</v>
      </c>
      <c r="E97" s="78">
        <v>52939.099589999998</v>
      </c>
      <c r="F97" s="78">
        <v>81219.474679999999</v>
      </c>
      <c r="G97" s="82"/>
      <c r="H97" s="82"/>
      <c r="I97" s="82">
        <v>32728.022709999997</v>
      </c>
      <c r="J97" s="82">
        <v>0</v>
      </c>
      <c r="K97" s="82">
        <v>4128.3126999999995</v>
      </c>
      <c r="L97" s="82"/>
      <c r="M97" s="82"/>
      <c r="N97" s="82">
        <v>86993.163809999998</v>
      </c>
      <c r="O97" s="78">
        <v>86993.163809999998</v>
      </c>
      <c r="P97" s="78">
        <v>0</v>
      </c>
      <c r="Q97" s="73">
        <v>258008.07348999998</v>
      </c>
      <c r="R97" s="78">
        <v>176788.59881</v>
      </c>
      <c r="S97" s="78">
        <v>81219.474679999999</v>
      </c>
      <c r="T97" s="47"/>
      <c r="U97" s="57"/>
      <c r="V97" s="57"/>
      <c r="W97" s="57"/>
      <c r="X97" s="57"/>
      <c r="Y97" s="57">
        <v>7163.5982100000001</v>
      </c>
      <c r="Z97" s="57">
        <v>36972.340109999997</v>
      </c>
      <c r="AA97" s="57">
        <v>44135.938320000001</v>
      </c>
      <c r="AB97" s="45"/>
      <c r="AC97" s="57">
        <v>875.93806306647275</v>
      </c>
      <c r="AD97" s="78">
        <v>875.93806306647366</v>
      </c>
      <c r="AE97" s="78"/>
      <c r="AF97" s="82">
        <v>1851.1388214454491</v>
      </c>
      <c r="AG97" s="78">
        <v>0</v>
      </c>
      <c r="AH97" s="78">
        <v>1851.138821445451</v>
      </c>
      <c r="AI97" s="82"/>
      <c r="AJ97" s="82">
        <v>37625.536036254489</v>
      </c>
      <c r="AK97" s="78">
        <v>20673.080518127274</v>
      </c>
      <c r="AL97" s="78">
        <v>16952.455518127303</v>
      </c>
      <c r="AM97" s="82">
        <v>0</v>
      </c>
      <c r="AN97" s="78">
        <v>0</v>
      </c>
      <c r="AO97" s="79">
        <v>0</v>
      </c>
      <c r="AP97" s="82">
        <v>0</v>
      </c>
      <c r="AQ97" s="78">
        <v>0</v>
      </c>
      <c r="AR97" s="52">
        <v>0</v>
      </c>
      <c r="AS97" s="48"/>
      <c r="AT97" s="78"/>
      <c r="AU97" s="52">
        <v>0</v>
      </c>
      <c r="AV97" s="48"/>
      <c r="AW97" s="52"/>
      <c r="AX97" s="52">
        <v>0</v>
      </c>
      <c r="AY97" s="87">
        <v>40352.598536254663</v>
      </c>
      <c r="AZ97" s="52">
        <v>21549.018018127361</v>
      </c>
      <c r="BA97" s="52">
        <v>18803.59614312739</v>
      </c>
      <c r="BB97" s="48"/>
      <c r="BC97" s="57">
        <v>0</v>
      </c>
      <c r="BD97" s="57">
        <v>1931.1222198829637</v>
      </c>
      <c r="BE97" s="57">
        <v>65532.536036254896</v>
      </c>
      <c r="BF97" s="57">
        <v>2967.5510803909347</v>
      </c>
      <c r="BG97" s="57">
        <v>70431.197072510025</v>
      </c>
      <c r="BH97" s="46"/>
      <c r="BI97" s="57">
        <v>0</v>
      </c>
      <c r="BJ97" s="57">
        <v>0</v>
      </c>
      <c r="BK97" s="57"/>
      <c r="BL97" s="57"/>
      <c r="BM97" s="57">
        <v>0</v>
      </c>
      <c r="BN97" s="57"/>
      <c r="BO97" s="57">
        <v>0</v>
      </c>
      <c r="BP97" s="46"/>
      <c r="BQ97" s="87">
        <v>412927.78829004057</v>
      </c>
      <c r="BR97" s="52">
        <v>312904.78829004103</v>
      </c>
      <c r="BS97" s="52">
        <v>100023.07207251037</v>
      </c>
    </row>
    <row r="98" spans="1:71" ht="12" customHeight="1" x14ac:dyDescent="0.2">
      <c r="A98" s="55">
        <v>2011</v>
      </c>
      <c r="B98" s="55" t="s">
        <v>3</v>
      </c>
      <c r="C98" s="82"/>
      <c r="D98" s="82">
        <v>14646.527979999999</v>
      </c>
      <c r="E98" s="78">
        <v>5250.8415000000005</v>
      </c>
      <c r="F98" s="78">
        <v>9395.6864799999985</v>
      </c>
      <c r="G98" s="82"/>
      <c r="H98" s="82"/>
      <c r="I98" s="82">
        <v>3630.5173799999998</v>
      </c>
      <c r="J98" s="82">
        <v>0</v>
      </c>
      <c r="K98" s="82">
        <v>483.48177000000004</v>
      </c>
      <c r="L98" s="82"/>
      <c r="M98" s="82"/>
      <c r="N98" s="82">
        <v>8009.3832900000007</v>
      </c>
      <c r="O98" s="78">
        <v>8009.3832899999998</v>
      </c>
      <c r="P98" s="78">
        <v>0</v>
      </c>
      <c r="Q98" s="73">
        <v>26769.91042</v>
      </c>
      <c r="R98" s="78">
        <v>17374.22394</v>
      </c>
      <c r="S98" s="78">
        <v>9395.6864799999985</v>
      </c>
      <c r="T98" s="47"/>
      <c r="U98" s="57"/>
      <c r="V98" s="57"/>
      <c r="W98" s="57"/>
      <c r="X98" s="57"/>
      <c r="Y98" s="57">
        <v>0</v>
      </c>
      <c r="Z98" s="57">
        <v>3430.0053599999997</v>
      </c>
      <c r="AA98" s="57">
        <v>3430.0053599999997</v>
      </c>
      <c r="AB98" s="45"/>
      <c r="AC98" s="57">
        <v>0</v>
      </c>
      <c r="AD98" s="78">
        <v>0</v>
      </c>
      <c r="AE98" s="78"/>
      <c r="AF98" s="82">
        <v>86.223600000000005</v>
      </c>
      <c r="AG98" s="78">
        <v>0</v>
      </c>
      <c r="AH98" s="78">
        <v>86.223600000000005</v>
      </c>
      <c r="AI98" s="82"/>
      <c r="AJ98" s="82">
        <v>1856.3906100000002</v>
      </c>
      <c r="AK98" s="78">
        <v>0</v>
      </c>
      <c r="AL98" s="78">
        <v>1856.3906100000002</v>
      </c>
      <c r="AM98" s="82">
        <v>0</v>
      </c>
      <c r="AN98" s="78">
        <v>0</v>
      </c>
      <c r="AO98" s="79">
        <v>0</v>
      </c>
      <c r="AP98" s="82">
        <v>0</v>
      </c>
      <c r="AQ98" s="78">
        <v>0</v>
      </c>
      <c r="AR98" s="52">
        <v>0</v>
      </c>
      <c r="AS98" s="48"/>
      <c r="AT98" s="78"/>
      <c r="AU98" s="52">
        <v>0</v>
      </c>
      <c r="AV98" s="48"/>
      <c r="AW98" s="52"/>
      <c r="AX98" s="52">
        <v>0</v>
      </c>
      <c r="AY98" s="87">
        <v>1942.6142100000002</v>
      </c>
      <c r="AZ98" s="52">
        <v>0</v>
      </c>
      <c r="BA98" s="52">
        <v>1942.6142100000002</v>
      </c>
      <c r="BB98" s="48"/>
      <c r="BC98" s="57">
        <v>0</v>
      </c>
      <c r="BD98" s="57">
        <v>0</v>
      </c>
      <c r="BE98" s="57">
        <v>5452.3165499999996</v>
      </c>
      <c r="BF98" s="57">
        <v>0</v>
      </c>
      <c r="BG98" s="57">
        <v>5452.3165499999996</v>
      </c>
      <c r="BH98" s="46"/>
      <c r="BI98" s="57">
        <v>0</v>
      </c>
      <c r="BJ98" s="57">
        <v>0</v>
      </c>
      <c r="BK98" s="57"/>
      <c r="BL98" s="57"/>
      <c r="BM98" s="57">
        <v>0</v>
      </c>
      <c r="BN98" s="57"/>
      <c r="BO98" s="57">
        <v>0</v>
      </c>
      <c r="BP98" s="46"/>
      <c r="BQ98" s="87">
        <v>37594.846539999999</v>
      </c>
      <c r="BR98" s="52">
        <v>26256.545849999999</v>
      </c>
      <c r="BS98" s="52">
        <v>11338.300689999998</v>
      </c>
    </row>
    <row r="99" spans="1:71" ht="12" customHeight="1" x14ac:dyDescent="0.2">
      <c r="A99" s="55">
        <v>2011</v>
      </c>
      <c r="B99" s="55" t="s">
        <v>4</v>
      </c>
      <c r="C99" s="82"/>
      <c r="D99" s="82">
        <v>15202.761370000002</v>
      </c>
      <c r="E99" s="78">
        <v>6304.6030100000007</v>
      </c>
      <c r="F99" s="78">
        <v>8898.1583600000013</v>
      </c>
      <c r="G99" s="82"/>
      <c r="H99" s="82"/>
      <c r="I99" s="82">
        <v>2675.6326099999997</v>
      </c>
      <c r="J99" s="82">
        <v>0</v>
      </c>
      <c r="K99" s="82">
        <v>483.42990000000003</v>
      </c>
      <c r="L99" s="82"/>
      <c r="M99" s="82"/>
      <c r="N99" s="82">
        <v>4387.12165</v>
      </c>
      <c r="O99" s="78">
        <v>4387.12165</v>
      </c>
      <c r="P99" s="78">
        <v>0</v>
      </c>
      <c r="Q99" s="73">
        <v>22748.945530000001</v>
      </c>
      <c r="R99" s="78">
        <v>13850.78717</v>
      </c>
      <c r="S99" s="78">
        <v>8898.1583600000013</v>
      </c>
      <c r="T99" s="47"/>
      <c r="U99" s="57"/>
      <c r="V99" s="57"/>
      <c r="W99" s="57"/>
      <c r="X99" s="57"/>
      <c r="Y99" s="57">
        <v>0</v>
      </c>
      <c r="Z99" s="57">
        <v>3476.7449000000006</v>
      </c>
      <c r="AA99" s="57">
        <v>3476.7449000000006</v>
      </c>
      <c r="AB99" s="45"/>
      <c r="AC99" s="57">
        <v>0</v>
      </c>
      <c r="AD99" s="78">
        <v>0</v>
      </c>
      <c r="AE99" s="78"/>
      <c r="AF99" s="82">
        <v>272.91777000000002</v>
      </c>
      <c r="AG99" s="78">
        <v>0</v>
      </c>
      <c r="AH99" s="78">
        <v>272.91777000000002</v>
      </c>
      <c r="AI99" s="82"/>
      <c r="AJ99" s="82">
        <v>4622.7460799999999</v>
      </c>
      <c r="AK99" s="78">
        <v>2893.0688999999998</v>
      </c>
      <c r="AL99" s="78">
        <v>1729.6771799999999</v>
      </c>
      <c r="AM99" s="82">
        <v>0</v>
      </c>
      <c r="AN99" s="78">
        <v>0</v>
      </c>
      <c r="AO99" s="79">
        <v>0</v>
      </c>
      <c r="AP99" s="82">
        <v>0</v>
      </c>
      <c r="AQ99" s="78">
        <v>0</v>
      </c>
      <c r="AR99" s="52">
        <v>0</v>
      </c>
      <c r="AS99" s="48"/>
      <c r="AT99" s="78"/>
      <c r="AU99" s="52">
        <v>0</v>
      </c>
      <c r="AV99" s="48"/>
      <c r="AW99" s="52"/>
      <c r="AX99" s="52">
        <v>0</v>
      </c>
      <c r="AY99" s="87">
        <v>4895.6638499999999</v>
      </c>
      <c r="AZ99" s="52">
        <v>2893.0688999999998</v>
      </c>
      <c r="BA99" s="52">
        <v>2002.5949499999999</v>
      </c>
      <c r="BB99" s="48"/>
      <c r="BC99" s="57">
        <v>0</v>
      </c>
      <c r="BD99" s="57">
        <v>0</v>
      </c>
      <c r="BE99" s="57">
        <v>3973.6406100000004</v>
      </c>
      <c r="BF99" s="57">
        <v>0</v>
      </c>
      <c r="BG99" s="57">
        <v>3973.6406100000004</v>
      </c>
      <c r="BH99" s="46"/>
      <c r="BI99" s="57">
        <v>0</v>
      </c>
      <c r="BJ99" s="57">
        <v>0</v>
      </c>
      <c r="BK99" s="57"/>
      <c r="BL99" s="57"/>
      <c r="BM99" s="57">
        <v>0</v>
      </c>
      <c r="BN99" s="57"/>
      <c r="BO99" s="57">
        <v>0</v>
      </c>
      <c r="BP99" s="46"/>
      <c r="BQ99" s="87">
        <v>35094.994890000002</v>
      </c>
      <c r="BR99" s="52">
        <v>24194.241580000002</v>
      </c>
      <c r="BS99" s="52">
        <v>10900.753310000002</v>
      </c>
    </row>
    <row r="100" spans="1:71" ht="12" customHeight="1" x14ac:dyDescent="0.2">
      <c r="A100" s="55">
        <v>2011</v>
      </c>
      <c r="B100" s="55" t="s">
        <v>5</v>
      </c>
      <c r="C100" s="82"/>
      <c r="D100" s="82">
        <v>13923.311129999998</v>
      </c>
      <c r="E100" s="78">
        <v>3530.4107399999998</v>
      </c>
      <c r="F100" s="78">
        <v>10392.900389999999</v>
      </c>
      <c r="G100" s="82"/>
      <c r="H100" s="82"/>
      <c r="I100" s="82">
        <v>4531.3085600000004</v>
      </c>
      <c r="J100" s="82">
        <v>0</v>
      </c>
      <c r="K100" s="82">
        <v>0</v>
      </c>
      <c r="L100" s="82"/>
      <c r="M100" s="82"/>
      <c r="N100" s="82">
        <v>6395.1325499999984</v>
      </c>
      <c r="O100" s="78">
        <v>6395.1325499999984</v>
      </c>
      <c r="P100" s="78">
        <v>0</v>
      </c>
      <c r="Q100" s="73">
        <v>24849.752239999998</v>
      </c>
      <c r="R100" s="78">
        <v>14456.851849999999</v>
      </c>
      <c r="S100" s="78">
        <v>10392.900389999999</v>
      </c>
      <c r="T100" s="47"/>
      <c r="U100" s="57"/>
      <c r="V100" s="57"/>
      <c r="W100" s="57"/>
      <c r="X100" s="57"/>
      <c r="Y100" s="57">
        <v>0</v>
      </c>
      <c r="Z100" s="57">
        <v>4297.8579600000012</v>
      </c>
      <c r="AA100" s="57">
        <v>4297.8579600000012</v>
      </c>
      <c r="AB100" s="45"/>
      <c r="AC100" s="57">
        <v>0</v>
      </c>
      <c r="AD100" s="78">
        <v>0</v>
      </c>
      <c r="AE100" s="78"/>
      <c r="AF100" s="82">
        <v>223.84129999999999</v>
      </c>
      <c r="AG100" s="78">
        <v>0</v>
      </c>
      <c r="AH100" s="78">
        <v>223.84129999999999</v>
      </c>
      <c r="AI100" s="82"/>
      <c r="AJ100" s="82">
        <v>4314.0488700000005</v>
      </c>
      <c r="AK100" s="78">
        <v>2771.7188099999998</v>
      </c>
      <c r="AL100" s="78">
        <v>1542.33006</v>
      </c>
      <c r="AM100" s="82">
        <v>0</v>
      </c>
      <c r="AN100" s="78">
        <v>0</v>
      </c>
      <c r="AO100" s="79">
        <v>0</v>
      </c>
      <c r="AP100" s="82">
        <v>0</v>
      </c>
      <c r="AQ100" s="78">
        <v>0</v>
      </c>
      <c r="AR100" s="52">
        <v>0</v>
      </c>
      <c r="AS100" s="48"/>
      <c r="AT100" s="78"/>
      <c r="AU100" s="52">
        <v>0</v>
      </c>
      <c r="AV100" s="48"/>
      <c r="AW100" s="52"/>
      <c r="AX100" s="52">
        <v>0</v>
      </c>
      <c r="AY100" s="87">
        <v>4537.8901700000006</v>
      </c>
      <c r="AZ100" s="52">
        <v>2771.7188099999998</v>
      </c>
      <c r="BA100" s="52">
        <v>1766.17136</v>
      </c>
      <c r="BB100" s="48"/>
      <c r="BC100" s="57">
        <v>0</v>
      </c>
      <c r="BD100" s="57">
        <v>0</v>
      </c>
      <c r="BE100" s="57">
        <v>3577.4951900000001</v>
      </c>
      <c r="BF100" s="57">
        <v>0</v>
      </c>
      <c r="BG100" s="57">
        <v>3577.4951900000001</v>
      </c>
      <c r="BH100" s="46"/>
      <c r="BI100" s="57">
        <v>0</v>
      </c>
      <c r="BJ100" s="57">
        <v>0</v>
      </c>
      <c r="BK100" s="57"/>
      <c r="BL100" s="57"/>
      <c r="BM100" s="57">
        <v>0</v>
      </c>
      <c r="BN100" s="57"/>
      <c r="BO100" s="57">
        <v>0</v>
      </c>
      <c r="BP100" s="46"/>
      <c r="BQ100" s="87">
        <v>37262.995560000003</v>
      </c>
      <c r="BR100" s="52">
        <v>25103.92381</v>
      </c>
      <c r="BS100" s="52">
        <v>12159.071749999999</v>
      </c>
    </row>
    <row r="101" spans="1:71" ht="12" customHeight="1" x14ac:dyDescent="0.2">
      <c r="A101" s="55">
        <v>2011</v>
      </c>
      <c r="B101" s="55" t="s">
        <v>6</v>
      </c>
      <c r="C101" s="82"/>
      <c r="D101" s="82">
        <v>10586.596439999999</v>
      </c>
      <c r="E101" s="78">
        <v>2909.6271499999993</v>
      </c>
      <c r="F101" s="78">
        <v>7676.96929</v>
      </c>
      <c r="G101" s="82"/>
      <c r="H101" s="82"/>
      <c r="I101" s="82">
        <v>1771.3465499999998</v>
      </c>
      <c r="J101" s="82">
        <v>0</v>
      </c>
      <c r="K101" s="82">
        <v>0</v>
      </c>
      <c r="L101" s="82"/>
      <c r="M101" s="82"/>
      <c r="N101" s="82">
        <v>8538.7559999999976</v>
      </c>
      <c r="O101" s="78">
        <v>8538.7559999999976</v>
      </c>
      <c r="P101" s="78">
        <v>0</v>
      </c>
      <c r="Q101" s="73">
        <v>20896.698989999994</v>
      </c>
      <c r="R101" s="78">
        <v>13219.729699999998</v>
      </c>
      <c r="S101" s="78">
        <v>7676.96929</v>
      </c>
      <c r="T101" s="47"/>
      <c r="U101" s="57"/>
      <c r="V101" s="57"/>
      <c r="W101" s="57"/>
      <c r="X101" s="57"/>
      <c r="Y101" s="57">
        <v>937.21809999999994</v>
      </c>
      <c r="Z101" s="57">
        <v>2660.58637</v>
      </c>
      <c r="AA101" s="57">
        <v>3597.80447</v>
      </c>
      <c r="AB101" s="45"/>
      <c r="AC101" s="57">
        <v>0</v>
      </c>
      <c r="AD101" s="78">
        <v>0</v>
      </c>
      <c r="AE101" s="78"/>
      <c r="AF101" s="82">
        <v>93.888999999999996</v>
      </c>
      <c r="AG101" s="78">
        <v>0</v>
      </c>
      <c r="AH101" s="78">
        <v>93.888999999999996</v>
      </c>
      <c r="AI101" s="82"/>
      <c r="AJ101" s="82">
        <v>2895.4384100000002</v>
      </c>
      <c r="AK101" s="78">
        <v>1852.1312600000001</v>
      </c>
      <c r="AL101" s="78">
        <v>1043.3071500000001</v>
      </c>
      <c r="AM101" s="82">
        <v>0</v>
      </c>
      <c r="AN101" s="78">
        <v>0</v>
      </c>
      <c r="AO101" s="79">
        <v>0</v>
      </c>
      <c r="AP101" s="82">
        <v>0</v>
      </c>
      <c r="AQ101" s="78">
        <v>0</v>
      </c>
      <c r="AR101" s="52">
        <v>0</v>
      </c>
      <c r="AS101" s="48"/>
      <c r="AT101" s="78"/>
      <c r="AU101" s="52">
        <v>0</v>
      </c>
      <c r="AV101" s="48"/>
      <c r="AW101" s="52"/>
      <c r="AX101" s="52">
        <v>0</v>
      </c>
      <c r="AY101" s="87">
        <v>2989.3274100000003</v>
      </c>
      <c r="AZ101" s="52">
        <v>1852.1312600000001</v>
      </c>
      <c r="BA101" s="52">
        <v>1137.19615</v>
      </c>
      <c r="BB101" s="48"/>
      <c r="BC101" s="57">
        <v>0</v>
      </c>
      <c r="BD101" s="57">
        <v>0</v>
      </c>
      <c r="BE101" s="57">
        <v>4402.2981500000005</v>
      </c>
      <c r="BF101" s="57">
        <v>0</v>
      </c>
      <c r="BG101" s="57">
        <v>4402.2981500000005</v>
      </c>
      <c r="BH101" s="46"/>
      <c r="BI101" s="57">
        <v>0</v>
      </c>
      <c r="BJ101" s="57">
        <v>0</v>
      </c>
      <c r="BK101" s="57"/>
      <c r="BL101" s="57"/>
      <c r="BM101" s="57">
        <v>0</v>
      </c>
      <c r="BN101" s="57"/>
      <c r="BO101" s="57">
        <v>0</v>
      </c>
      <c r="BP101" s="46"/>
      <c r="BQ101" s="87">
        <v>31886.129019999993</v>
      </c>
      <c r="BR101" s="52">
        <v>23071.963580000003</v>
      </c>
      <c r="BS101" s="52">
        <v>8814.1654400000007</v>
      </c>
    </row>
    <row r="102" spans="1:71" ht="12" customHeight="1" x14ac:dyDescent="0.2">
      <c r="A102" s="55">
        <v>2011</v>
      </c>
      <c r="B102" s="55" t="s">
        <v>7</v>
      </c>
      <c r="C102" s="82"/>
      <c r="D102" s="82">
        <v>9476.6428200000009</v>
      </c>
      <c r="E102" s="78">
        <v>1582.0877800000003</v>
      </c>
      <c r="F102" s="78">
        <v>7894.5550400000002</v>
      </c>
      <c r="G102" s="82"/>
      <c r="H102" s="82"/>
      <c r="I102" s="82">
        <v>1755.5515299999997</v>
      </c>
      <c r="J102" s="82">
        <v>0</v>
      </c>
      <c r="K102" s="82">
        <v>0</v>
      </c>
      <c r="L102" s="82"/>
      <c r="M102" s="82"/>
      <c r="N102" s="82">
        <v>8503.4375699999982</v>
      </c>
      <c r="O102" s="78">
        <v>8503.4375699999982</v>
      </c>
      <c r="P102" s="78">
        <v>0</v>
      </c>
      <c r="Q102" s="73">
        <v>19735.63192</v>
      </c>
      <c r="R102" s="78">
        <v>11841.076879999997</v>
      </c>
      <c r="S102" s="78">
        <v>7894.5550400000002</v>
      </c>
      <c r="T102" s="47"/>
      <c r="U102" s="57"/>
      <c r="V102" s="57"/>
      <c r="W102" s="57"/>
      <c r="X102" s="57"/>
      <c r="Y102" s="57">
        <v>1071.29396</v>
      </c>
      <c r="Z102" s="57">
        <v>3434.3439600000006</v>
      </c>
      <c r="AA102" s="57">
        <v>4505.637920000001</v>
      </c>
      <c r="AB102" s="45"/>
      <c r="AC102" s="57">
        <v>0</v>
      </c>
      <c r="AD102" s="78">
        <v>0</v>
      </c>
      <c r="AE102" s="78"/>
      <c r="AF102" s="82">
        <v>102.72732999999998</v>
      </c>
      <c r="AG102" s="78">
        <v>0</v>
      </c>
      <c r="AH102" s="78">
        <v>102.72732999999998</v>
      </c>
      <c r="AI102" s="82"/>
      <c r="AJ102" s="82">
        <v>2129.9688900000001</v>
      </c>
      <c r="AK102" s="78">
        <v>939.99467000000004</v>
      </c>
      <c r="AL102" s="78">
        <v>1189.9742200000001</v>
      </c>
      <c r="AM102" s="82">
        <v>0</v>
      </c>
      <c r="AN102" s="78">
        <v>0</v>
      </c>
      <c r="AO102" s="79">
        <v>0</v>
      </c>
      <c r="AP102" s="82">
        <v>1.835</v>
      </c>
      <c r="AQ102" s="78">
        <v>1.835</v>
      </c>
      <c r="AR102" s="52">
        <v>0</v>
      </c>
      <c r="AS102" s="48"/>
      <c r="AT102" s="78"/>
      <c r="AU102" s="52">
        <v>0</v>
      </c>
      <c r="AV102" s="48"/>
      <c r="AW102" s="52"/>
      <c r="AX102" s="52">
        <v>0</v>
      </c>
      <c r="AY102" s="87">
        <v>2234.5312200000003</v>
      </c>
      <c r="AZ102" s="52">
        <v>941.82967000000008</v>
      </c>
      <c r="BA102" s="52">
        <v>1292.70155</v>
      </c>
      <c r="BB102" s="48"/>
      <c r="BC102" s="57">
        <v>0</v>
      </c>
      <c r="BD102" s="57">
        <v>0</v>
      </c>
      <c r="BE102" s="57">
        <v>4407.3749100000005</v>
      </c>
      <c r="BF102" s="57">
        <v>0</v>
      </c>
      <c r="BG102" s="57">
        <v>4407.3749100000005</v>
      </c>
      <c r="BH102" s="46"/>
      <c r="BI102" s="57">
        <v>0</v>
      </c>
      <c r="BJ102" s="57">
        <v>0</v>
      </c>
      <c r="BK102" s="57"/>
      <c r="BL102" s="57"/>
      <c r="BM102" s="57">
        <v>0</v>
      </c>
      <c r="BN102" s="57"/>
      <c r="BO102" s="57">
        <v>0</v>
      </c>
      <c r="BP102" s="46"/>
      <c r="BQ102" s="87">
        <v>30883.175970000004</v>
      </c>
      <c r="BR102" s="52">
        <v>21695.919379999999</v>
      </c>
      <c r="BS102" s="52">
        <v>9187.2565900000009</v>
      </c>
    </row>
    <row r="103" spans="1:71" ht="12" customHeight="1" x14ac:dyDescent="0.2">
      <c r="A103" s="55">
        <v>2011</v>
      </c>
      <c r="B103" s="55" t="s">
        <v>8</v>
      </c>
      <c r="C103" s="82"/>
      <c r="D103" s="82">
        <v>16261.360260000001</v>
      </c>
      <c r="E103" s="78">
        <v>4121.9345199999998</v>
      </c>
      <c r="F103" s="78">
        <v>12139.425740000002</v>
      </c>
      <c r="G103" s="82"/>
      <c r="H103" s="82"/>
      <c r="I103" s="82">
        <v>1846.5483900000002</v>
      </c>
      <c r="J103" s="82">
        <v>0</v>
      </c>
      <c r="K103" s="82">
        <v>0</v>
      </c>
      <c r="L103" s="82"/>
      <c r="M103" s="82"/>
      <c r="N103" s="82">
        <v>4360.6539399999992</v>
      </c>
      <c r="O103" s="78">
        <v>4360.6539400000001</v>
      </c>
      <c r="P103" s="78">
        <v>0</v>
      </c>
      <c r="Q103" s="73">
        <v>22468.562590000001</v>
      </c>
      <c r="R103" s="78">
        <v>10329.136849999999</v>
      </c>
      <c r="S103" s="78">
        <v>12139.425740000002</v>
      </c>
      <c r="T103" s="47"/>
      <c r="U103" s="57"/>
      <c r="V103" s="57"/>
      <c r="W103" s="57"/>
      <c r="X103" s="57"/>
      <c r="Y103" s="57">
        <v>2150.5083399999999</v>
      </c>
      <c r="Z103" s="57">
        <v>1719.0654500000003</v>
      </c>
      <c r="AA103" s="57">
        <v>3869.5737900000004</v>
      </c>
      <c r="AB103" s="45"/>
      <c r="AC103" s="57">
        <v>0</v>
      </c>
      <c r="AD103" s="78">
        <v>0</v>
      </c>
      <c r="AE103" s="78"/>
      <c r="AF103" s="82">
        <v>325.01542999999998</v>
      </c>
      <c r="AG103" s="78">
        <v>0</v>
      </c>
      <c r="AH103" s="78">
        <v>325.01542999999998</v>
      </c>
      <c r="AI103" s="82"/>
      <c r="AJ103" s="82">
        <v>799.20636000000002</v>
      </c>
      <c r="AK103" s="78">
        <v>0</v>
      </c>
      <c r="AL103" s="78">
        <v>799.20636000000002</v>
      </c>
      <c r="AM103" s="82">
        <v>0</v>
      </c>
      <c r="AN103" s="78">
        <v>0</v>
      </c>
      <c r="AO103" s="79">
        <v>0</v>
      </c>
      <c r="AP103" s="82">
        <v>3.7109999999999999</v>
      </c>
      <c r="AQ103" s="78">
        <v>3.7109999999999999</v>
      </c>
      <c r="AR103" s="52">
        <v>0</v>
      </c>
      <c r="AS103" s="48"/>
      <c r="AT103" s="78"/>
      <c r="AU103" s="52">
        <v>0</v>
      </c>
      <c r="AV103" s="48"/>
      <c r="AW103" s="52"/>
      <c r="AX103" s="52">
        <v>0</v>
      </c>
      <c r="AY103" s="87">
        <v>1127.9327900000001</v>
      </c>
      <c r="AZ103" s="52">
        <v>3.7109999999999999</v>
      </c>
      <c r="BA103" s="52">
        <v>1124.2217900000001</v>
      </c>
      <c r="BB103" s="48"/>
      <c r="BC103" s="57">
        <v>0</v>
      </c>
      <c r="BD103" s="57">
        <v>0</v>
      </c>
      <c r="BE103" s="57">
        <v>5773.0922600000004</v>
      </c>
      <c r="BF103" s="57">
        <v>0</v>
      </c>
      <c r="BG103" s="57">
        <v>5773.0922600000004</v>
      </c>
      <c r="BH103" s="46"/>
      <c r="BI103" s="57">
        <v>0</v>
      </c>
      <c r="BJ103" s="57">
        <v>0</v>
      </c>
      <c r="BK103" s="57"/>
      <c r="BL103" s="57"/>
      <c r="BM103" s="57">
        <v>0</v>
      </c>
      <c r="BN103" s="57"/>
      <c r="BO103" s="57">
        <v>0</v>
      </c>
      <c r="BP103" s="46"/>
      <c r="BQ103" s="87">
        <v>33239.16143</v>
      </c>
      <c r="BR103" s="52">
        <v>19975.513899999998</v>
      </c>
      <c r="BS103" s="52">
        <v>13263.647530000002</v>
      </c>
    </row>
    <row r="104" spans="1:71" ht="12" customHeight="1" x14ac:dyDescent="0.2">
      <c r="A104" s="55">
        <v>2011</v>
      </c>
      <c r="B104" s="55" t="s">
        <v>9</v>
      </c>
      <c r="C104" s="82"/>
      <c r="D104" s="82">
        <v>11580.965269999999</v>
      </c>
      <c r="E104" s="78">
        <v>2816.20091</v>
      </c>
      <c r="F104" s="78">
        <v>8764.7643599999992</v>
      </c>
      <c r="G104" s="82"/>
      <c r="H104" s="82"/>
      <c r="I104" s="82">
        <v>1846.6584499999999</v>
      </c>
      <c r="J104" s="82">
        <v>0</v>
      </c>
      <c r="K104" s="82">
        <v>0</v>
      </c>
      <c r="L104" s="82"/>
      <c r="M104" s="82"/>
      <c r="N104" s="82">
        <v>5135.4048400000001</v>
      </c>
      <c r="O104" s="78">
        <v>5135.4048400000001</v>
      </c>
      <c r="P104" s="78">
        <v>0</v>
      </c>
      <c r="Q104" s="73">
        <v>18563.028559999999</v>
      </c>
      <c r="R104" s="78">
        <v>9798.2642000000014</v>
      </c>
      <c r="S104" s="78">
        <v>8764.7643599999992</v>
      </c>
      <c r="T104" s="47"/>
      <c r="U104" s="57"/>
      <c r="V104" s="57"/>
      <c r="W104" s="57"/>
      <c r="X104" s="57"/>
      <c r="Y104" s="57">
        <v>4150.4427299999998</v>
      </c>
      <c r="Z104" s="57">
        <v>903.33256999999992</v>
      </c>
      <c r="AA104" s="57">
        <v>5053.7752999999993</v>
      </c>
      <c r="AB104" s="45"/>
      <c r="AC104" s="57">
        <v>0</v>
      </c>
      <c r="AD104" s="78">
        <v>0</v>
      </c>
      <c r="AE104" s="78"/>
      <c r="AF104" s="82">
        <v>673.57332999999994</v>
      </c>
      <c r="AG104" s="78">
        <v>0</v>
      </c>
      <c r="AH104" s="78">
        <v>673.57333000000006</v>
      </c>
      <c r="AI104" s="82"/>
      <c r="AJ104" s="82">
        <v>1541.3184799999999</v>
      </c>
      <c r="AK104" s="78">
        <v>0</v>
      </c>
      <c r="AL104" s="78">
        <v>1541.3184799999999</v>
      </c>
      <c r="AM104" s="82">
        <v>0</v>
      </c>
      <c r="AN104" s="78">
        <v>0</v>
      </c>
      <c r="AO104" s="79">
        <v>0</v>
      </c>
      <c r="AP104" s="82">
        <v>7.0330000000000004</v>
      </c>
      <c r="AQ104" s="78">
        <v>7.0330000000000004</v>
      </c>
      <c r="AR104" s="52">
        <v>0</v>
      </c>
      <c r="AS104" s="48"/>
      <c r="AT104" s="78"/>
      <c r="AU104" s="52">
        <v>0</v>
      </c>
      <c r="AV104" s="48"/>
      <c r="AW104" s="52"/>
      <c r="AX104" s="52">
        <v>0</v>
      </c>
      <c r="AY104" s="87">
        <v>2221.92481</v>
      </c>
      <c r="AZ104" s="52">
        <v>7.0330000000000004</v>
      </c>
      <c r="BA104" s="52">
        <v>2214.8918100000001</v>
      </c>
      <c r="BB104" s="48"/>
      <c r="BC104" s="57">
        <v>0</v>
      </c>
      <c r="BD104" s="57">
        <v>0</v>
      </c>
      <c r="BE104" s="57">
        <v>4508.0266200000005</v>
      </c>
      <c r="BF104" s="57">
        <v>0</v>
      </c>
      <c r="BG104" s="57">
        <v>4508.0266200000005</v>
      </c>
      <c r="BH104" s="46"/>
      <c r="BI104" s="57">
        <v>0</v>
      </c>
      <c r="BJ104" s="57">
        <v>0</v>
      </c>
      <c r="BK104" s="57"/>
      <c r="BL104" s="57"/>
      <c r="BM104" s="57">
        <v>0</v>
      </c>
      <c r="BN104" s="57"/>
      <c r="BO104" s="57">
        <v>0</v>
      </c>
      <c r="BP104" s="46"/>
      <c r="BQ104" s="87">
        <v>30346.755290000001</v>
      </c>
      <c r="BR104" s="52">
        <v>19367.099119999999</v>
      </c>
      <c r="BS104" s="52">
        <v>10979.656169999998</v>
      </c>
    </row>
    <row r="105" spans="1:71" ht="12" customHeight="1" x14ac:dyDescent="0.2">
      <c r="A105" s="55">
        <v>2011</v>
      </c>
      <c r="B105" s="55" t="s">
        <v>10</v>
      </c>
      <c r="C105" s="82"/>
      <c r="D105" s="82">
        <v>8044.9821000000011</v>
      </c>
      <c r="E105" s="78">
        <v>2765.1995499999998</v>
      </c>
      <c r="F105" s="78">
        <v>5279.7825500000008</v>
      </c>
      <c r="G105" s="82"/>
      <c r="H105" s="82"/>
      <c r="I105" s="82">
        <v>2770.7578000000003</v>
      </c>
      <c r="J105" s="82">
        <v>0</v>
      </c>
      <c r="K105" s="82">
        <v>0</v>
      </c>
      <c r="L105" s="82"/>
      <c r="M105" s="82"/>
      <c r="N105" s="82">
        <v>6022.7728999999999</v>
      </c>
      <c r="O105" s="78">
        <v>6022.7728999999999</v>
      </c>
      <c r="P105" s="78">
        <v>0</v>
      </c>
      <c r="Q105" s="73">
        <v>16838.5128</v>
      </c>
      <c r="R105" s="78">
        <v>11558.730250000001</v>
      </c>
      <c r="S105" s="78">
        <v>5279.7825500000008</v>
      </c>
      <c r="T105" s="47"/>
      <c r="U105" s="57"/>
      <c r="V105" s="57"/>
      <c r="W105" s="57"/>
      <c r="X105" s="57"/>
      <c r="Y105" s="57">
        <v>2144.1370900000002</v>
      </c>
      <c r="Z105" s="57">
        <v>1764.96037</v>
      </c>
      <c r="AA105" s="57">
        <v>3909.09746</v>
      </c>
      <c r="AB105" s="45"/>
      <c r="AC105" s="57">
        <v>0</v>
      </c>
      <c r="AD105" s="78">
        <v>0</v>
      </c>
      <c r="AE105" s="78"/>
      <c r="AF105" s="82">
        <v>906.40892999999994</v>
      </c>
      <c r="AG105" s="78">
        <v>0</v>
      </c>
      <c r="AH105" s="78">
        <v>906.40893000000005</v>
      </c>
      <c r="AI105" s="82"/>
      <c r="AJ105" s="82">
        <v>3569.7180400000002</v>
      </c>
      <c r="AK105" s="78">
        <v>1819.82692</v>
      </c>
      <c r="AL105" s="78">
        <v>1749.89112</v>
      </c>
      <c r="AM105" s="82">
        <v>0</v>
      </c>
      <c r="AN105" s="78">
        <v>0</v>
      </c>
      <c r="AO105" s="79">
        <v>0</v>
      </c>
      <c r="AP105" s="82">
        <v>30.291</v>
      </c>
      <c r="AQ105" s="78">
        <v>30.291</v>
      </c>
      <c r="AR105" s="52">
        <v>0</v>
      </c>
      <c r="AS105" s="48"/>
      <c r="AT105" s="78"/>
      <c r="AU105" s="52">
        <v>0</v>
      </c>
      <c r="AV105" s="48"/>
      <c r="AW105" s="52"/>
      <c r="AX105" s="52">
        <v>0</v>
      </c>
      <c r="AY105" s="87">
        <v>4506.4179700000004</v>
      </c>
      <c r="AZ105" s="52">
        <v>1850.1179199999999</v>
      </c>
      <c r="BA105" s="52">
        <v>2656.3000499999998</v>
      </c>
      <c r="BB105" s="48"/>
      <c r="BC105" s="57">
        <v>0</v>
      </c>
      <c r="BD105" s="57">
        <v>0</v>
      </c>
      <c r="BE105" s="57">
        <v>5317.6210700000001</v>
      </c>
      <c r="BF105" s="57">
        <v>0</v>
      </c>
      <c r="BG105" s="57">
        <v>5317.6210700000001</v>
      </c>
      <c r="BH105" s="46"/>
      <c r="BI105" s="57">
        <v>0</v>
      </c>
      <c r="BJ105" s="57">
        <v>0</v>
      </c>
      <c r="BK105" s="57"/>
      <c r="BL105" s="57"/>
      <c r="BM105" s="57">
        <v>0</v>
      </c>
      <c r="BN105" s="57"/>
      <c r="BO105" s="57">
        <v>0</v>
      </c>
      <c r="BP105" s="46"/>
      <c r="BQ105" s="87">
        <v>30571.649300000005</v>
      </c>
      <c r="BR105" s="52">
        <v>22635.566700000003</v>
      </c>
      <c r="BS105" s="52">
        <v>7936.0826000000006</v>
      </c>
    </row>
    <row r="106" spans="1:71" ht="12" customHeight="1" x14ac:dyDescent="0.2">
      <c r="A106" s="55">
        <v>2011</v>
      </c>
      <c r="B106" s="55" t="s">
        <v>11</v>
      </c>
      <c r="C106" s="82"/>
      <c r="D106" s="82">
        <v>10790.50416</v>
      </c>
      <c r="E106" s="78">
        <v>2583.2520600000003</v>
      </c>
      <c r="F106" s="78">
        <v>8207.2520999999997</v>
      </c>
      <c r="G106" s="82"/>
      <c r="H106" s="82"/>
      <c r="I106" s="82">
        <v>882.97893999999997</v>
      </c>
      <c r="J106" s="82">
        <v>0</v>
      </c>
      <c r="K106" s="82">
        <v>0</v>
      </c>
      <c r="L106" s="82"/>
      <c r="M106" s="82"/>
      <c r="N106" s="82">
        <v>6302.5384800000002</v>
      </c>
      <c r="O106" s="78">
        <v>6302.5384800000002</v>
      </c>
      <c r="P106" s="78">
        <v>0</v>
      </c>
      <c r="Q106" s="73">
        <v>17976.021580000001</v>
      </c>
      <c r="R106" s="78">
        <v>9768.769479999999</v>
      </c>
      <c r="S106" s="78">
        <v>8207.2520999999997</v>
      </c>
      <c r="T106" s="47"/>
      <c r="U106" s="57"/>
      <c r="V106" s="57"/>
      <c r="W106" s="57"/>
      <c r="X106" s="57"/>
      <c r="Y106" s="57">
        <v>2045.3145300000001</v>
      </c>
      <c r="Z106" s="57">
        <v>883.41160000000002</v>
      </c>
      <c r="AA106" s="57">
        <v>2928.72613</v>
      </c>
      <c r="AB106" s="45"/>
      <c r="AC106" s="57">
        <v>0</v>
      </c>
      <c r="AD106" s="78">
        <v>0</v>
      </c>
      <c r="AE106" s="78"/>
      <c r="AF106" s="82">
        <v>689.24566000000004</v>
      </c>
      <c r="AG106" s="78">
        <v>0</v>
      </c>
      <c r="AH106" s="78">
        <v>689.24566000000004</v>
      </c>
      <c r="AI106" s="82"/>
      <c r="AJ106" s="82">
        <v>3318.7630600000007</v>
      </c>
      <c r="AK106" s="78">
        <v>1852.04746</v>
      </c>
      <c r="AL106" s="78">
        <v>1466.7156</v>
      </c>
      <c r="AM106" s="82">
        <v>0</v>
      </c>
      <c r="AN106" s="78">
        <v>0</v>
      </c>
      <c r="AO106" s="79">
        <v>0</v>
      </c>
      <c r="AP106" s="82">
        <v>22.169</v>
      </c>
      <c r="AQ106" s="78">
        <v>22.169</v>
      </c>
      <c r="AR106" s="52">
        <v>0</v>
      </c>
      <c r="AS106" s="48"/>
      <c r="AT106" s="78"/>
      <c r="AU106" s="52">
        <v>0</v>
      </c>
      <c r="AV106" s="48"/>
      <c r="AW106" s="52"/>
      <c r="AX106" s="52">
        <v>0</v>
      </c>
      <c r="AY106" s="87">
        <v>4030.1777200000006</v>
      </c>
      <c r="AZ106" s="52">
        <v>1874.2164600000001</v>
      </c>
      <c r="BA106" s="52">
        <v>2155.96126</v>
      </c>
      <c r="BB106" s="48"/>
      <c r="BC106" s="57">
        <v>0</v>
      </c>
      <c r="BD106" s="57">
        <v>0</v>
      </c>
      <c r="BE106" s="57">
        <v>4924.2156699999996</v>
      </c>
      <c r="BF106" s="57">
        <v>0</v>
      </c>
      <c r="BG106" s="57">
        <v>4924.2156699999996</v>
      </c>
      <c r="BH106" s="46"/>
      <c r="BI106" s="57">
        <v>0</v>
      </c>
      <c r="BJ106" s="57">
        <v>0</v>
      </c>
      <c r="BK106" s="57"/>
      <c r="BL106" s="57"/>
      <c r="BM106" s="57">
        <v>0</v>
      </c>
      <c r="BN106" s="57"/>
      <c r="BO106" s="57">
        <v>0</v>
      </c>
      <c r="BP106" s="46"/>
      <c r="BQ106" s="87">
        <v>29859.141100000001</v>
      </c>
      <c r="BR106" s="52">
        <v>19495.927739999999</v>
      </c>
      <c r="BS106" s="52">
        <v>10363.21336</v>
      </c>
    </row>
    <row r="107" spans="1:71" ht="12" customHeight="1" x14ac:dyDescent="0.2">
      <c r="A107" s="55">
        <v>2011</v>
      </c>
      <c r="B107" s="55" t="s">
        <v>12</v>
      </c>
      <c r="C107" s="82"/>
      <c r="D107" s="82">
        <v>13248.544660000001</v>
      </c>
      <c r="E107" s="78">
        <v>3600.6961100000003</v>
      </c>
      <c r="F107" s="78">
        <v>9647.8485500000006</v>
      </c>
      <c r="G107" s="82"/>
      <c r="H107" s="82"/>
      <c r="I107" s="82">
        <v>663.64989000000003</v>
      </c>
      <c r="J107" s="82">
        <v>0</v>
      </c>
      <c r="K107" s="82">
        <v>0</v>
      </c>
      <c r="L107" s="82"/>
      <c r="M107" s="82"/>
      <c r="N107" s="82">
        <v>6151.8694000000005</v>
      </c>
      <c r="O107" s="78">
        <v>6151.8694000000005</v>
      </c>
      <c r="P107" s="78">
        <v>0</v>
      </c>
      <c r="Q107" s="73">
        <v>20064.063950000003</v>
      </c>
      <c r="R107" s="78">
        <v>10416.215400000001</v>
      </c>
      <c r="S107" s="78">
        <v>9647.8485500000006</v>
      </c>
      <c r="T107" s="47"/>
      <c r="U107" s="57"/>
      <c r="V107" s="57"/>
      <c r="W107" s="57"/>
      <c r="X107" s="57"/>
      <c r="Y107" s="57">
        <v>4334.128310000001</v>
      </c>
      <c r="Z107" s="57">
        <v>1720.4533000000001</v>
      </c>
      <c r="AA107" s="57">
        <v>6054.5816100000011</v>
      </c>
      <c r="AB107" s="45"/>
      <c r="AC107" s="57">
        <v>891.99952000000008</v>
      </c>
      <c r="AD107" s="78">
        <v>891.99952000000008</v>
      </c>
      <c r="AE107" s="78"/>
      <c r="AF107" s="82">
        <v>952.60685000000001</v>
      </c>
      <c r="AG107" s="78">
        <v>0</v>
      </c>
      <c r="AH107" s="78">
        <v>952.60685000000001</v>
      </c>
      <c r="AI107" s="82"/>
      <c r="AJ107" s="82">
        <v>2120.9147400000002</v>
      </c>
      <c r="AK107" s="78">
        <v>0</v>
      </c>
      <c r="AL107" s="78">
        <v>2120.9147400000002</v>
      </c>
      <c r="AM107" s="82">
        <v>0</v>
      </c>
      <c r="AN107" s="78">
        <v>0</v>
      </c>
      <c r="AO107" s="79">
        <v>0</v>
      </c>
      <c r="AP107" s="82">
        <v>7.5220000000000002</v>
      </c>
      <c r="AQ107" s="78">
        <v>7.5220000000000002</v>
      </c>
      <c r="AR107" s="52">
        <v>0</v>
      </c>
      <c r="AS107" s="48"/>
      <c r="AT107" s="78"/>
      <c r="AU107" s="52">
        <v>0</v>
      </c>
      <c r="AV107" s="48"/>
      <c r="AW107" s="52"/>
      <c r="AX107" s="52">
        <v>0</v>
      </c>
      <c r="AY107" s="87">
        <v>3973.0431100000001</v>
      </c>
      <c r="AZ107" s="52">
        <v>899.52152000000012</v>
      </c>
      <c r="BA107" s="52">
        <v>3073.5215900000003</v>
      </c>
      <c r="BB107" s="48"/>
      <c r="BC107" s="57">
        <v>0</v>
      </c>
      <c r="BD107" s="57">
        <v>0</v>
      </c>
      <c r="BE107" s="57">
        <v>3017.8157999999999</v>
      </c>
      <c r="BF107" s="57">
        <v>0</v>
      </c>
      <c r="BG107" s="57">
        <v>3017.8157999999999</v>
      </c>
      <c r="BH107" s="46"/>
      <c r="BI107" s="57">
        <v>0</v>
      </c>
      <c r="BJ107" s="57">
        <v>0</v>
      </c>
      <c r="BK107" s="57"/>
      <c r="BL107" s="57"/>
      <c r="BM107" s="57">
        <v>0</v>
      </c>
      <c r="BN107" s="57"/>
      <c r="BO107" s="57">
        <v>0</v>
      </c>
      <c r="BP107" s="46"/>
      <c r="BQ107" s="87">
        <v>33109.50447</v>
      </c>
      <c r="BR107" s="52">
        <v>20388.134330000001</v>
      </c>
      <c r="BS107" s="52">
        <v>12721.370140000001</v>
      </c>
    </row>
    <row r="108" spans="1:71" ht="12" customHeight="1" x14ac:dyDescent="0.2">
      <c r="A108" s="55">
        <v>2011</v>
      </c>
      <c r="B108" s="55" t="s">
        <v>13</v>
      </c>
      <c r="C108" s="82"/>
      <c r="D108" s="82">
        <v>14907.12384</v>
      </c>
      <c r="E108" s="78">
        <v>5208.3991900000001</v>
      </c>
      <c r="F108" s="78">
        <v>9698.7246500000001</v>
      </c>
      <c r="G108" s="82"/>
      <c r="H108" s="82"/>
      <c r="I108" s="82">
        <v>898.97208999999998</v>
      </c>
      <c r="J108" s="82">
        <v>0</v>
      </c>
      <c r="K108" s="82">
        <v>0</v>
      </c>
      <c r="L108" s="82"/>
      <c r="M108" s="82"/>
      <c r="N108" s="82">
        <v>4547.0459800000008</v>
      </c>
      <c r="O108" s="78">
        <v>4547.0459800000008</v>
      </c>
      <c r="P108" s="78">
        <v>0</v>
      </c>
      <c r="Q108" s="73">
        <v>20353.141910000002</v>
      </c>
      <c r="R108" s="78">
        <v>10654.41726</v>
      </c>
      <c r="S108" s="78">
        <v>9698.7246500000001</v>
      </c>
      <c r="T108" s="47"/>
      <c r="U108" s="57"/>
      <c r="V108" s="57"/>
      <c r="W108" s="57"/>
      <c r="X108" s="57"/>
      <c r="Y108" s="57">
        <v>3030.2373700000003</v>
      </c>
      <c r="Z108" s="57">
        <v>822.67941000000008</v>
      </c>
      <c r="AA108" s="57">
        <v>3852.9167800000005</v>
      </c>
      <c r="AB108" s="45"/>
      <c r="AC108" s="57">
        <v>1151.8914</v>
      </c>
      <c r="AD108" s="78">
        <v>1151.8914</v>
      </c>
      <c r="AE108" s="78"/>
      <c r="AF108" s="82">
        <v>697.30615999999986</v>
      </c>
      <c r="AG108" s="78">
        <v>0</v>
      </c>
      <c r="AH108" s="78">
        <v>697.30615999999986</v>
      </c>
      <c r="AI108" s="82"/>
      <c r="AJ108" s="82">
        <v>3181.0688100000002</v>
      </c>
      <c r="AK108" s="78">
        <v>893.63567</v>
      </c>
      <c r="AL108" s="78">
        <v>2287.4331400000001</v>
      </c>
      <c r="AM108" s="82">
        <v>0</v>
      </c>
      <c r="AN108" s="78">
        <v>0</v>
      </c>
      <c r="AO108" s="79">
        <v>0</v>
      </c>
      <c r="AP108" s="82">
        <v>2.9060000000000001</v>
      </c>
      <c r="AQ108" s="78">
        <v>2.9060000000000001</v>
      </c>
      <c r="AR108" s="52">
        <v>0</v>
      </c>
      <c r="AS108" s="48"/>
      <c r="AT108" s="78"/>
      <c r="AU108" s="52">
        <v>0</v>
      </c>
      <c r="AV108" s="48"/>
      <c r="AW108" s="52"/>
      <c r="AX108" s="52">
        <v>0</v>
      </c>
      <c r="AY108" s="87">
        <v>5033.1723700000002</v>
      </c>
      <c r="AZ108" s="52">
        <v>2048.43307</v>
      </c>
      <c r="BA108" s="52">
        <v>2984.7393000000002</v>
      </c>
      <c r="BB108" s="48"/>
      <c r="BC108" s="57">
        <v>0</v>
      </c>
      <c r="BD108" s="57">
        <v>1917.63471</v>
      </c>
      <c r="BE108" s="57">
        <v>3497.6349899999996</v>
      </c>
      <c r="BF108" s="57">
        <v>0</v>
      </c>
      <c r="BG108" s="57">
        <v>5415.2696999999998</v>
      </c>
      <c r="BH108" s="46"/>
      <c r="BI108" s="57">
        <v>0</v>
      </c>
      <c r="BJ108" s="57">
        <v>0</v>
      </c>
      <c r="BK108" s="57"/>
      <c r="BL108" s="57"/>
      <c r="BM108" s="57">
        <v>0</v>
      </c>
      <c r="BN108" s="57"/>
      <c r="BO108" s="57">
        <v>0</v>
      </c>
      <c r="BP108" s="46"/>
      <c r="BQ108" s="87">
        <v>34654.500760000003</v>
      </c>
      <c r="BR108" s="52">
        <v>21971.036810000001</v>
      </c>
      <c r="BS108" s="52">
        <v>12683.463950000001</v>
      </c>
    </row>
    <row r="109" spans="1:71" ht="12" customHeight="1" x14ac:dyDescent="0.2">
      <c r="A109" s="55">
        <v>2011</v>
      </c>
      <c r="B109" s="55" t="s">
        <v>14</v>
      </c>
      <c r="C109" s="82"/>
      <c r="D109" s="82">
        <v>13127.791229999999</v>
      </c>
      <c r="E109" s="78">
        <v>2685.3696100000002</v>
      </c>
      <c r="F109" s="78">
        <v>10442.421619999999</v>
      </c>
      <c r="G109" s="82"/>
      <c r="H109" s="82"/>
      <c r="I109" s="82">
        <v>2659.1539900000002</v>
      </c>
      <c r="J109" s="82">
        <v>0</v>
      </c>
      <c r="K109" s="82">
        <v>0</v>
      </c>
      <c r="L109" s="82"/>
      <c r="M109" s="82"/>
      <c r="N109" s="82">
        <v>5854.39545</v>
      </c>
      <c r="O109" s="78">
        <v>5854.39545</v>
      </c>
      <c r="P109" s="78">
        <v>0</v>
      </c>
      <c r="Q109" s="73">
        <v>21641.340669999998</v>
      </c>
      <c r="R109" s="78">
        <v>11198.91905</v>
      </c>
      <c r="S109" s="78">
        <v>10442.421619999999</v>
      </c>
      <c r="T109" s="47"/>
      <c r="U109" s="57"/>
      <c r="V109" s="57"/>
      <c r="W109" s="57"/>
      <c r="X109" s="57"/>
      <c r="Y109" s="57">
        <v>2159.7324900000003</v>
      </c>
      <c r="Z109" s="57">
        <v>2572.2558300000001</v>
      </c>
      <c r="AA109" s="57">
        <v>4731.9883200000004</v>
      </c>
      <c r="AB109" s="45"/>
      <c r="AC109" s="57">
        <v>0</v>
      </c>
      <c r="AD109" s="78">
        <v>0</v>
      </c>
      <c r="AE109" s="78"/>
      <c r="AF109" s="82">
        <v>630.81058999999993</v>
      </c>
      <c r="AG109" s="78">
        <v>0</v>
      </c>
      <c r="AH109" s="78">
        <v>630.81058999999993</v>
      </c>
      <c r="AI109" s="82"/>
      <c r="AJ109" s="82">
        <v>3142.0986600000001</v>
      </c>
      <c r="AK109" s="78">
        <v>892.54420999999991</v>
      </c>
      <c r="AL109" s="78">
        <v>2249.5544500000001</v>
      </c>
      <c r="AM109" s="82">
        <v>0</v>
      </c>
      <c r="AN109" s="78">
        <v>0</v>
      </c>
      <c r="AO109" s="79">
        <v>0</v>
      </c>
      <c r="AP109" s="82">
        <v>0.625</v>
      </c>
      <c r="AQ109" s="78">
        <v>0.625</v>
      </c>
      <c r="AR109" s="52">
        <v>0</v>
      </c>
      <c r="AS109" s="48"/>
      <c r="AT109" s="78"/>
      <c r="AU109" s="52">
        <v>0</v>
      </c>
      <c r="AV109" s="48"/>
      <c r="AW109" s="52"/>
      <c r="AX109" s="52">
        <v>0</v>
      </c>
      <c r="AY109" s="87">
        <v>3773.5342500000002</v>
      </c>
      <c r="AZ109" s="52">
        <v>893.16920999999991</v>
      </c>
      <c r="BA109" s="52">
        <v>2880.3650400000001</v>
      </c>
      <c r="BB109" s="48"/>
      <c r="BC109" s="57">
        <v>0</v>
      </c>
      <c r="BD109" s="57">
        <v>0</v>
      </c>
      <c r="BE109" s="57">
        <v>4450.5446500000007</v>
      </c>
      <c r="BF109" s="57">
        <v>0</v>
      </c>
      <c r="BG109" s="57">
        <v>4450.5446500000007</v>
      </c>
      <c r="BH109" s="46"/>
      <c r="BI109" s="57">
        <v>0</v>
      </c>
      <c r="BJ109" s="57">
        <v>0</v>
      </c>
      <c r="BK109" s="57"/>
      <c r="BL109" s="57"/>
      <c r="BM109" s="57">
        <v>0</v>
      </c>
      <c r="BN109" s="57"/>
      <c r="BO109" s="57">
        <v>0</v>
      </c>
      <c r="BP109" s="46"/>
      <c r="BQ109" s="87">
        <v>34597.407890000002</v>
      </c>
      <c r="BR109" s="52">
        <v>21274.621230000001</v>
      </c>
      <c r="BS109" s="52">
        <v>13322.78666</v>
      </c>
    </row>
    <row r="110" spans="1:71" ht="12" customHeight="1" x14ac:dyDescent="0.2">
      <c r="A110" s="55">
        <v>2011</v>
      </c>
      <c r="B110" s="55" t="s">
        <v>15</v>
      </c>
      <c r="C110" s="82"/>
      <c r="D110" s="82">
        <v>151797.11126000001</v>
      </c>
      <c r="E110" s="78">
        <v>43358.622129999996</v>
      </c>
      <c r="F110" s="78">
        <v>108438.48912999999</v>
      </c>
      <c r="G110" s="82"/>
      <c r="H110" s="82"/>
      <c r="I110" s="82">
        <v>25933.076179999996</v>
      </c>
      <c r="J110" s="82">
        <v>0</v>
      </c>
      <c r="K110" s="82">
        <v>966.91167000000007</v>
      </c>
      <c r="L110" s="82"/>
      <c r="M110" s="82"/>
      <c r="N110" s="82">
        <v>74208.512050000005</v>
      </c>
      <c r="O110" s="78">
        <v>74208.512050000005</v>
      </c>
      <c r="P110" s="78">
        <v>0</v>
      </c>
      <c r="Q110" s="73">
        <v>252905.61116000003</v>
      </c>
      <c r="R110" s="78">
        <v>144467.12203</v>
      </c>
      <c r="S110" s="78">
        <v>108438.48912999999</v>
      </c>
      <c r="T110" s="47"/>
      <c r="U110" s="57"/>
      <c r="V110" s="57"/>
      <c r="W110" s="57"/>
      <c r="X110" s="57"/>
      <c r="Y110" s="57">
        <v>22023.012920000001</v>
      </c>
      <c r="Z110" s="57">
        <v>27685.697080000005</v>
      </c>
      <c r="AA110" s="57">
        <v>49708.710000000006</v>
      </c>
      <c r="AB110" s="45"/>
      <c r="AC110" s="57">
        <v>2043.8909200000001</v>
      </c>
      <c r="AD110" s="78">
        <v>2043.8909200000001</v>
      </c>
      <c r="AE110" s="78"/>
      <c r="AF110" s="82">
        <v>5654.5659500000002</v>
      </c>
      <c r="AG110" s="78">
        <v>0</v>
      </c>
      <c r="AH110" s="78">
        <v>5654.5659500000002</v>
      </c>
      <c r="AI110" s="82"/>
      <c r="AJ110" s="82">
        <v>33491.681010000008</v>
      </c>
      <c r="AK110" s="78">
        <v>13914.967899999998</v>
      </c>
      <c r="AL110" s="78">
        <v>19576.713110000001</v>
      </c>
      <c r="AM110" s="82">
        <v>0</v>
      </c>
      <c r="AN110" s="78">
        <v>0</v>
      </c>
      <c r="AO110" s="79">
        <v>0</v>
      </c>
      <c r="AP110" s="82">
        <v>76.092000000000013</v>
      </c>
      <c r="AQ110" s="78">
        <v>76.092000000000013</v>
      </c>
      <c r="AR110" s="52">
        <v>0</v>
      </c>
      <c r="AS110" s="48"/>
      <c r="AT110" s="78"/>
      <c r="AU110" s="52">
        <v>0</v>
      </c>
      <c r="AV110" s="48"/>
      <c r="AW110" s="52"/>
      <c r="AX110" s="52">
        <v>0</v>
      </c>
      <c r="AY110" s="87">
        <v>41266.229880000006</v>
      </c>
      <c r="AZ110" s="52">
        <v>16034.950819999998</v>
      </c>
      <c r="BA110" s="52">
        <v>25231.279060000001</v>
      </c>
      <c r="BB110" s="48"/>
      <c r="BC110" s="57">
        <v>0</v>
      </c>
      <c r="BD110" s="57">
        <v>1917.63471</v>
      </c>
      <c r="BE110" s="57">
        <v>53302.07647</v>
      </c>
      <c r="BF110" s="57">
        <v>0</v>
      </c>
      <c r="BG110" s="57">
        <v>55219.711179999998</v>
      </c>
      <c r="BH110" s="46"/>
      <c r="BI110" s="57">
        <v>0</v>
      </c>
      <c r="BJ110" s="57">
        <v>0</v>
      </c>
      <c r="BK110" s="57"/>
      <c r="BL110" s="57"/>
      <c r="BM110" s="57">
        <v>0</v>
      </c>
      <c r="BN110" s="57"/>
      <c r="BO110" s="57">
        <v>0</v>
      </c>
      <c r="BP110" s="46"/>
      <c r="BQ110" s="87">
        <v>399100.26222000003</v>
      </c>
      <c r="BR110" s="52">
        <v>265430.49403</v>
      </c>
      <c r="BS110" s="52">
        <v>133669.76818999997</v>
      </c>
    </row>
    <row r="111" spans="1:71" ht="12" customHeight="1" x14ac:dyDescent="0.2">
      <c r="A111" s="55">
        <v>2012</v>
      </c>
      <c r="B111" s="55" t="s">
        <v>3</v>
      </c>
      <c r="C111" s="82"/>
      <c r="D111" s="82">
        <v>15500.627829999999</v>
      </c>
      <c r="E111" s="78">
        <v>3400.2760300000004</v>
      </c>
      <c r="F111" s="78">
        <v>12100.351799999999</v>
      </c>
      <c r="G111" s="82"/>
      <c r="H111" s="82"/>
      <c r="I111" s="82">
        <v>881.51434999999992</v>
      </c>
      <c r="J111" s="82">
        <v>0</v>
      </c>
      <c r="K111" s="82">
        <v>0</v>
      </c>
      <c r="L111" s="82"/>
      <c r="M111" s="82"/>
      <c r="N111" s="82">
        <v>4483.8389000000006</v>
      </c>
      <c r="O111" s="78">
        <v>4483.8389000000006</v>
      </c>
      <c r="P111" s="78">
        <v>0</v>
      </c>
      <c r="Q111" s="73">
        <v>20865.981080000001</v>
      </c>
      <c r="R111" s="78">
        <v>8765.629280000001</v>
      </c>
      <c r="S111" s="78">
        <v>12100.351799999999</v>
      </c>
      <c r="T111" s="47"/>
      <c r="U111" s="57"/>
      <c r="V111" s="57"/>
      <c r="W111" s="57"/>
      <c r="X111" s="57"/>
      <c r="Y111" s="57">
        <v>2018.9458500000001</v>
      </c>
      <c r="Z111" s="57">
        <v>1634.5611200000001</v>
      </c>
      <c r="AA111" s="57">
        <v>3653.5069700000004</v>
      </c>
      <c r="AB111" s="45"/>
      <c r="AC111" s="57">
        <v>831.29312000000004</v>
      </c>
      <c r="AD111" s="78">
        <v>831.29312000000004</v>
      </c>
      <c r="AE111" s="78"/>
      <c r="AF111" s="82">
        <v>643.50384000000008</v>
      </c>
      <c r="AG111" s="78">
        <v>0</v>
      </c>
      <c r="AH111" s="78">
        <v>643.50384000000008</v>
      </c>
      <c r="AI111" s="82"/>
      <c r="AJ111" s="82">
        <v>5942.3164300000008</v>
      </c>
      <c r="AK111" s="78">
        <v>3671.6810399999999</v>
      </c>
      <c r="AL111" s="78">
        <v>2270.6353899999999</v>
      </c>
      <c r="AM111" s="82">
        <v>0</v>
      </c>
      <c r="AN111" s="78">
        <v>0</v>
      </c>
      <c r="AO111" s="79">
        <v>0</v>
      </c>
      <c r="AP111" s="82">
        <v>0</v>
      </c>
      <c r="AQ111" s="78">
        <v>0</v>
      </c>
      <c r="AR111" s="52">
        <v>0</v>
      </c>
      <c r="AS111" s="48"/>
      <c r="AT111" s="78"/>
      <c r="AU111" s="52">
        <v>0</v>
      </c>
      <c r="AV111" s="48"/>
      <c r="AW111" s="52"/>
      <c r="AX111" s="52">
        <v>0</v>
      </c>
      <c r="AY111" s="87">
        <v>7417.1133900000013</v>
      </c>
      <c r="AZ111" s="52">
        <v>4502.9741599999998</v>
      </c>
      <c r="BA111" s="52">
        <v>2914.1392299999998</v>
      </c>
      <c r="BB111" s="48"/>
      <c r="BC111" s="57">
        <v>0</v>
      </c>
      <c r="BD111" s="57">
        <v>0</v>
      </c>
      <c r="BE111" s="57">
        <v>4458.7379600000004</v>
      </c>
      <c r="BF111" s="57">
        <v>0</v>
      </c>
      <c r="BG111" s="57">
        <v>4458.7379600000004</v>
      </c>
      <c r="BH111" s="46"/>
      <c r="BI111" s="57">
        <v>0</v>
      </c>
      <c r="BJ111" s="57">
        <v>0</v>
      </c>
      <c r="BK111" s="57"/>
      <c r="BL111" s="57"/>
      <c r="BM111" s="57">
        <v>0</v>
      </c>
      <c r="BN111" s="57"/>
      <c r="BO111" s="57">
        <v>0</v>
      </c>
      <c r="BP111" s="46"/>
      <c r="BQ111" s="87">
        <v>36395.339400000004</v>
      </c>
      <c r="BR111" s="52">
        <v>21380.84837</v>
      </c>
      <c r="BS111" s="52">
        <v>15014.491029999997</v>
      </c>
    </row>
    <row r="112" spans="1:71" ht="12" customHeight="1" x14ac:dyDescent="0.2">
      <c r="A112" s="55">
        <v>2012</v>
      </c>
      <c r="B112" s="55" t="s">
        <v>4</v>
      </c>
      <c r="C112" s="82"/>
      <c r="D112" s="82">
        <v>16919.691649999997</v>
      </c>
      <c r="E112" s="78">
        <v>4404.5763399999996</v>
      </c>
      <c r="F112" s="78">
        <v>12515.115309999997</v>
      </c>
      <c r="G112" s="82"/>
      <c r="H112" s="82"/>
      <c r="I112" s="82">
        <v>1767.2854199999999</v>
      </c>
      <c r="J112" s="82">
        <v>0</v>
      </c>
      <c r="K112" s="82">
        <v>0</v>
      </c>
      <c r="L112" s="82"/>
      <c r="M112" s="82"/>
      <c r="N112" s="82">
        <v>6155.5663700000005</v>
      </c>
      <c r="O112" s="78">
        <v>6155.5663700000005</v>
      </c>
      <c r="P112" s="78">
        <v>0</v>
      </c>
      <c r="Q112" s="73">
        <v>24842.543439999998</v>
      </c>
      <c r="R112" s="78">
        <v>12327.42813</v>
      </c>
      <c r="S112" s="78">
        <v>12515.115309999997</v>
      </c>
      <c r="T112" s="47"/>
      <c r="U112" s="57"/>
      <c r="V112" s="57"/>
      <c r="W112" s="57"/>
      <c r="X112" s="57"/>
      <c r="Y112" s="57">
        <v>2003.2768700000001</v>
      </c>
      <c r="Z112" s="57">
        <v>3318.38859</v>
      </c>
      <c r="AA112" s="57">
        <v>5321.6654600000002</v>
      </c>
      <c r="AB112" s="45"/>
      <c r="AC112" s="57">
        <v>0</v>
      </c>
      <c r="AD112" s="78">
        <v>0</v>
      </c>
      <c r="AE112" s="78"/>
      <c r="AF112" s="82">
        <v>598.21512999999993</v>
      </c>
      <c r="AG112" s="78">
        <v>0</v>
      </c>
      <c r="AH112" s="78">
        <v>598.21512999999993</v>
      </c>
      <c r="AI112" s="82"/>
      <c r="AJ112" s="82">
        <v>3202.0638799999997</v>
      </c>
      <c r="AK112" s="78">
        <v>931.42849000000001</v>
      </c>
      <c r="AL112" s="78">
        <v>2270.6353899999999</v>
      </c>
      <c r="AM112" s="82">
        <v>0</v>
      </c>
      <c r="AN112" s="78">
        <v>0</v>
      </c>
      <c r="AO112" s="79">
        <v>0</v>
      </c>
      <c r="AP112" s="82">
        <v>0</v>
      </c>
      <c r="AQ112" s="78">
        <v>0</v>
      </c>
      <c r="AR112" s="52">
        <v>0</v>
      </c>
      <c r="AS112" s="48"/>
      <c r="AT112" s="78"/>
      <c r="AU112" s="52">
        <v>0</v>
      </c>
      <c r="AV112" s="48"/>
      <c r="AW112" s="52"/>
      <c r="AX112" s="52">
        <v>0</v>
      </c>
      <c r="AY112" s="87">
        <v>3800.2790099999997</v>
      </c>
      <c r="AZ112" s="52">
        <v>931.42849000000001</v>
      </c>
      <c r="BA112" s="52">
        <v>2868.85052</v>
      </c>
      <c r="BB112" s="48"/>
      <c r="BC112" s="57">
        <v>0</v>
      </c>
      <c r="BD112" s="57">
        <v>0</v>
      </c>
      <c r="BE112" s="57">
        <v>3520.8821899999998</v>
      </c>
      <c r="BF112" s="57">
        <v>0</v>
      </c>
      <c r="BG112" s="57">
        <v>3520.8821899999998</v>
      </c>
      <c r="BH112" s="46"/>
      <c r="BI112" s="57">
        <v>0</v>
      </c>
      <c r="BJ112" s="57">
        <v>0</v>
      </c>
      <c r="BK112" s="57"/>
      <c r="BL112" s="57"/>
      <c r="BM112" s="57">
        <v>0</v>
      </c>
      <c r="BN112" s="57"/>
      <c r="BO112" s="57">
        <v>0</v>
      </c>
      <c r="BP112" s="46"/>
      <c r="BQ112" s="87">
        <v>37485.370099999993</v>
      </c>
      <c r="BR112" s="52">
        <v>22101.404269999999</v>
      </c>
      <c r="BS112" s="52">
        <v>15383.965829999997</v>
      </c>
    </row>
    <row r="113" spans="1:71" ht="12" customHeight="1" x14ac:dyDescent="0.2">
      <c r="A113" s="55">
        <v>2012</v>
      </c>
      <c r="B113" s="55" t="s">
        <v>5</v>
      </c>
      <c r="C113" s="82"/>
      <c r="D113" s="82">
        <v>15937.52663</v>
      </c>
      <c r="E113" s="78">
        <v>3643.4522599999996</v>
      </c>
      <c r="F113" s="78">
        <v>12294.07437</v>
      </c>
      <c r="G113" s="82"/>
      <c r="H113" s="82"/>
      <c r="I113" s="82">
        <v>1850.17338</v>
      </c>
      <c r="J113" s="82">
        <v>0</v>
      </c>
      <c r="K113" s="82">
        <v>0</v>
      </c>
      <c r="L113" s="82"/>
      <c r="M113" s="82"/>
      <c r="N113" s="82">
        <v>3335.6891900000001</v>
      </c>
      <c r="O113" s="78">
        <v>3335.6891900000001</v>
      </c>
      <c r="P113" s="78">
        <v>0</v>
      </c>
      <c r="Q113" s="73">
        <v>21123.389200000001</v>
      </c>
      <c r="R113" s="78">
        <v>8829.3148299999993</v>
      </c>
      <c r="S113" s="78">
        <v>12294.07437</v>
      </c>
      <c r="T113" s="47"/>
      <c r="U113" s="57"/>
      <c r="V113" s="57"/>
      <c r="W113" s="57"/>
      <c r="X113" s="57"/>
      <c r="Y113" s="57">
        <v>1071.28081</v>
      </c>
      <c r="Z113" s="57">
        <v>1911.8174199999999</v>
      </c>
      <c r="AA113" s="57">
        <v>2983.0982299999996</v>
      </c>
      <c r="AB113" s="45"/>
      <c r="AC113" s="57">
        <v>0</v>
      </c>
      <c r="AD113" s="78">
        <v>0</v>
      </c>
      <c r="AE113" s="78"/>
      <c r="AF113" s="82">
        <v>777.11237947310747</v>
      </c>
      <c r="AG113" s="78">
        <v>0</v>
      </c>
      <c r="AH113" s="78">
        <v>777.11237947310838</v>
      </c>
      <c r="AI113" s="82"/>
      <c r="AJ113" s="82">
        <v>4642.3248170348743</v>
      </c>
      <c r="AK113" s="78">
        <v>2352.7678772674408</v>
      </c>
      <c r="AL113" s="78">
        <v>2289.5549866424444</v>
      </c>
      <c r="AM113" s="82">
        <v>0</v>
      </c>
      <c r="AN113" s="78">
        <v>0</v>
      </c>
      <c r="AO113" s="79">
        <v>0</v>
      </c>
      <c r="AP113" s="82">
        <v>0</v>
      </c>
      <c r="AQ113" s="78">
        <v>0</v>
      </c>
      <c r="AR113" s="52">
        <v>0</v>
      </c>
      <c r="AS113" s="48"/>
      <c r="AT113" s="78"/>
      <c r="AU113" s="52">
        <v>0</v>
      </c>
      <c r="AV113" s="48"/>
      <c r="AW113" s="52"/>
      <c r="AX113" s="52">
        <v>0</v>
      </c>
      <c r="AY113" s="87">
        <v>5419.4341920348961</v>
      </c>
      <c r="AZ113" s="52">
        <v>2352.7678772674517</v>
      </c>
      <c r="BA113" s="52">
        <v>3066.6663147674553</v>
      </c>
      <c r="BB113" s="48"/>
      <c r="BC113" s="57">
        <v>0</v>
      </c>
      <c r="BD113" s="57">
        <v>0</v>
      </c>
      <c r="BE113" s="57">
        <v>4970.4693482849179</v>
      </c>
      <c r="BF113" s="57">
        <v>0</v>
      </c>
      <c r="BG113" s="57">
        <v>4970.4693482849252</v>
      </c>
      <c r="BH113" s="46"/>
      <c r="BI113" s="57">
        <v>0</v>
      </c>
      <c r="BJ113" s="57">
        <v>0</v>
      </c>
      <c r="BK113" s="57"/>
      <c r="BL113" s="57"/>
      <c r="BM113" s="57">
        <v>0</v>
      </c>
      <c r="BN113" s="57"/>
      <c r="BO113" s="57">
        <v>0</v>
      </c>
      <c r="BP113" s="46"/>
      <c r="BQ113" s="87">
        <v>34496.37978627946</v>
      </c>
      <c r="BR113" s="52">
        <v>19135.643018139759</v>
      </c>
      <c r="BS113" s="52">
        <v>15360.743384069894</v>
      </c>
    </row>
    <row r="114" spans="1:71" ht="12" customHeight="1" x14ac:dyDescent="0.2">
      <c r="A114" s="55">
        <v>2012</v>
      </c>
      <c r="B114" s="55" t="s">
        <v>6</v>
      </c>
      <c r="C114" s="82"/>
      <c r="D114" s="82">
        <v>11768.809379999999</v>
      </c>
      <c r="E114" s="78">
        <v>3681.3316899999995</v>
      </c>
      <c r="F114" s="78">
        <v>8087.4776899999997</v>
      </c>
      <c r="G114" s="82"/>
      <c r="H114" s="82"/>
      <c r="I114" s="82">
        <v>1767.26818</v>
      </c>
      <c r="J114" s="82">
        <v>0</v>
      </c>
      <c r="K114" s="82">
        <v>0</v>
      </c>
      <c r="L114" s="82"/>
      <c r="M114" s="82"/>
      <c r="N114" s="82">
        <v>5183.6677399999999</v>
      </c>
      <c r="O114" s="78">
        <v>5183.6677399999999</v>
      </c>
      <c r="P114" s="78">
        <v>0</v>
      </c>
      <c r="Q114" s="73">
        <v>18719.745299999999</v>
      </c>
      <c r="R114" s="78">
        <v>10632.267609999999</v>
      </c>
      <c r="S114" s="78">
        <v>8087.4776899999997</v>
      </c>
      <c r="T114" s="47"/>
      <c r="U114" s="57"/>
      <c r="V114" s="57"/>
      <c r="W114" s="57"/>
      <c r="X114" s="57"/>
      <c r="Y114" s="57">
        <v>2020.8818799999999</v>
      </c>
      <c r="Z114" s="57">
        <v>2960.0526400000003</v>
      </c>
      <c r="AA114" s="57">
        <v>4980.9345200000007</v>
      </c>
      <c r="AB114" s="45"/>
      <c r="AC114" s="57">
        <v>811.31111999999996</v>
      </c>
      <c r="AD114" s="78">
        <v>811.31111999999996</v>
      </c>
      <c r="AE114" s="78"/>
      <c r="AF114" s="82">
        <v>931.37664999999993</v>
      </c>
      <c r="AG114" s="78">
        <v>0</v>
      </c>
      <c r="AH114" s="78">
        <v>931.37664999999981</v>
      </c>
      <c r="AI114" s="82"/>
      <c r="AJ114" s="82">
        <v>3054.8356100000001</v>
      </c>
      <c r="AK114" s="78">
        <v>891.79193999999995</v>
      </c>
      <c r="AL114" s="78">
        <v>2163.04367</v>
      </c>
      <c r="AM114" s="82">
        <v>0</v>
      </c>
      <c r="AN114" s="78">
        <v>0</v>
      </c>
      <c r="AO114" s="79">
        <v>0</v>
      </c>
      <c r="AP114" s="82">
        <v>0</v>
      </c>
      <c r="AQ114" s="78">
        <v>0</v>
      </c>
      <c r="AR114" s="52">
        <v>0</v>
      </c>
      <c r="AS114" s="48"/>
      <c r="AT114" s="78"/>
      <c r="AU114" s="52">
        <v>0</v>
      </c>
      <c r="AV114" s="48"/>
      <c r="AW114" s="52"/>
      <c r="AX114" s="52">
        <v>0</v>
      </c>
      <c r="AY114" s="87">
        <v>4797.5233800000005</v>
      </c>
      <c r="AZ114" s="52">
        <v>1703.1030599999999</v>
      </c>
      <c r="BA114" s="52">
        <v>3094.4203199999997</v>
      </c>
      <c r="BB114" s="48"/>
      <c r="BC114" s="57">
        <v>0</v>
      </c>
      <c r="BD114" s="57">
        <v>0</v>
      </c>
      <c r="BE114" s="57">
        <v>4227.4067699999996</v>
      </c>
      <c r="BF114" s="57">
        <v>0</v>
      </c>
      <c r="BG114" s="57">
        <v>4227.4067699999996</v>
      </c>
      <c r="BH114" s="46"/>
      <c r="BI114" s="57">
        <v>0</v>
      </c>
      <c r="BJ114" s="57">
        <v>0</v>
      </c>
      <c r="BK114" s="57"/>
      <c r="BL114" s="57"/>
      <c r="BM114" s="57">
        <v>0</v>
      </c>
      <c r="BN114" s="57"/>
      <c r="BO114" s="57">
        <v>0</v>
      </c>
      <c r="BP114" s="46"/>
      <c r="BQ114" s="87">
        <v>32725.609969999998</v>
      </c>
      <c r="BR114" s="52">
        <v>21543.711960000001</v>
      </c>
      <c r="BS114" s="52">
        <v>11181.898009999999</v>
      </c>
    </row>
    <row r="115" spans="1:71" ht="12" customHeight="1" x14ac:dyDescent="0.2">
      <c r="A115" s="55">
        <v>2012</v>
      </c>
      <c r="B115" s="55" t="s">
        <v>7</v>
      </c>
      <c r="C115" s="82"/>
      <c r="D115" s="82">
        <v>13642.018370000002</v>
      </c>
      <c r="E115" s="78">
        <v>2583.8175000000001</v>
      </c>
      <c r="F115" s="78">
        <v>11058.200870000001</v>
      </c>
      <c r="G115" s="82"/>
      <c r="H115" s="82"/>
      <c r="I115" s="82">
        <v>0</v>
      </c>
      <c r="J115" s="82">
        <v>0</v>
      </c>
      <c r="K115" s="82">
        <v>0</v>
      </c>
      <c r="L115" s="82"/>
      <c r="M115" s="82"/>
      <c r="N115" s="82">
        <v>4411.7116500000002</v>
      </c>
      <c r="O115" s="78">
        <v>4411.7116500000002</v>
      </c>
      <c r="P115" s="78">
        <v>0</v>
      </c>
      <c r="Q115" s="73">
        <v>18053.730020000003</v>
      </c>
      <c r="R115" s="78">
        <v>6995.5291500000003</v>
      </c>
      <c r="S115" s="78">
        <v>11058.200870000001</v>
      </c>
      <c r="T115" s="47"/>
      <c r="U115" s="57"/>
      <c r="V115" s="57"/>
      <c r="W115" s="57"/>
      <c r="X115" s="57"/>
      <c r="Y115" s="57">
        <v>1076.60662</v>
      </c>
      <c r="Z115" s="57">
        <v>3817.3595599999994</v>
      </c>
      <c r="AA115" s="57">
        <v>4893.9661799999994</v>
      </c>
      <c r="AB115" s="45"/>
      <c r="AC115" s="57">
        <v>1235.10472</v>
      </c>
      <c r="AD115" s="78">
        <v>1235.10472</v>
      </c>
      <c r="AE115" s="78"/>
      <c r="AF115" s="82">
        <v>1040.3312599999999</v>
      </c>
      <c r="AG115" s="78">
        <v>0</v>
      </c>
      <c r="AH115" s="78">
        <v>1040.3312600000002</v>
      </c>
      <c r="AI115" s="82"/>
      <c r="AJ115" s="82">
        <v>4129.2521099999994</v>
      </c>
      <c r="AK115" s="78">
        <v>1887.1026899999999</v>
      </c>
      <c r="AL115" s="78">
        <v>2242.1494199999997</v>
      </c>
      <c r="AM115" s="82">
        <v>0</v>
      </c>
      <c r="AN115" s="78">
        <v>0</v>
      </c>
      <c r="AO115" s="79">
        <v>0</v>
      </c>
      <c r="AP115" s="82">
        <v>0</v>
      </c>
      <c r="AQ115" s="78">
        <v>0</v>
      </c>
      <c r="AR115" s="52">
        <v>0</v>
      </c>
      <c r="AS115" s="48"/>
      <c r="AT115" s="78"/>
      <c r="AU115" s="52">
        <v>0</v>
      </c>
      <c r="AV115" s="48"/>
      <c r="AW115" s="52"/>
      <c r="AX115" s="52">
        <v>0</v>
      </c>
      <c r="AY115" s="87">
        <v>6404.6880899999996</v>
      </c>
      <c r="AZ115" s="52">
        <v>3122.20741</v>
      </c>
      <c r="BA115" s="52">
        <v>3282.4806799999997</v>
      </c>
      <c r="BB115" s="48"/>
      <c r="BC115" s="57">
        <v>0</v>
      </c>
      <c r="BD115" s="57">
        <v>0</v>
      </c>
      <c r="BE115" s="57">
        <v>4210.2981500000005</v>
      </c>
      <c r="BF115" s="57">
        <v>0</v>
      </c>
      <c r="BG115" s="57">
        <v>4210.2981500000005</v>
      </c>
      <c r="BH115" s="46"/>
      <c r="BI115" s="57">
        <v>0</v>
      </c>
      <c r="BJ115" s="57">
        <v>0</v>
      </c>
      <c r="BK115" s="57"/>
      <c r="BL115" s="57"/>
      <c r="BM115" s="57">
        <v>0</v>
      </c>
      <c r="BN115" s="57"/>
      <c r="BO115" s="57">
        <v>0</v>
      </c>
      <c r="BP115" s="46"/>
      <c r="BQ115" s="87">
        <v>33562.682440000004</v>
      </c>
      <c r="BR115" s="52">
        <v>19222.000890000003</v>
      </c>
      <c r="BS115" s="52">
        <v>14340.681550000001</v>
      </c>
    </row>
    <row r="116" spans="1:71" x14ac:dyDescent="0.2">
      <c r="A116" s="55">
        <v>2012</v>
      </c>
      <c r="B116" s="55" t="s">
        <v>8</v>
      </c>
      <c r="C116" s="82"/>
      <c r="D116" s="82">
        <v>14544.384310000001</v>
      </c>
      <c r="E116" s="78">
        <v>3565.36384</v>
      </c>
      <c r="F116" s="78">
        <v>10979.020470000001</v>
      </c>
      <c r="G116" s="82"/>
      <c r="H116" s="82"/>
      <c r="I116" s="82">
        <v>0</v>
      </c>
      <c r="J116" s="82">
        <v>0</v>
      </c>
      <c r="K116" s="82">
        <v>0</v>
      </c>
      <c r="L116" s="82"/>
      <c r="M116" s="82"/>
      <c r="N116" s="82">
        <v>1808.1648399999999</v>
      </c>
      <c r="O116" s="78">
        <v>1808.1648399999999</v>
      </c>
      <c r="P116" s="78">
        <v>0</v>
      </c>
      <c r="Q116" s="73">
        <v>16352.549150000001</v>
      </c>
      <c r="R116" s="78">
        <v>5373.5286799999994</v>
      </c>
      <c r="S116" s="78">
        <v>10979.020470000001</v>
      </c>
      <c r="T116" s="47"/>
      <c r="U116" s="57"/>
      <c r="V116" s="57"/>
      <c r="W116" s="57"/>
      <c r="X116" s="57"/>
      <c r="Y116" s="57">
        <v>2165.9771000000001</v>
      </c>
      <c r="Z116" s="57">
        <v>1708.7812799999999</v>
      </c>
      <c r="AA116" s="57">
        <v>3874.7583800000002</v>
      </c>
      <c r="AB116" s="45"/>
      <c r="AC116" s="57">
        <v>407.24900000000002</v>
      </c>
      <c r="AD116" s="78">
        <v>407.24900000000002</v>
      </c>
      <c r="AE116" s="78"/>
      <c r="AF116" s="82">
        <v>972.71557999999993</v>
      </c>
      <c r="AG116" s="78">
        <v>0</v>
      </c>
      <c r="AH116" s="78">
        <v>972.71558000000016</v>
      </c>
      <c r="AI116" s="82"/>
      <c r="AJ116" s="82">
        <v>3132.0457099999999</v>
      </c>
      <c r="AK116" s="78">
        <v>931.16517999999996</v>
      </c>
      <c r="AL116" s="78">
        <v>2200.8805299999999</v>
      </c>
      <c r="AM116" s="82">
        <v>0</v>
      </c>
      <c r="AN116" s="78">
        <v>0</v>
      </c>
      <c r="AO116" s="79">
        <v>0</v>
      </c>
      <c r="AP116" s="82">
        <v>0</v>
      </c>
      <c r="AQ116" s="78">
        <v>0</v>
      </c>
      <c r="AR116" s="52">
        <v>0</v>
      </c>
      <c r="AS116" s="48"/>
      <c r="AT116" s="78"/>
      <c r="AU116" s="52">
        <v>0</v>
      </c>
      <c r="AV116" s="48"/>
      <c r="AW116" s="52"/>
      <c r="AX116" s="52">
        <v>0</v>
      </c>
      <c r="AY116" s="87">
        <v>4512.0102899999993</v>
      </c>
      <c r="AZ116" s="52">
        <v>1338.41418</v>
      </c>
      <c r="BA116" s="52">
        <v>3173.59611</v>
      </c>
      <c r="BB116" s="48"/>
      <c r="BC116" s="57">
        <v>0</v>
      </c>
      <c r="BD116" s="57">
        <v>0</v>
      </c>
      <c r="BE116" s="57">
        <v>5372.2148200000001</v>
      </c>
      <c r="BF116" s="57">
        <v>0</v>
      </c>
      <c r="BG116" s="57">
        <v>5372.2148200000001</v>
      </c>
      <c r="BH116" s="46"/>
      <c r="BI116" s="57">
        <v>0</v>
      </c>
      <c r="BJ116" s="57">
        <v>0</v>
      </c>
      <c r="BK116" s="57"/>
      <c r="BL116" s="57"/>
      <c r="BM116" s="57">
        <v>0</v>
      </c>
      <c r="BN116" s="57"/>
      <c r="BO116" s="57">
        <v>0</v>
      </c>
      <c r="BP116" s="46"/>
      <c r="BQ116" s="87">
        <v>30111.532640000001</v>
      </c>
      <c r="BR116" s="52">
        <v>15958.91606</v>
      </c>
      <c r="BS116" s="52">
        <v>14152.616580000002</v>
      </c>
    </row>
    <row r="117" spans="1:71" x14ac:dyDescent="0.2">
      <c r="A117" s="55">
        <v>2012</v>
      </c>
      <c r="B117" s="55" t="s">
        <v>9</v>
      </c>
      <c r="C117" s="82"/>
      <c r="D117" s="82">
        <v>9523.6622399999997</v>
      </c>
      <c r="E117" s="78">
        <v>2636.6770499999998</v>
      </c>
      <c r="F117" s="78">
        <v>6886.9851899999994</v>
      </c>
      <c r="G117" s="82"/>
      <c r="H117" s="82"/>
      <c r="I117" s="82">
        <v>0</v>
      </c>
      <c r="J117" s="82">
        <v>0</v>
      </c>
      <c r="K117" s="82">
        <v>0</v>
      </c>
      <c r="L117" s="82"/>
      <c r="M117" s="82"/>
      <c r="N117" s="82">
        <v>6312.1414199999999</v>
      </c>
      <c r="O117" s="78">
        <v>6312.1414199999999</v>
      </c>
      <c r="P117" s="78">
        <v>0</v>
      </c>
      <c r="Q117" s="73">
        <v>15835.80366</v>
      </c>
      <c r="R117" s="78">
        <v>8948.8184700000002</v>
      </c>
      <c r="S117" s="78">
        <v>6886.9851899999994</v>
      </c>
      <c r="T117" s="47"/>
      <c r="U117" s="57"/>
      <c r="V117" s="57"/>
      <c r="W117" s="57"/>
      <c r="X117" s="57"/>
      <c r="Y117" s="57">
        <v>3234.9386799999997</v>
      </c>
      <c r="Z117" s="57">
        <v>842.64260999999999</v>
      </c>
      <c r="AA117" s="57">
        <v>4077.5812899999996</v>
      </c>
      <c r="AB117" s="45"/>
      <c r="AC117" s="57">
        <v>0</v>
      </c>
      <c r="AD117" s="78">
        <v>0</v>
      </c>
      <c r="AE117" s="78"/>
      <c r="AF117" s="82">
        <v>915.19229999999993</v>
      </c>
      <c r="AG117" s="78">
        <v>0</v>
      </c>
      <c r="AH117" s="78">
        <v>915.19230000000016</v>
      </c>
      <c r="AI117" s="82"/>
      <c r="AJ117" s="82">
        <v>5092.5980899999995</v>
      </c>
      <c r="AK117" s="78">
        <v>2850.1462900000001</v>
      </c>
      <c r="AL117" s="78">
        <v>2242.4517999999998</v>
      </c>
      <c r="AM117" s="82">
        <v>0</v>
      </c>
      <c r="AN117" s="78">
        <v>0</v>
      </c>
      <c r="AO117" s="79">
        <v>0</v>
      </c>
      <c r="AP117" s="82">
        <v>0</v>
      </c>
      <c r="AQ117" s="78">
        <v>0</v>
      </c>
      <c r="AR117" s="52">
        <v>0</v>
      </c>
      <c r="AS117" s="48"/>
      <c r="AT117" s="78"/>
      <c r="AU117" s="52">
        <v>0</v>
      </c>
      <c r="AV117" s="48"/>
      <c r="AW117" s="52"/>
      <c r="AX117" s="52">
        <v>0</v>
      </c>
      <c r="AY117" s="87">
        <v>6007.7903899999992</v>
      </c>
      <c r="AZ117" s="52">
        <v>2850.1462900000001</v>
      </c>
      <c r="BA117" s="52">
        <v>3157.6441</v>
      </c>
      <c r="BB117" s="48"/>
      <c r="BC117" s="57">
        <v>0</v>
      </c>
      <c r="BD117" s="57">
        <v>0</v>
      </c>
      <c r="BE117" s="57">
        <v>3376.7879700000003</v>
      </c>
      <c r="BF117" s="57">
        <v>0</v>
      </c>
      <c r="BG117" s="57">
        <v>3376.7879700000003</v>
      </c>
      <c r="BH117" s="46"/>
      <c r="BI117" s="57">
        <v>0</v>
      </c>
      <c r="BJ117" s="57">
        <v>0</v>
      </c>
      <c r="BK117" s="57"/>
      <c r="BL117" s="57"/>
      <c r="BM117" s="57">
        <v>0</v>
      </c>
      <c r="BN117" s="57"/>
      <c r="BO117" s="57">
        <v>0</v>
      </c>
      <c r="BP117" s="46"/>
      <c r="BQ117" s="87">
        <v>29297.963309999999</v>
      </c>
      <c r="BR117" s="52">
        <v>19253.334020000002</v>
      </c>
      <c r="BS117" s="52">
        <v>10044.629289999999</v>
      </c>
    </row>
    <row r="118" spans="1:71" x14ac:dyDescent="0.2">
      <c r="A118" s="55">
        <v>2012</v>
      </c>
      <c r="B118" s="55" t="s">
        <v>10</v>
      </c>
      <c r="C118" s="82"/>
      <c r="D118" s="82">
        <v>8619.8592600000011</v>
      </c>
      <c r="E118" s="78">
        <v>3275.0383900000002</v>
      </c>
      <c r="F118" s="78">
        <v>5344.8208700000005</v>
      </c>
      <c r="G118" s="82"/>
      <c r="H118" s="82"/>
      <c r="I118" s="82">
        <v>886.63793999999996</v>
      </c>
      <c r="J118" s="82">
        <v>0</v>
      </c>
      <c r="K118" s="82">
        <v>0</v>
      </c>
      <c r="L118" s="82"/>
      <c r="M118" s="82"/>
      <c r="N118" s="82">
        <v>8362.5738400000009</v>
      </c>
      <c r="O118" s="78">
        <v>8362.5738399999991</v>
      </c>
      <c r="P118" s="78">
        <v>0</v>
      </c>
      <c r="Q118" s="73">
        <v>17869.071040000003</v>
      </c>
      <c r="R118" s="78">
        <v>12524.250169999999</v>
      </c>
      <c r="S118" s="78">
        <v>5344.8208700000005</v>
      </c>
      <c r="T118" s="47"/>
      <c r="U118" s="57"/>
      <c r="V118" s="57"/>
      <c r="W118" s="57"/>
      <c r="X118" s="57"/>
      <c r="Y118" s="57">
        <v>3664.2116000000001</v>
      </c>
      <c r="Z118" s="57">
        <v>3487.3347800000001</v>
      </c>
      <c r="AA118" s="57">
        <v>7151.5463799999998</v>
      </c>
      <c r="AB118" s="45"/>
      <c r="AC118" s="57">
        <v>878.60547999999994</v>
      </c>
      <c r="AD118" s="78">
        <v>878.60547999999994</v>
      </c>
      <c r="AE118" s="78"/>
      <c r="AF118" s="82">
        <v>659.27939000000003</v>
      </c>
      <c r="AG118" s="78">
        <v>0</v>
      </c>
      <c r="AH118" s="78">
        <v>659.27939000000003</v>
      </c>
      <c r="AI118" s="82"/>
      <c r="AJ118" s="82">
        <v>1902.94569</v>
      </c>
      <c r="AK118" s="78">
        <v>0</v>
      </c>
      <c r="AL118" s="78">
        <v>1902.94569</v>
      </c>
      <c r="AM118" s="82">
        <v>0</v>
      </c>
      <c r="AN118" s="78">
        <v>0</v>
      </c>
      <c r="AO118" s="79">
        <v>0</v>
      </c>
      <c r="AP118" s="82">
        <v>0</v>
      </c>
      <c r="AQ118" s="78">
        <v>0</v>
      </c>
      <c r="AR118" s="52">
        <v>0</v>
      </c>
      <c r="AS118" s="48"/>
      <c r="AT118" s="78"/>
      <c r="AU118" s="52">
        <v>0</v>
      </c>
      <c r="AV118" s="48"/>
      <c r="AW118" s="52"/>
      <c r="AX118" s="52">
        <v>0</v>
      </c>
      <c r="AY118" s="87">
        <v>3440.8305600000003</v>
      </c>
      <c r="AZ118" s="52">
        <v>878.60547999999994</v>
      </c>
      <c r="BA118" s="52">
        <v>2562.2250800000002</v>
      </c>
      <c r="BB118" s="48"/>
      <c r="BC118" s="57">
        <v>0</v>
      </c>
      <c r="BD118" s="57">
        <v>0</v>
      </c>
      <c r="BE118" s="57">
        <v>2659.1039299999998</v>
      </c>
      <c r="BF118" s="57">
        <v>0</v>
      </c>
      <c r="BG118" s="57">
        <v>2659.1039299999998</v>
      </c>
      <c r="BH118" s="46"/>
      <c r="BI118" s="57">
        <v>0</v>
      </c>
      <c r="BJ118" s="57">
        <v>0</v>
      </c>
      <c r="BK118" s="57"/>
      <c r="BL118" s="57"/>
      <c r="BM118" s="57">
        <v>0</v>
      </c>
      <c r="BN118" s="57"/>
      <c r="BO118" s="57">
        <v>0</v>
      </c>
      <c r="BP118" s="46"/>
      <c r="BQ118" s="87">
        <v>31120.551910000006</v>
      </c>
      <c r="BR118" s="52">
        <v>23213.505959999999</v>
      </c>
      <c r="BS118" s="52">
        <v>7907.0459500000006</v>
      </c>
    </row>
    <row r="119" spans="1:71" x14ac:dyDescent="0.2">
      <c r="A119" s="55">
        <v>2012</v>
      </c>
      <c r="B119" s="55" t="s">
        <v>11</v>
      </c>
      <c r="C119" s="82"/>
      <c r="D119" s="82">
        <v>8333.6334600000009</v>
      </c>
      <c r="E119" s="78">
        <v>2259.2612100000001</v>
      </c>
      <c r="F119" s="78">
        <v>6074.3722500000003</v>
      </c>
      <c r="G119" s="82"/>
      <c r="H119" s="82"/>
      <c r="I119" s="82">
        <v>0</v>
      </c>
      <c r="J119" s="82">
        <v>0</v>
      </c>
      <c r="K119" s="82">
        <v>0</v>
      </c>
      <c r="L119" s="82"/>
      <c r="M119" s="82"/>
      <c r="N119" s="82">
        <v>7853.3670299999994</v>
      </c>
      <c r="O119" s="78">
        <v>7853.3670300000003</v>
      </c>
      <c r="P119" s="78">
        <v>0</v>
      </c>
      <c r="Q119" s="73">
        <v>16187.00049</v>
      </c>
      <c r="R119" s="78">
        <v>10112.62824</v>
      </c>
      <c r="S119" s="78">
        <v>6074.3722500000003</v>
      </c>
      <c r="T119" s="47"/>
      <c r="U119" s="57"/>
      <c r="V119" s="57"/>
      <c r="W119" s="57"/>
      <c r="X119" s="57"/>
      <c r="Y119" s="57">
        <v>1386.52358</v>
      </c>
      <c r="Z119" s="57">
        <v>1717.0538900000001</v>
      </c>
      <c r="AA119" s="57">
        <v>3103.5774700000002</v>
      </c>
      <c r="AB119" s="45"/>
      <c r="AC119" s="57">
        <v>894.09453000000008</v>
      </c>
      <c r="AD119" s="78">
        <v>894.09453000000008</v>
      </c>
      <c r="AE119" s="78"/>
      <c r="AF119" s="82">
        <v>691.22928999999999</v>
      </c>
      <c r="AG119" s="78">
        <v>0</v>
      </c>
      <c r="AH119" s="78">
        <v>691.22928999999999</v>
      </c>
      <c r="AI119" s="82"/>
      <c r="AJ119" s="82">
        <v>3010.4018300000002</v>
      </c>
      <c r="AK119" s="78">
        <v>922.67592000000002</v>
      </c>
      <c r="AL119" s="78">
        <v>2087.7259100000001</v>
      </c>
      <c r="AM119" s="82">
        <v>0</v>
      </c>
      <c r="AN119" s="78">
        <v>0</v>
      </c>
      <c r="AO119" s="79">
        <v>0</v>
      </c>
      <c r="AP119" s="82">
        <v>0</v>
      </c>
      <c r="AQ119" s="78">
        <v>0</v>
      </c>
      <c r="AR119" s="52">
        <v>0</v>
      </c>
      <c r="AS119" s="48"/>
      <c r="AT119" s="78"/>
      <c r="AU119" s="52">
        <v>0</v>
      </c>
      <c r="AV119" s="48"/>
      <c r="AW119" s="52"/>
      <c r="AX119" s="52">
        <v>0</v>
      </c>
      <c r="AY119" s="87">
        <v>4595.7256500000003</v>
      </c>
      <c r="AZ119" s="52">
        <v>1816.77045</v>
      </c>
      <c r="BA119" s="52">
        <v>2778.9552000000003</v>
      </c>
      <c r="BB119" s="48"/>
      <c r="BC119" s="57">
        <v>0</v>
      </c>
      <c r="BD119" s="57">
        <v>0</v>
      </c>
      <c r="BE119" s="57">
        <v>4380.22721</v>
      </c>
      <c r="BF119" s="57">
        <v>0</v>
      </c>
      <c r="BG119" s="57">
        <v>4380.22721</v>
      </c>
      <c r="BH119" s="46"/>
      <c r="BI119" s="57">
        <v>0</v>
      </c>
      <c r="BJ119" s="57">
        <v>0</v>
      </c>
      <c r="BK119" s="57"/>
      <c r="BL119" s="57"/>
      <c r="BM119" s="57">
        <v>0</v>
      </c>
      <c r="BN119" s="57"/>
      <c r="BO119" s="57">
        <v>0</v>
      </c>
      <c r="BP119" s="46"/>
      <c r="BQ119" s="87">
        <v>28266.530820000004</v>
      </c>
      <c r="BR119" s="52">
        <v>19413.203369999999</v>
      </c>
      <c r="BS119" s="52">
        <v>8853.3274500000007</v>
      </c>
    </row>
    <row r="120" spans="1:71" x14ac:dyDescent="0.2">
      <c r="A120" s="55">
        <v>2012</v>
      </c>
      <c r="B120" s="55" t="s">
        <v>12</v>
      </c>
      <c r="C120" s="82"/>
      <c r="D120" s="82">
        <v>15856.4773</v>
      </c>
      <c r="E120" s="78">
        <v>4059.8219199999999</v>
      </c>
      <c r="F120" s="78">
        <v>11796.65538</v>
      </c>
      <c r="G120" s="82"/>
      <c r="H120" s="82"/>
      <c r="I120" s="82">
        <v>0</v>
      </c>
      <c r="J120" s="82">
        <v>0</v>
      </c>
      <c r="K120" s="82">
        <v>0</v>
      </c>
      <c r="L120" s="82"/>
      <c r="M120" s="82"/>
      <c r="N120" s="82">
        <v>3508.5705800000001</v>
      </c>
      <c r="O120" s="78">
        <v>3508.5705800000001</v>
      </c>
      <c r="P120" s="78">
        <v>0</v>
      </c>
      <c r="Q120" s="73">
        <v>19365.047880000002</v>
      </c>
      <c r="R120" s="78">
        <v>7568.3924999999999</v>
      </c>
      <c r="S120" s="78">
        <v>11796.65538</v>
      </c>
      <c r="T120" s="47"/>
      <c r="U120" s="57"/>
      <c r="V120" s="57"/>
      <c r="W120" s="57"/>
      <c r="X120" s="57"/>
      <c r="Y120" s="57">
        <v>3289.9919900000004</v>
      </c>
      <c r="Z120" s="57">
        <v>1722.22927</v>
      </c>
      <c r="AA120" s="57">
        <v>5012.2212600000003</v>
      </c>
      <c r="AB120" s="45"/>
      <c r="AC120" s="57">
        <v>1173.6627800000001</v>
      </c>
      <c r="AD120" s="78">
        <v>1173.6627800000001</v>
      </c>
      <c r="AE120" s="78"/>
      <c r="AF120" s="82">
        <v>478.14098000000001</v>
      </c>
      <c r="AG120" s="78">
        <v>0</v>
      </c>
      <c r="AH120" s="78">
        <v>478.14097999999996</v>
      </c>
      <c r="AI120" s="82"/>
      <c r="AJ120" s="82">
        <v>4016.0930499999999</v>
      </c>
      <c r="AK120" s="78">
        <v>1814.92265</v>
      </c>
      <c r="AL120" s="78">
        <v>2201.1704</v>
      </c>
      <c r="AM120" s="82">
        <v>0</v>
      </c>
      <c r="AN120" s="78">
        <v>0</v>
      </c>
      <c r="AO120" s="79">
        <v>0</v>
      </c>
      <c r="AP120" s="82">
        <v>0</v>
      </c>
      <c r="AQ120" s="78">
        <v>0</v>
      </c>
      <c r="AR120" s="52">
        <v>0</v>
      </c>
      <c r="AS120" s="48"/>
      <c r="AT120" s="78"/>
      <c r="AU120" s="52">
        <v>0</v>
      </c>
      <c r="AV120" s="48"/>
      <c r="AW120" s="52"/>
      <c r="AX120" s="52">
        <v>0</v>
      </c>
      <c r="AY120" s="87">
        <v>5667.8968100000002</v>
      </c>
      <c r="AZ120" s="52">
        <v>2988.5854300000001</v>
      </c>
      <c r="BA120" s="52">
        <v>2679.3113800000001</v>
      </c>
      <c r="BB120" s="48"/>
      <c r="BC120" s="57">
        <v>0</v>
      </c>
      <c r="BD120" s="57">
        <v>0</v>
      </c>
      <c r="BE120" s="57">
        <v>3218.2714000000001</v>
      </c>
      <c r="BF120" s="57">
        <v>0</v>
      </c>
      <c r="BG120" s="57">
        <v>3218.2714000000001</v>
      </c>
      <c r="BH120" s="46"/>
      <c r="BI120" s="57">
        <v>0</v>
      </c>
      <c r="BJ120" s="57">
        <v>0</v>
      </c>
      <c r="BK120" s="57"/>
      <c r="BL120" s="57"/>
      <c r="BM120" s="57">
        <v>0</v>
      </c>
      <c r="BN120" s="57"/>
      <c r="BO120" s="57">
        <v>0</v>
      </c>
      <c r="BP120" s="46"/>
      <c r="BQ120" s="87">
        <v>33263.43735</v>
      </c>
      <c r="BR120" s="52">
        <v>18787.470590000001</v>
      </c>
      <c r="BS120" s="52">
        <v>14475.966759999999</v>
      </c>
    </row>
    <row r="121" spans="1:71" x14ac:dyDescent="0.2">
      <c r="A121" s="55">
        <v>2012</v>
      </c>
      <c r="B121" s="55" t="s">
        <v>13</v>
      </c>
      <c r="C121" s="82"/>
      <c r="D121" s="82">
        <v>14226.16202</v>
      </c>
      <c r="E121" s="78">
        <v>2594.9424499999996</v>
      </c>
      <c r="F121" s="78">
        <v>11631.219570000001</v>
      </c>
      <c r="G121" s="82"/>
      <c r="H121" s="82"/>
      <c r="I121" s="82">
        <v>0</v>
      </c>
      <c r="J121" s="82">
        <v>0</v>
      </c>
      <c r="K121" s="82">
        <v>0</v>
      </c>
      <c r="L121" s="82"/>
      <c r="M121" s="82"/>
      <c r="N121" s="82">
        <v>4475.3082200000008</v>
      </c>
      <c r="O121" s="78">
        <v>4475.3082200000008</v>
      </c>
      <c r="P121" s="78">
        <v>0</v>
      </c>
      <c r="Q121" s="73">
        <v>18701.470240000002</v>
      </c>
      <c r="R121" s="78">
        <v>7070.2506700000004</v>
      </c>
      <c r="S121" s="78">
        <v>11631.219570000001</v>
      </c>
      <c r="T121" s="47"/>
      <c r="U121" s="57"/>
      <c r="V121" s="57"/>
      <c r="W121" s="57"/>
      <c r="X121" s="57"/>
      <c r="Y121" s="57">
        <v>4285.3325300000006</v>
      </c>
      <c r="Z121" s="57">
        <v>888.36996999999997</v>
      </c>
      <c r="AA121" s="57">
        <v>5173.7025000000003</v>
      </c>
      <c r="AB121" s="45"/>
      <c r="AC121" s="57">
        <v>806.48577</v>
      </c>
      <c r="AD121" s="78">
        <v>806.48577</v>
      </c>
      <c r="AE121" s="78"/>
      <c r="AF121" s="82">
        <v>478.8759</v>
      </c>
      <c r="AG121" s="78">
        <v>0</v>
      </c>
      <c r="AH121" s="78">
        <v>478.87589999999994</v>
      </c>
      <c r="AI121" s="82"/>
      <c r="AJ121" s="82">
        <v>3976.6007399999999</v>
      </c>
      <c r="AK121" s="78">
        <v>1806.4105099999999</v>
      </c>
      <c r="AL121" s="78">
        <v>2170.1902300000002</v>
      </c>
      <c r="AM121" s="82">
        <v>0</v>
      </c>
      <c r="AN121" s="78">
        <v>0</v>
      </c>
      <c r="AO121" s="79">
        <v>0</v>
      </c>
      <c r="AP121" s="82">
        <v>0</v>
      </c>
      <c r="AQ121" s="78">
        <v>0</v>
      </c>
      <c r="AR121" s="52">
        <v>0</v>
      </c>
      <c r="AS121" s="48"/>
      <c r="AT121" s="78"/>
      <c r="AU121" s="52">
        <v>0</v>
      </c>
      <c r="AV121" s="48"/>
      <c r="AW121" s="52"/>
      <c r="AX121" s="52">
        <v>0</v>
      </c>
      <c r="AY121" s="87">
        <v>5261.9620000000004</v>
      </c>
      <c r="AZ121" s="52">
        <v>2612.8962799999999</v>
      </c>
      <c r="BA121" s="52">
        <v>2649.0661300000002</v>
      </c>
      <c r="BB121" s="48"/>
      <c r="BC121" s="57">
        <v>0</v>
      </c>
      <c r="BD121" s="57">
        <v>0</v>
      </c>
      <c r="BE121" s="57">
        <v>2680.1118900000001</v>
      </c>
      <c r="BF121" s="57">
        <v>0</v>
      </c>
      <c r="BG121" s="57">
        <v>2680.1118900000001</v>
      </c>
      <c r="BH121" s="46"/>
      <c r="BI121" s="57">
        <v>0</v>
      </c>
      <c r="BJ121" s="57">
        <v>0</v>
      </c>
      <c r="BK121" s="57"/>
      <c r="BL121" s="57"/>
      <c r="BM121" s="57">
        <v>0</v>
      </c>
      <c r="BN121" s="57"/>
      <c r="BO121" s="57">
        <v>0</v>
      </c>
      <c r="BP121" s="46"/>
      <c r="BQ121" s="87">
        <v>31817.246630000001</v>
      </c>
      <c r="BR121" s="52">
        <v>17536.961340000002</v>
      </c>
      <c r="BS121" s="52">
        <v>14280.2857</v>
      </c>
    </row>
    <row r="122" spans="1:71" x14ac:dyDescent="0.2">
      <c r="A122" s="55">
        <v>2012</v>
      </c>
      <c r="B122" s="55" t="s">
        <v>14</v>
      </c>
      <c r="C122" s="82"/>
      <c r="D122" s="82">
        <v>19717.709920000001</v>
      </c>
      <c r="E122" s="78">
        <v>6697.5184499999996</v>
      </c>
      <c r="F122" s="78">
        <v>13020.191470000002</v>
      </c>
      <c r="G122" s="82"/>
      <c r="H122" s="82"/>
      <c r="I122" s="82">
        <v>0</v>
      </c>
      <c r="J122" s="82">
        <v>0</v>
      </c>
      <c r="K122" s="82">
        <v>0</v>
      </c>
      <c r="L122" s="82"/>
      <c r="M122" s="82"/>
      <c r="N122" s="82">
        <v>5235.7020300000004</v>
      </c>
      <c r="O122" s="78">
        <v>5235.7020300000004</v>
      </c>
      <c r="P122" s="78">
        <v>0</v>
      </c>
      <c r="Q122" s="73">
        <v>24953.411950000002</v>
      </c>
      <c r="R122" s="78">
        <v>11933.22048</v>
      </c>
      <c r="S122" s="78">
        <v>13020.191470000002</v>
      </c>
      <c r="T122" s="47"/>
      <c r="U122" s="57"/>
      <c r="V122" s="57"/>
      <c r="W122" s="57"/>
      <c r="X122" s="57"/>
      <c r="Y122" s="57">
        <v>1122.7421000000002</v>
      </c>
      <c r="Z122" s="57">
        <v>2620.3726200000001</v>
      </c>
      <c r="AA122" s="57">
        <v>3743.1147200000005</v>
      </c>
      <c r="AB122" s="45"/>
      <c r="AC122" s="57">
        <v>0</v>
      </c>
      <c r="AD122" s="78">
        <v>0</v>
      </c>
      <c r="AE122" s="78"/>
      <c r="AF122" s="82">
        <v>692.71626000000015</v>
      </c>
      <c r="AG122" s="78">
        <v>0</v>
      </c>
      <c r="AH122" s="78">
        <v>692.71626000000003</v>
      </c>
      <c r="AI122" s="82"/>
      <c r="AJ122" s="82">
        <v>4174.9730099999997</v>
      </c>
      <c r="AK122" s="78">
        <v>1817.3511699999999</v>
      </c>
      <c r="AL122" s="78">
        <v>2357.6218399999998</v>
      </c>
      <c r="AM122" s="82">
        <v>0</v>
      </c>
      <c r="AN122" s="78">
        <v>0</v>
      </c>
      <c r="AO122" s="79">
        <v>0</v>
      </c>
      <c r="AP122" s="82">
        <v>0</v>
      </c>
      <c r="AQ122" s="78">
        <v>0</v>
      </c>
      <c r="AR122" s="52">
        <v>0</v>
      </c>
      <c r="AS122" s="48"/>
      <c r="AT122" s="78"/>
      <c r="AU122" s="52">
        <v>0</v>
      </c>
      <c r="AV122" s="48"/>
      <c r="AW122" s="52"/>
      <c r="AX122" s="52">
        <v>0</v>
      </c>
      <c r="AY122" s="87">
        <v>4867.6890000000003</v>
      </c>
      <c r="AZ122" s="52">
        <v>1817.3511699999999</v>
      </c>
      <c r="BA122" s="52">
        <v>3050.3380999999999</v>
      </c>
      <c r="BB122" s="48"/>
      <c r="BC122" s="57">
        <v>0</v>
      </c>
      <c r="BD122" s="57">
        <v>0</v>
      </c>
      <c r="BE122" s="57">
        <v>2687.8165700000004</v>
      </c>
      <c r="BF122" s="57">
        <v>0</v>
      </c>
      <c r="BG122" s="57">
        <v>2687.8165700000004</v>
      </c>
      <c r="BH122" s="46"/>
      <c r="BI122" s="57">
        <v>0</v>
      </c>
      <c r="BJ122" s="57">
        <v>0</v>
      </c>
      <c r="BK122" s="57"/>
      <c r="BL122" s="57"/>
      <c r="BM122" s="57">
        <v>0</v>
      </c>
      <c r="BN122" s="57"/>
      <c r="BO122" s="57">
        <v>0</v>
      </c>
      <c r="BP122" s="46"/>
      <c r="BQ122" s="87">
        <v>36252.032240000008</v>
      </c>
      <c r="BR122" s="52">
        <v>20181.502940000002</v>
      </c>
      <c r="BS122" s="52">
        <v>16070.529570000002</v>
      </c>
    </row>
    <row r="123" spans="1:71" x14ac:dyDescent="0.2">
      <c r="A123" s="55">
        <v>2012</v>
      </c>
      <c r="B123" s="55" t="s">
        <v>15</v>
      </c>
      <c r="C123" s="82"/>
      <c r="D123" s="82">
        <v>164590.56237</v>
      </c>
      <c r="E123" s="78">
        <v>42802.077130000005</v>
      </c>
      <c r="F123" s="78">
        <v>121788.48524000001</v>
      </c>
      <c r="G123" s="82"/>
      <c r="H123" s="82"/>
      <c r="I123" s="82">
        <v>7152.8792699999995</v>
      </c>
      <c r="J123" s="82">
        <v>0</v>
      </c>
      <c r="K123" s="82">
        <v>0</v>
      </c>
      <c r="L123" s="82"/>
      <c r="M123" s="82"/>
      <c r="N123" s="82">
        <v>61126.301810000004</v>
      </c>
      <c r="O123" s="78">
        <v>61126.301810000004</v>
      </c>
      <c r="P123" s="78">
        <v>0</v>
      </c>
      <c r="Q123" s="73">
        <v>232869.74345000001</v>
      </c>
      <c r="R123" s="78">
        <v>111081.25821000001</v>
      </c>
      <c r="S123" s="78">
        <v>121788.48524000001</v>
      </c>
      <c r="T123" s="47"/>
      <c r="U123" s="57"/>
      <c r="V123" s="57"/>
      <c r="W123" s="57"/>
      <c r="X123" s="57"/>
      <c r="Y123" s="57">
        <v>27340.709610000002</v>
      </c>
      <c r="Z123" s="57">
        <v>26628.963749999995</v>
      </c>
      <c r="AA123" s="57">
        <v>53969.673359999993</v>
      </c>
      <c r="AB123" s="45"/>
      <c r="AC123" s="57">
        <v>7037.806520000001</v>
      </c>
      <c r="AD123" s="78">
        <v>7037.806520000001</v>
      </c>
      <c r="AE123" s="78"/>
      <c r="AF123" s="82">
        <v>8878.6890399999993</v>
      </c>
      <c r="AG123" s="78">
        <v>0</v>
      </c>
      <c r="AH123" s="78">
        <v>8878.6890399999993</v>
      </c>
      <c r="AI123" s="82"/>
      <c r="AJ123" s="82">
        <v>46276.451080000006</v>
      </c>
      <c r="AK123" s="78">
        <v>19877.445330000002</v>
      </c>
      <c r="AL123" s="78">
        <v>26399.00575</v>
      </c>
      <c r="AM123" s="82">
        <v>0</v>
      </c>
      <c r="AN123" s="78">
        <v>0</v>
      </c>
      <c r="AO123" s="79">
        <v>0</v>
      </c>
      <c r="AP123" s="82">
        <v>0</v>
      </c>
      <c r="AQ123" s="78">
        <v>0</v>
      </c>
      <c r="AR123" s="52">
        <v>0</v>
      </c>
      <c r="AS123" s="48"/>
      <c r="AT123" s="78"/>
      <c r="AU123" s="52">
        <v>0</v>
      </c>
      <c r="AV123" s="48"/>
      <c r="AW123" s="52"/>
      <c r="AX123" s="52">
        <v>0</v>
      </c>
      <c r="AY123" s="87">
        <v>62192.945959999997</v>
      </c>
      <c r="AZ123" s="52">
        <v>26915.251850000004</v>
      </c>
      <c r="BA123" s="52">
        <v>35277.694790000001</v>
      </c>
      <c r="BB123" s="48"/>
      <c r="BC123" s="57">
        <v>0</v>
      </c>
      <c r="BD123" s="57">
        <v>0</v>
      </c>
      <c r="BE123" s="57">
        <v>45762.330420000006</v>
      </c>
      <c r="BF123" s="57">
        <v>0</v>
      </c>
      <c r="BG123" s="57">
        <v>45762.330420000006</v>
      </c>
      <c r="BH123" s="46"/>
      <c r="BI123" s="57">
        <v>0</v>
      </c>
      <c r="BJ123" s="57">
        <v>0</v>
      </c>
      <c r="BK123" s="57"/>
      <c r="BL123" s="57"/>
      <c r="BM123" s="57">
        <v>0</v>
      </c>
      <c r="BN123" s="57"/>
      <c r="BO123" s="57">
        <v>0</v>
      </c>
      <c r="BP123" s="46"/>
      <c r="BQ123" s="87">
        <v>394794.69319000002</v>
      </c>
      <c r="BR123" s="52">
        <v>237728.51384000003</v>
      </c>
      <c r="BS123" s="52">
        <v>157066.18003000002</v>
      </c>
    </row>
    <row r="124" spans="1:71" x14ac:dyDescent="0.2">
      <c r="A124" s="55">
        <v>2013</v>
      </c>
      <c r="B124" s="55" t="s">
        <v>3</v>
      </c>
      <c r="C124" s="82"/>
      <c r="D124" s="82">
        <v>17187.040869999997</v>
      </c>
      <c r="E124" s="78">
        <v>3430.2890499999999</v>
      </c>
      <c r="F124" s="78">
        <v>13756.751819999998</v>
      </c>
      <c r="G124" s="82"/>
      <c r="H124" s="82"/>
      <c r="I124" s="82">
        <v>463.86265000000003</v>
      </c>
      <c r="J124" s="82">
        <v>0</v>
      </c>
      <c r="K124" s="82">
        <v>0</v>
      </c>
      <c r="L124" s="82"/>
      <c r="M124" s="82"/>
      <c r="N124" s="82">
        <v>4325.80422</v>
      </c>
      <c r="O124" s="78">
        <v>4325.80422</v>
      </c>
      <c r="P124" s="78">
        <v>0</v>
      </c>
      <c r="Q124" s="73">
        <v>21976.707739999998</v>
      </c>
      <c r="R124" s="78">
        <v>8219.9559200000003</v>
      </c>
      <c r="S124" s="78">
        <v>13756.751819999998</v>
      </c>
      <c r="T124" s="47"/>
      <c r="U124" s="57"/>
      <c r="V124" s="57"/>
      <c r="W124" s="57"/>
      <c r="X124" s="57"/>
      <c r="Y124" s="57">
        <v>1126.93769</v>
      </c>
      <c r="Z124" s="57">
        <v>2595.4223700000002</v>
      </c>
      <c r="AA124" s="57">
        <v>3722.36006</v>
      </c>
      <c r="AB124" s="45"/>
      <c r="AC124" s="57">
        <v>821.13199999999995</v>
      </c>
      <c r="AD124" s="78">
        <v>821.13199999999995</v>
      </c>
      <c r="AE124" s="78"/>
      <c r="AF124" s="82">
        <v>724.53680000000008</v>
      </c>
      <c r="AG124" s="78">
        <v>0</v>
      </c>
      <c r="AH124" s="78">
        <v>724.53680000000008</v>
      </c>
      <c r="AI124" s="82"/>
      <c r="AJ124" s="82">
        <v>4268.2963300000001</v>
      </c>
      <c r="AK124" s="78">
        <v>1909.4052599999998</v>
      </c>
      <c r="AL124" s="78">
        <v>2358.8910699999997</v>
      </c>
      <c r="AM124" s="82">
        <v>0</v>
      </c>
      <c r="AN124" s="78">
        <v>0</v>
      </c>
      <c r="AO124" s="79">
        <v>0</v>
      </c>
      <c r="AP124" s="82">
        <v>0</v>
      </c>
      <c r="AQ124" s="78">
        <v>0</v>
      </c>
      <c r="AR124" s="52">
        <v>0</v>
      </c>
      <c r="AS124" s="48"/>
      <c r="AT124" s="78"/>
      <c r="AU124" s="52">
        <v>0</v>
      </c>
      <c r="AV124" s="48"/>
      <c r="AW124" s="52"/>
      <c r="AX124" s="52">
        <v>0</v>
      </c>
      <c r="AY124" s="87">
        <v>5813.9651300000005</v>
      </c>
      <c r="AZ124" s="52">
        <v>2730.5372599999996</v>
      </c>
      <c r="BA124" s="52">
        <v>3083.4278699999995</v>
      </c>
      <c r="BB124" s="48"/>
      <c r="BC124" s="57">
        <v>0</v>
      </c>
      <c r="BD124" s="57">
        <v>0</v>
      </c>
      <c r="BE124" s="57">
        <v>2672.9617000000003</v>
      </c>
      <c r="BF124" s="57">
        <v>0</v>
      </c>
      <c r="BG124" s="57">
        <v>2672.9617000000003</v>
      </c>
      <c r="BH124" s="46"/>
      <c r="BI124" s="57">
        <v>0</v>
      </c>
      <c r="BJ124" s="57">
        <v>0</v>
      </c>
      <c r="BK124" s="57"/>
      <c r="BL124" s="57"/>
      <c r="BM124" s="57">
        <v>0</v>
      </c>
      <c r="BN124" s="57"/>
      <c r="BO124" s="57">
        <v>0</v>
      </c>
      <c r="BP124" s="46"/>
      <c r="BQ124" s="87">
        <v>34185.994630000001</v>
      </c>
      <c r="BR124" s="52">
        <v>17345.81494</v>
      </c>
      <c r="BS124" s="52">
        <v>16840.179689999997</v>
      </c>
    </row>
    <row r="125" spans="1:71" x14ac:dyDescent="0.2">
      <c r="A125" s="55">
        <v>2013</v>
      </c>
      <c r="B125" s="55" t="s">
        <v>4</v>
      </c>
      <c r="C125" s="82"/>
      <c r="D125" s="82">
        <v>17005.28282</v>
      </c>
      <c r="E125" s="78">
        <v>3991.4345400000002</v>
      </c>
      <c r="F125" s="78">
        <v>13013.848280000002</v>
      </c>
      <c r="G125" s="82"/>
      <c r="H125" s="82"/>
      <c r="I125" s="82">
        <v>0</v>
      </c>
      <c r="J125" s="82">
        <v>0</v>
      </c>
      <c r="K125" s="82">
        <v>0</v>
      </c>
      <c r="L125" s="82"/>
      <c r="M125" s="82"/>
      <c r="N125" s="82">
        <v>3453.7452199999998</v>
      </c>
      <c r="O125" s="78">
        <v>3453.7452199999998</v>
      </c>
      <c r="P125" s="78">
        <v>0</v>
      </c>
      <c r="Q125" s="73">
        <v>20459.028040000001</v>
      </c>
      <c r="R125" s="78">
        <v>7445.17976</v>
      </c>
      <c r="S125" s="78">
        <v>13013.848280000002</v>
      </c>
      <c r="T125" s="47"/>
      <c r="U125" s="57"/>
      <c r="V125" s="57"/>
      <c r="W125" s="57"/>
      <c r="X125" s="57"/>
      <c r="Y125" s="57">
        <v>0</v>
      </c>
      <c r="Z125" s="57">
        <v>2619.4379899999999</v>
      </c>
      <c r="AA125" s="57">
        <v>2619.4379899999999</v>
      </c>
      <c r="AB125" s="45"/>
      <c r="AC125" s="57">
        <v>1352.7001499999999</v>
      </c>
      <c r="AD125" s="78">
        <v>1352.7001499999999</v>
      </c>
      <c r="AE125" s="78"/>
      <c r="AF125" s="82">
        <v>1333.85214</v>
      </c>
      <c r="AG125" s="78">
        <v>682.49856999999997</v>
      </c>
      <c r="AH125" s="78">
        <v>651.3535700000001</v>
      </c>
      <c r="AI125" s="82"/>
      <c r="AJ125" s="82">
        <v>2232.67542</v>
      </c>
      <c r="AK125" s="78">
        <v>93.013210000000001</v>
      </c>
      <c r="AL125" s="78">
        <v>2139.66221</v>
      </c>
      <c r="AM125" s="82">
        <v>0</v>
      </c>
      <c r="AN125" s="78">
        <v>0</v>
      </c>
      <c r="AO125" s="79">
        <v>0</v>
      </c>
      <c r="AP125" s="82">
        <v>10.051</v>
      </c>
      <c r="AQ125" s="78">
        <v>0</v>
      </c>
      <c r="AR125" s="52">
        <v>10.051</v>
      </c>
      <c r="AS125" s="48"/>
      <c r="AT125" s="78"/>
      <c r="AU125" s="52">
        <v>0</v>
      </c>
      <c r="AV125" s="48"/>
      <c r="AW125" s="52"/>
      <c r="AX125" s="52">
        <v>0</v>
      </c>
      <c r="AY125" s="87">
        <v>4929.2787099999996</v>
      </c>
      <c r="AZ125" s="52">
        <v>2128.2119299999999</v>
      </c>
      <c r="BA125" s="52">
        <v>2801.0667800000001</v>
      </c>
      <c r="BB125" s="48"/>
      <c r="BC125" s="57">
        <v>0</v>
      </c>
      <c r="BD125" s="57">
        <v>0</v>
      </c>
      <c r="BE125" s="57">
        <v>2681.9734600000002</v>
      </c>
      <c r="BF125" s="57">
        <v>0</v>
      </c>
      <c r="BG125" s="57">
        <v>2681.9734600000002</v>
      </c>
      <c r="BH125" s="46"/>
      <c r="BI125" s="57">
        <v>0</v>
      </c>
      <c r="BJ125" s="57">
        <v>0</v>
      </c>
      <c r="BK125" s="57"/>
      <c r="BL125" s="57"/>
      <c r="BM125" s="57">
        <v>0</v>
      </c>
      <c r="BN125" s="57"/>
      <c r="BO125" s="57">
        <v>0</v>
      </c>
      <c r="BP125" s="46"/>
      <c r="BQ125" s="87">
        <v>30689.718199999999</v>
      </c>
      <c r="BR125" s="52">
        <v>14874.80314</v>
      </c>
      <c r="BS125" s="52">
        <v>15814.915060000003</v>
      </c>
    </row>
    <row r="126" spans="1:71" x14ac:dyDescent="0.2">
      <c r="A126" s="55">
        <v>2013</v>
      </c>
      <c r="B126" s="55" t="s">
        <v>5</v>
      </c>
      <c r="C126" s="82"/>
      <c r="D126" s="82">
        <v>18139.660250000001</v>
      </c>
      <c r="E126" s="78">
        <v>2776.3778199999997</v>
      </c>
      <c r="F126" s="78">
        <v>15363.282429999999</v>
      </c>
      <c r="G126" s="82"/>
      <c r="H126" s="82"/>
      <c r="I126" s="82">
        <v>0</v>
      </c>
      <c r="J126" s="82">
        <v>0</v>
      </c>
      <c r="K126" s="82">
        <v>0</v>
      </c>
      <c r="L126" s="82"/>
      <c r="M126" s="82"/>
      <c r="N126" s="82">
        <v>3445.6671699999997</v>
      </c>
      <c r="O126" s="78">
        <v>3445.6671699999997</v>
      </c>
      <c r="P126" s="78">
        <v>0</v>
      </c>
      <c r="Q126" s="73">
        <v>21585.327420000001</v>
      </c>
      <c r="R126" s="78">
        <v>6222.0449899999994</v>
      </c>
      <c r="S126" s="78">
        <v>15363.282429999999</v>
      </c>
      <c r="T126" s="47"/>
      <c r="U126" s="57"/>
      <c r="V126" s="57"/>
      <c r="W126" s="57"/>
      <c r="X126" s="57"/>
      <c r="Y126" s="57">
        <v>0</v>
      </c>
      <c r="Z126" s="57">
        <v>2626.14338</v>
      </c>
      <c r="AA126" s="57">
        <v>2626.14338</v>
      </c>
      <c r="AB126" s="45"/>
      <c r="AC126" s="57">
        <v>0</v>
      </c>
      <c r="AD126" s="78">
        <v>0</v>
      </c>
      <c r="AE126" s="78"/>
      <c r="AF126" s="82">
        <v>756.73792000000003</v>
      </c>
      <c r="AG126" s="78">
        <v>0</v>
      </c>
      <c r="AH126" s="78">
        <v>756.73792000000003</v>
      </c>
      <c r="AI126" s="82"/>
      <c r="AJ126" s="82">
        <v>2389.3684399999997</v>
      </c>
      <c r="AK126" s="78">
        <v>91.83541000000001</v>
      </c>
      <c r="AL126" s="78">
        <v>2297.5330299999996</v>
      </c>
      <c r="AM126" s="82">
        <v>0</v>
      </c>
      <c r="AN126" s="78">
        <v>0</v>
      </c>
      <c r="AO126" s="79">
        <v>0</v>
      </c>
      <c r="AP126" s="82">
        <v>181.25003000000001</v>
      </c>
      <c r="AQ126" s="78">
        <v>0</v>
      </c>
      <c r="AR126" s="52">
        <v>181.25003000000001</v>
      </c>
      <c r="AS126" s="48"/>
      <c r="AT126" s="78"/>
      <c r="AU126" s="52">
        <v>0</v>
      </c>
      <c r="AV126" s="48"/>
      <c r="AW126" s="52"/>
      <c r="AX126" s="52">
        <v>0</v>
      </c>
      <c r="AY126" s="87">
        <v>3327.3563899999999</v>
      </c>
      <c r="AZ126" s="52">
        <v>91.83541000000001</v>
      </c>
      <c r="BA126" s="52">
        <v>3235.5209799999998</v>
      </c>
      <c r="BB126" s="48"/>
      <c r="BC126" s="57">
        <v>0</v>
      </c>
      <c r="BD126" s="57">
        <v>969.0493100000001</v>
      </c>
      <c r="BE126" s="57">
        <v>4466.3211200000005</v>
      </c>
      <c r="BF126" s="57">
        <v>0</v>
      </c>
      <c r="BG126" s="57">
        <v>5435.3704300000009</v>
      </c>
      <c r="BH126" s="46"/>
      <c r="BI126" s="57">
        <v>0</v>
      </c>
      <c r="BJ126" s="57">
        <v>0</v>
      </c>
      <c r="BK126" s="57"/>
      <c r="BL126" s="57"/>
      <c r="BM126" s="57">
        <v>0</v>
      </c>
      <c r="BN126" s="57"/>
      <c r="BO126" s="57">
        <v>0</v>
      </c>
      <c r="BP126" s="46"/>
      <c r="BQ126" s="87">
        <v>32974.197620000006</v>
      </c>
      <c r="BR126" s="52">
        <v>14375.39421</v>
      </c>
      <c r="BS126" s="52">
        <v>18598.80341</v>
      </c>
    </row>
    <row r="127" spans="1:71" x14ac:dyDescent="0.2">
      <c r="A127" s="55">
        <v>2013</v>
      </c>
      <c r="B127" s="55" t="s">
        <v>6</v>
      </c>
      <c r="C127" s="82"/>
      <c r="D127" s="82">
        <v>18204.522560000001</v>
      </c>
      <c r="E127" s="78">
        <v>3588.7143999999998</v>
      </c>
      <c r="F127" s="78">
        <v>14615.80816</v>
      </c>
      <c r="G127" s="82"/>
      <c r="H127" s="82"/>
      <c r="I127" s="82">
        <v>0</v>
      </c>
      <c r="J127" s="82">
        <v>0</v>
      </c>
      <c r="K127" s="82">
        <v>0</v>
      </c>
      <c r="L127" s="82"/>
      <c r="M127" s="82"/>
      <c r="N127" s="82">
        <v>2845.5941800000001</v>
      </c>
      <c r="O127" s="78">
        <v>2845.5941799999996</v>
      </c>
      <c r="P127" s="78">
        <v>0</v>
      </c>
      <c r="Q127" s="73">
        <v>21050.116740000001</v>
      </c>
      <c r="R127" s="78">
        <v>6434.308579999999</v>
      </c>
      <c r="S127" s="78">
        <v>14615.80816</v>
      </c>
      <c r="T127" s="47"/>
      <c r="U127" s="57"/>
      <c r="V127" s="57"/>
      <c r="W127" s="57"/>
      <c r="X127" s="57"/>
      <c r="Y127" s="57">
        <v>1070.8094900000001</v>
      </c>
      <c r="Z127" s="57">
        <v>3463.5109699999998</v>
      </c>
      <c r="AA127" s="57">
        <v>4534.3204599999999</v>
      </c>
      <c r="AB127" s="45"/>
      <c r="AC127" s="57">
        <v>0</v>
      </c>
      <c r="AD127" s="78">
        <v>0</v>
      </c>
      <c r="AE127" s="78"/>
      <c r="AF127" s="82">
        <v>1110.6622500000003</v>
      </c>
      <c r="AG127" s="78">
        <v>0</v>
      </c>
      <c r="AH127" s="78">
        <v>1110.6622500000003</v>
      </c>
      <c r="AI127" s="82"/>
      <c r="AJ127" s="82">
        <v>2616.6925300000003</v>
      </c>
      <c r="AK127" s="78">
        <v>183.76847000000001</v>
      </c>
      <c r="AL127" s="78">
        <v>2432.9240600000003</v>
      </c>
      <c r="AM127" s="82">
        <v>0</v>
      </c>
      <c r="AN127" s="78">
        <v>0</v>
      </c>
      <c r="AO127" s="79">
        <v>0</v>
      </c>
      <c r="AP127" s="82">
        <v>180.20732000000001</v>
      </c>
      <c r="AQ127" s="78">
        <v>0</v>
      </c>
      <c r="AR127" s="52">
        <v>180.20732000000001</v>
      </c>
      <c r="AS127" s="48"/>
      <c r="AT127" s="78"/>
      <c r="AU127" s="52">
        <v>0</v>
      </c>
      <c r="AV127" s="48"/>
      <c r="AW127" s="52"/>
      <c r="AX127" s="52">
        <v>0</v>
      </c>
      <c r="AY127" s="87">
        <v>3907.5621000000006</v>
      </c>
      <c r="AZ127" s="52">
        <v>183.76847000000001</v>
      </c>
      <c r="BA127" s="52">
        <v>3723.7936300000006</v>
      </c>
      <c r="BB127" s="48"/>
      <c r="BC127" s="57">
        <v>0</v>
      </c>
      <c r="BD127" s="57">
        <v>523.40258000000006</v>
      </c>
      <c r="BE127" s="57">
        <v>1815.9646799999996</v>
      </c>
      <c r="BF127" s="57">
        <v>0</v>
      </c>
      <c r="BG127" s="57">
        <v>2339.3672599999995</v>
      </c>
      <c r="BH127" s="46"/>
      <c r="BI127" s="57">
        <v>0</v>
      </c>
      <c r="BJ127" s="57">
        <v>0</v>
      </c>
      <c r="BK127" s="57"/>
      <c r="BL127" s="57"/>
      <c r="BM127" s="57">
        <v>0</v>
      </c>
      <c r="BN127" s="57"/>
      <c r="BO127" s="57">
        <v>0</v>
      </c>
      <c r="BP127" s="46"/>
      <c r="BQ127" s="87">
        <v>31831.366559999999</v>
      </c>
      <c r="BR127" s="52">
        <v>13491.76477</v>
      </c>
      <c r="BS127" s="52">
        <v>18339.601790000001</v>
      </c>
    </row>
    <row r="128" spans="1:71" x14ac:dyDescent="0.2">
      <c r="A128" s="55">
        <v>2013</v>
      </c>
      <c r="B128" s="55" t="s">
        <v>7</v>
      </c>
      <c r="C128" s="82"/>
      <c r="D128" s="82">
        <v>16782.502209999999</v>
      </c>
      <c r="E128" s="78">
        <v>3541.7113599999998</v>
      </c>
      <c r="F128" s="78">
        <v>13240.790849999999</v>
      </c>
      <c r="G128" s="82"/>
      <c r="H128" s="82"/>
      <c r="I128" s="82">
        <v>0</v>
      </c>
      <c r="J128" s="82">
        <v>0</v>
      </c>
      <c r="K128" s="82">
        <v>0</v>
      </c>
      <c r="L128" s="82"/>
      <c r="M128" s="82"/>
      <c r="N128" s="82">
        <v>1752.421</v>
      </c>
      <c r="O128" s="78">
        <v>1752.421</v>
      </c>
      <c r="P128" s="78">
        <v>0</v>
      </c>
      <c r="Q128" s="73">
        <v>18534.923209999997</v>
      </c>
      <c r="R128" s="78">
        <v>5294.1323599999996</v>
      </c>
      <c r="S128" s="78">
        <v>13240.790849999999</v>
      </c>
      <c r="T128" s="47"/>
      <c r="U128" s="57"/>
      <c r="V128" s="57"/>
      <c r="W128" s="57"/>
      <c r="X128" s="57"/>
      <c r="Y128" s="57">
        <v>946.58501000000001</v>
      </c>
      <c r="Z128" s="57">
        <v>1717.0211999999999</v>
      </c>
      <c r="AA128" s="57">
        <v>2663.6062099999999</v>
      </c>
      <c r="AB128" s="45"/>
      <c r="AC128" s="57">
        <v>0</v>
      </c>
      <c r="AD128" s="78">
        <v>0</v>
      </c>
      <c r="AE128" s="78"/>
      <c r="AF128" s="82">
        <v>1205.4435100000001</v>
      </c>
      <c r="AG128" s="78">
        <v>0</v>
      </c>
      <c r="AH128" s="78">
        <v>1205.4435100000001</v>
      </c>
      <c r="AI128" s="82"/>
      <c r="AJ128" s="82">
        <v>2859.4612700000002</v>
      </c>
      <c r="AK128" s="78">
        <v>93.8874</v>
      </c>
      <c r="AL128" s="78">
        <v>2765.5738700000002</v>
      </c>
      <c r="AM128" s="82">
        <v>0</v>
      </c>
      <c r="AN128" s="78">
        <v>0</v>
      </c>
      <c r="AO128" s="79">
        <v>0</v>
      </c>
      <c r="AP128" s="82">
        <v>187.78698</v>
      </c>
      <c r="AQ128" s="78">
        <v>0</v>
      </c>
      <c r="AR128" s="52">
        <v>187.78698</v>
      </c>
      <c r="AS128" s="48"/>
      <c r="AT128" s="78"/>
      <c r="AU128" s="52">
        <v>0</v>
      </c>
      <c r="AV128" s="48"/>
      <c r="AW128" s="52"/>
      <c r="AX128" s="52">
        <v>0</v>
      </c>
      <c r="AY128" s="87">
        <v>4252.6917600000006</v>
      </c>
      <c r="AZ128" s="52">
        <v>93.8874</v>
      </c>
      <c r="BA128" s="52">
        <v>4158.8043600000001</v>
      </c>
      <c r="BB128" s="48"/>
      <c r="BC128" s="57">
        <v>0</v>
      </c>
      <c r="BD128" s="57">
        <v>424.92662000000001</v>
      </c>
      <c r="BE128" s="57">
        <v>3628.9831400000003</v>
      </c>
      <c r="BF128" s="57">
        <v>0</v>
      </c>
      <c r="BG128" s="57">
        <v>4053.9097600000005</v>
      </c>
      <c r="BH128" s="46"/>
      <c r="BI128" s="57">
        <v>0</v>
      </c>
      <c r="BJ128" s="57">
        <v>0</v>
      </c>
      <c r="BK128" s="57"/>
      <c r="BL128" s="57"/>
      <c r="BM128" s="57">
        <v>0</v>
      </c>
      <c r="BN128" s="57"/>
      <c r="BO128" s="57">
        <v>0</v>
      </c>
      <c r="BP128" s="46"/>
      <c r="BQ128" s="87">
        <v>29505.130940000003</v>
      </c>
      <c r="BR128" s="52">
        <v>12105.53573</v>
      </c>
      <c r="BS128" s="52">
        <v>17399.595209999999</v>
      </c>
    </row>
    <row r="129" spans="1:71" x14ac:dyDescent="0.2">
      <c r="A129" s="55">
        <v>2013</v>
      </c>
      <c r="B129" s="55" t="s">
        <v>8</v>
      </c>
      <c r="C129" s="82"/>
      <c r="D129" s="82">
        <v>14486.414450000002</v>
      </c>
      <c r="E129" s="78">
        <v>2163.0009100000002</v>
      </c>
      <c r="F129" s="78">
        <v>12323.413540000001</v>
      </c>
      <c r="G129" s="82"/>
      <c r="H129" s="82"/>
      <c r="I129" s="82">
        <v>0</v>
      </c>
      <c r="J129" s="82">
        <v>0</v>
      </c>
      <c r="K129" s="82">
        <v>0</v>
      </c>
      <c r="L129" s="82"/>
      <c r="M129" s="82"/>
      <c r="N129" s="82">
        <v>2565.80213</v>
      </c>
      <c r="O129" s="78">
        <v>2565.80213</v>
      </c>
      <c r="P129" s="78">
        <v>0</v>
      </c>
      <c r="Q129" s="73">
        <v>17052.21658</v>
      </c>
      <c r="R129" s="78">
        <v>4728.8030400000007</v>
      </c>
      <c r="S129" s="78">
        <v>12323.413540000001</v>
      </c>
      <c r="T129" s="47"/>
      <c r="U129" s="57"/>
      <c r="V129" s="57"/>
      <c r="W129" s="57"/>
      <c r="X129" s="57"/>
      <c r="Y129" s="57">
        <v>2162.1959400000001</v>
      </c>
      <c r="Z129" s="57">
        <v>1688.4837400000001</v>
      </c>
      <c r="AA129" s="57">
        <v>3850.6796800000002</v>
      </c>
      <c r="AB129" s="45"/>
      <c r="AC129" s="57">
        <v>0</v>
      </c>
      <c r="AD129" s="78">
        <v>0</v>
      </c>
      <c r="AE129" s="78"/>
      <c r="AF129" s="82">
        <v>1079.6622589469735</v>
      </c>
      <c r="AG129" s="78">
        <v>0</v>
      </c>
      <c r="AH129" s="78">
        <v>1079.6622589469753</v>
      </c>
      <c r="AI129" s="82"/>
      <c r="AJ129" s="82">
        <v>4171.8248170379084</v>
      </c>
      <c r="AK129" s="78">
        <v>1846.4103058219789</v>
      </c>
      <c r="AL129" s="78">
        <v>2325.4163147689615</v>
      </c>
      <c r="AM129" s="82">
        <v>0</v>
      </c>
      <c r="AN129" s="78">
        <v>0</v>
      </c>
      <c r="AO129" s="79">
        <v>0</v>
      </c>
      <c r="AP129" s="82">
        <v>119.14893512949891</v>
      </c>
      <c r="AQ129" s="78">
        <v>0</v>
      </c>
      <c r="AR129" s="52">
        <v>119.14893512949902</v>
      </c>
      <c r="AS129" s="48"/>
      <c r="AT129" s="78"/>
      <c r="AU129" s="52">
        <v>0</v>
      </c>
      <c r="AV129" s="48"/>
      <c r="AW129" s="52"/>
      <c r="AX129" s="52">
        <v>0</v>
      </c>
      <c r="AY129" s="87">
        <v>5370.6373170379447</v>
      </c>
      <c r="AZ129" s="52">
        <v>1846.410305821988</v>
      </c>
      <c r="BA129" s="52">
        <v>3524.2268616439796</v>
      </c>
      <c r="BB129" s="48"/>
      <c r="BC129" s="57">
        <v>0</v>
      </c>
      <c r="BD129" s="57">
        <v>0</v>
      </c>
      <c r="BE129" s="57">
        <v>3608.5159241439833</v>
      </c>
      <c r="BF129" s="57">
        <v>0</v>
      </c>
      <c r="BG129" s="57">
        <v>3608.5159241439869</v>
      </c>
      <c r="BH129" s="46"/>
      <c r="BI129" s="57">
        <v>0</v>
      </c>
      <c r="BJ129" s="57">
        <v>0</v>
      </c>
      <c r="BK129" s="57"/>
      <c r="BL129" s="57"/>
      <c r="BM129" s="57">
        <v>0</v>
      </c>
      <c r="BN129" s="57"/>
      <c r="BO129" s="57">
        <v>0</v>
      </c>
      <c r="BP129" s="46"/>
      <c r="BQ129" s="87">
        <v>29882.049268151924</v>
      </c>
      <c r="BR129" s="52">
        <v>14034.407446575977</v>
      </c>
      <c r="BS129" s="52">
        <v>15847.641821575991</v>
      </c>
    </row>
    <row r="130" spans="1:71" x14ac:dyDescent="0.2">
      <c r="A130" s="55">
        <v>2013</v>
      </c>
      <c r="B130" s="55" t="s">
        <v>9</v>
      </c>
      <c r="C130" s="82"/>
      <c r="D130" s="82">
        <v>15858.342140000001</v>
      </c>
      <c r="E130" s="78">
        <v>3907.9493199999997</v>
      </c>
      <c r="F130" s="78">
        <v>11950.392820000001</v>
      </c>
      <c r="G130" s="82"/>
      <c r="H130" s="82"/>
      <c r="I130" s="82">
        <v>0</v>
      </c>
      <c r="J130" s="82">
        <v>0</v>
      </c>
      <c r="K130" s="82">
        <v>0</v>
      </c>
      <c r="L130" s="82"/>
      <c r="M130" s="82"/>
      <c r="N130" s="82">
        <v>890.59430000000009</v>
      </c>
      <c r="O130" s="78">
        <v>890.59430000000009</v>
      </c>
      <c r="P130" s="78">
        <v>0</v>
      </c>
      <c r="Q130" s="73">
        <v>16748.936440000001</v>
      </c>
      <c r="R130" s="78">
        <v>4798.5436199999995</v>
      </c>
      <c r="S130" s="78">
        <v>11950.392820000001</v>
      </c>
      <c r="T130" s="47"/>
      <c r="U130" s="57"/>
      <c r="V130" s="57"/>
      <c r="W130" s="57"/>
      <c r="X130" s="57"/>
      <c r="Y130" s="57">
        <v>3084.8556600000002</v>
      </c>
      <c r="Z130" s="57">
        <v>826.84967000000006</v>
      </c>
      <c r="AA130" s="57">
        <v>3911.7053300000002</v>
      </c>
      <c r="AB130" s="45"/>
      <c r="AC130" s="57">
        <v>0</v>
      </c>
      <c r="AD130" s="78">
        <v>0</v>
      </c>
      <c r="AE130" s="78"/>
      <c r="AF130" s="82">
        <v>1329.6432399999999</v>
      </c>
      <c r="AG130" s="78">
        <v>0</v>
      </c>
      <c r="AH130" s="78">
        <v>1329.6432399999999</v>
      </c>
      <c r="AI130" s="82"/>
      <c r="AJ130" s="82">
        <v>5266.0676100000001</v>
      </c>
      <c r="AK130" s="78">
        <v>2746.3183899999999</v>
      </c>
      <c r="AL130" s="78">
        <v>2519.7492200000002</v>
      </c>
      <c r="AM130" s="82">
        <v>0</v>
      </c>
      <c r="AN130" s="78">
        <v>0</v>
      </c>
      <c r="AO130" s="79">
        <v>0</v>
      </c>
      <c r="AP130" s="82">
        <v>125.31417</v>
      </c>
      <c r="AQ130" s="78">
        <v>0</v>
      </c>
      <c r="AR130" s="52">
        <v>125.31417</v>
      </c>
      <c r="AS130" s="48"/>
      <c r="AT130" s="78"/>
      <c r="AU130" s="52">
        <v>0</v>
      </c>
      <c r="AV130" s="48"/>
      <c r="AW130" s="52"/>
      <c r="AX130" s="52">
        <v>0</v>
      </c>
      <c r="AY130" s="87">
        <v>6721.02502</v>
      </c>
      <c r="AZ130" s="52">
        <v>2746.3183899999999</v>
      </c>
      <c r="BA130" s="52">
        <v>3974.7066300000001</v>
      </c>
      <c r="BB130" s="48"/>
      <c r="BC130" s="57">
        <v>0</v>
      </c>
      <c r="BD130" s="57">
        <v>0</v>
      </c>
      <c r="BE130" s="57">
        <v>2667.29765</v>
      </c>
      <c r="BF130" s="57">
        <v>0</v>
      </c>
      <c r="BG130" s="57">
        <v>2667.29765</v>
      </c>
      <c r="BH130" s="46"/>
      <c r="BI130" s="57">
        <v>0</v>
      </c>
      <c r="BJ130" s="57">
        <v>0</v>
      </c>
      <c r="BK130" s="57"/>
      <c r="BL130" s="57"/>
      <c r="BM130" s="57">
        <v>0</v>
      </c>
      <c r="BN130" s="57"/>
      <c r="BO130" s="57">
        <v>0</v>
      </c>
      <c r="BP130" s="46"/>
      <c r="BQ130" s="87">
        <v>30048.964440000003</v>
      </c>
      <c r="BR130" s="52">
        <v>14123.86499</v>
      </c>
      <c r="BS130" s="52">
        <v>15925.099450000002</v>
      </c>
    </row>
    <row r="131" spans="1:71" x14ac:dyDescent="0.2">
      <c r="A131" s="55">
        <v>2013</v>
      </c>
      <c r="B131" s="55" t="s">
        <v>10</v>
      </c>
      <c r="C131" s="82"/>
      <c r="D131" s="82">
        <v>12652.760719999998</v>
      </c>
      <c r="E131" s="78">
        <v>3116.9604200000003</v>
      </c>
      <c r="F131" s="78">
        <v>9535.800299999999</v>
      </c>
      <c r="G131" s="82"/>
      <c r="H131" s="82"/>
      <c r="I131" s="82">
        <v>0</v>
      </c>
      <c r="J131" s="82">
        <v>0</v>
      </c>
      <c r="K131" s="82">
        <v>0</v>
      </c>
      <c r="L131" s="82"/>
      <c r="M131" s="82"/>
      <c r="N131" s="82">
        <v>1691.2142200000001</v>
      </c>
      <c r="O131" s="78">
        <v>1691.2142200000001</v>
      </c>
      <c r="P131" s="78">
        <v>0</v>
      </c>
      <c r="Q131" s="73">
        <v>14343.974939999998</v>
      </c>
      <c r="R131" s="78">
        <v>4808.1746400000002</v>
      </c>
      <c r="S131" s="78">
        <v>9535.800299999999</v>
      </c>
      <c r="T131" s="47"/>
      <c r="U131" s="57"/>
      <c r="V131" s="57"/>
      <c r="W131" s="57"/>
      <c r="X131" s="57"/>
      <c r="Y131" s="57">
        <v>1077.85428</v>
      </c>
      <c r="Z131" s="57">
        <v>1730.8615899999998</v>
      </c>
      <c r="AA131" s="57">
        <v>2808.71587</v>
      </c>
      <c r="AB131" s="45"/>
      <c r="AC131" s="57">
        <v>0</v>
      </c>
      <c r="AD131" s="78">
        <v>0</v>
      </c>
      <c r="AE131" s="78"/>
      <c r="AF131" s="82">
        <v>1684.99332</v>
      </c>
      <c r="AG131" s="78">
        <v>0</v>
      </c>
      <c r="AH131" s="78">
        <v>1684.99332</v>
      </c>
      <c r="AI131" s="82"/>
      <c r="AJ131" s="82">
        <v>4509.51055</v>
      </c>
      <c r="AK131" s="78">
        <v>1765.56674</v>
      </c>
      <c r="AL131" s="78">
        <v>2743.9438100000002</v>
      </c>
      <c r="AM131" s="82">
        <v>0</v>
      </c>
      <c r="AN131" s="78">
        <v>0</v>
      </c>
      <c r="AO131" s="79">
        <v>0</v>
      </c>
      <c r="AP131" s="82">
        <v>147.42832000000001</v>
      </c>
      <c r="AQ131" s="78">
        <v>0</v>
      </c>
      <c r="AR131" s="52">
        <v>147.42832000000001</v>
      </c>
      <c r="AS131" s="48"/>
      <c r="AT131" s="78"/>
      <c r="AU131" s="52">
        <v>0</v>
      </c>
      <c r="AV131" s="48"/>
      <c r="AW131" s="52"/>
      <c r="AX131" s="52">
        <v>0</v>
      </c>
      <c r="AY131" s="87">
        <v>6341.9321900000004</v>
      </c>
      <c r="AZ131" s="52">
        <v>1765.56674</v>
      </c>
      <c r="BA131" s="52">
        <v>4576.3654500000002</v>
      </c>
      <c r="BB131" s="48"/>
      <c r="BC131" s="57">
        <v>0</v>
      </c>
      <c r="BD131" s="57">
        <v>0</v>
      </c>
      <c r="BE131" s="57">
        <v>5444.74172</v>
      </c>
      <c r="BF131" s="57">
        <v>0</v>
      </c>
      <c r="BG131" s="57">
        <v>5444.74172</v>
      </c>
      <c r="BH131" s="46"/>
      <c r="BI131" s="57">
        <v>0</v>
      </c>
      <c r="BJ131" s="57">
        <v>0</v>
      </c>
      <c r="BK131" s="57"/>
      <c r="BL131" s="57"/>
      <c r="BM131" s="57">
        <v>0</v>
      </c>
      <c r="BN131" s="57"/>
      <c r="BO131" s="57">
        <v>0</v>
      </c>
      <c r="BP131" s="46"/>
      <c r="BQ131" s="87">
        <v>28939.364719999998</v>
      </c>
      <c r="BR131" s="52">
        <v>14827.198969999999</v>
      </c>
      <c r="BS131" s="52">
        <v>14112.16575</v>
      </c>
    </row>
    <row r="132" spans="1:71" x14ac:dyDescent="0.2">
      <c r="A132" s="55">
        <v>2013</v>
      </c>
      <c r="B132" s="55" t="s">
        <v>11</v>
      </c>
      <c r="C132" s="82"/>
      <c r="D132" s="82">
        <v>12549.889619999998</v>
      </c>
      <c r="E132" s="78">
        <v>2624.1638800000001</v>
      </c>
      <c r="F132" s="78">
        <v>9925.725739999998</v>
      </c>
      <c r="G132" s="82"/>
      <c r="H132" s="82"/>
      <c r="I132" s="82">
        <v>0</v>
      </c>
      <c r="J132" s="82">
        <v>0</v>
      </c>
      <c r="K132" s="82">
        <v>0</v>
      </c>
      <c r="L132" s="82"/>
      <c r="M132" s="82"/>
      <c r="N132" s="82">
        <v>4716.4056600000004</v>
      </c>
      <c r="O132" s="78">
        <v>4716.4056600000004</v>
      </c>
      <c r="P132" s="78">
        <v>0</v>
      </c>
      <c r="Q132" s="73">
        <v>17266.295279999998</v>
      </c>
      <c r="R132" s="78">
        <v>7340.5695400000004</v>
      </c>
      <c r="S132" s="78">
        <v>9925.725739999998</v>
      </c>
      <c r="T132" s="47"/>
      <c r="U132" s="57"/>
      <c r="V132" s="57"/>
      <c r="W132" s="57"/>
      <c r="X132" s="57"/>
      <c r="Y132" s="57">
        <v>2148.3903700000001</v>
      </c>
      <c r="Z132" s="57">
        <v>2610.3089500000001</v>
      </c>
      <c r="AA132" s="57">
        <v>4758.6993199999997</v>
      </c>
      <c r="AB132" s="45"/>
      <c r="AC132" s="57">
        <v>0</v>
      </c>
      <c r="AD132" s="78">
        <v>0</v>
      </c>
      <c r="AE132" s="78"/>
      <c r="AF132" s="82">
        <v>1570.0996599999996</v>
      </c>
      <c r="AG132" s="78">
        <v>0</v>
      </c>
      <c r="AH132" s="78">
        <v>1570.0996599999999</v>
      </c>
      <c r="AI132" s="82"/>
      <c r="AJ132" s="82">
        <v>4375.3812700000008</v>
      </c>
      <c r="AK132" s="78">
        <v>1913.8091400000001</v>
      </c>
      <c r="AL132" s="78">
        <v>2461.57213</v>
      </c>
      <c r="AM132" s="82">
        <v>0</v>
      </c>
      <c r="AN132" s="78">
        <v>0</v>
      </c>
      <c r="AO132" s="79">
        <v>0</v>
      </c>
      <c r="AP132" s="82">
        <v>229.80329</v>
      </c>
      <c r="AQ132" s="78">
        <v>0</v>
      </c>
      <c r="AR132" s="52">
        <v>229.80329</v>
      </c>
      <c r="AS132" s="48"/>
      <c r="AT132" s="78"/>
      <c r="AU132" s="52">
        <v>0</v>
      </c>
      <c r="AV132" s="48"/>
      <c r="AW132" s="52"/>
      <c r="AX132" s="52">
        <v>0</v>
      </c>
      <c r="AY132" s="87">
        <v>6175.2842200000005</v>
      </c>
      <c r="AZ132" s="52">
        <v>1913.8091400000001</v>
      </c>
      <c r="BA132" s="52">
        <v>4261.4750800000002</v>
      </c>
      <c r="BB132" s="48"/>
      <c r="BC132" s="57">
        <v>0</v>
      </c>
      <c r="BD132" s="57">
        <v>0</v>
      </c>
      <c r="BE132" s="57">
        <v>4099.4613799999997</v>
      </c>
      <c r="BF132" s="57">
        <v>0</v>
      </c>
      <c r="BG132" s="57">
        <v>4099.4613799999997</v>
      </c>
      <c r="BH132" s="46"/>
      <c r="BI132" s="57">
        <v>0</v>
      </c>
      <c r="BJ132" s="57">
        <v>0</v>
      </c>
      <c r="BK132" s="57"/>
      <c r="BL132" s="57"/>
      <c r="BM132" s="57">
        <v>0</v>
      </c>
      <c r="BN132" s="57"/>
      <c r="BO132" s="57">
        <v>0</v>
      </c>
      <c r="BP132" s="46"/>
      <c r="BQ132" s="87">
        <v>32299.7402</v>
      </c>
      <c r="BR132" s="52">
        <v>18112.539379999998</v>
      </c>
      <c r="BS132" s="52">
        <v>14187.200819999998</v>
      </c>
    </row>
    <row r="133" spans="1:71" x14ac:dyDescent="0.2">
      <c r="A133" s="55">
        <v>2013</v>
      </c>
      <c r="B133" s="55" t="s">
        <v>12</v>
      </c>
      <c r="C133" s="82"/>
      <c r="D133" s="82">
        <v>14735.80683</v>
      </c>
      <c r="E133" s="78">
        <v>1491.31348</v>
      </c>
      <c r="F133" s="78">
        <v>13244.493349999999</v>
      </c>
      <c r="G133" s="82"/>
      <c r="H133" s="82"/>
      <c r="I133" s="82">
        <v>0</v>
      </c>
      <c r="J133" s="82">
        <v>0</v>
      </c>
      <c r="K133" s="82">
        <v>0</v>
      </c>
      <c r="L133" s="82"/>
      <c r="M133" s="82"/>
      <c r="N133" s="82">
        <v>3319.8604599999999</v>
      </c>
      <c r="O133" s="78">
        <v>3319.8604599999999</v>
      </c>
      <c r="P133" s="78">
        <v>0</v>
      </c>
      <c r="Q133" s="73">
        <v>18055.667289999998</v>
      </c>
      <c r="R133" s="78">
        <v>4811.1739399999997</v>
      </c>
      <c r="S133" s="78">
        <v>13244.493349999999</v>
      </c>
      <c r="T133" s="47"/>
      <c r="U133" s="57"/>
      <c r="V133" s="57"/>
      <c r="W133" s="57"/>
      <c r="X133" s="57"/>
      <c r="Y133" s="57">
        <v>2050.1580600000002</v>
      </c>
      <c r="Z133" s="57">
        <v>0</v>
      </c>
      <c r="AA133" s="57">
        <v>2050.1580600000002</v>
      </c>
      <c r="AB133" s="45"/>
      <c r="AC133" s="57">
        <v>0</v>
      </c>
      <c r="AD133" s="78">
        <v>0</v>
      </c>
      <c r="AE133" s="78"/>
      <c r="AF133" s="82">
        <v>1244.6038399999995</v>
      </c>
      <c r="AG133" s="78">
        <v>0</v>
      </c>
      <c r="AH133" s="78">
        <v>1244.6038399999995</v>
      </c>
      <c r="AI133" s="82"/>
      <c r="AJ133" s="82">
        <v>2973.5651699999999</v>
      </c>
      <c r="AK133" s="78">
        <v>850.23299999999995</v>
      </c>
      <c r="AL133" s="78">
        <v>2123.3321700000001</v>
      </c>
      <c r="AM133" s="82">
        <v>0</v>
      </c>
      <c r="AN133" s="78">
        <v>0</v>
      </c>
      <c r="AO133" s="79">
        <v>0</v>
      </c>
      <c r="AP133" s="82">
        <v>31.331250000000001</v>
      </c>
      <c r="AQ133" s="78">
        <v>0</v>
      </c>
      <c r="AR133" s="52">
        <v>31.331250000000001</v>
      </c>
      <c r="AS133" s="48"/>
      <c r="AT133" s="78"/>
      <c r="AU133" s="52">
        <v>0</v>
      </c>
      <c r="AV133" s="48"/>
      <c r="AW133" s="52"/>
      <c r="AX133" s="52">
        <v>0</v>
      </c>
      <c r="AY133" s="87">
        <v>4249.5002599999998</v>
      </c>
      <c r="AZ133" s="52">
        <v>850.23299999999995</v>
      </c>
      <c r="BA133" s="52">
        <v>3399.2672599999996</v>
      </c>
      <c r="BB133" s="48"/>
      <c r="BC133" s="57">
        <v>0</v>
      </c>
      <c r="BD133" s="57">
        <v>0</v>
      </c>
      <c r="BE133" s="57">
        <v>3218.5651599999997</v>
      </c>
      <c r="BF133" s="57">
        <v>0</v>
      </c>
      <c r="BG133" s="57">
        <v>3218.5651599999997</v>
      </c>
      <c r="BH133" s="46"/>
      <c r="BI133" s="57">
        <v>0</v>
      </c>
      <c r="BJ133" s="57">
        <v>0</v>
      </c>
      <c r="BK133" s="57"/>
      <c r="BL133" s="57"/>
      <c r="BM133" s="57">
        <v>0</v>
      </c>
      <c r="BN133" s="57"/>
      <c r="BO133" s="57">
        <v>0</v>
      </c>
      <c r="BP133" s="46"/>
      <c r="BQ133" s="87">
        <v>27573.890769999998</v>
      </c>
      <c r="BR133" s="52">
        <v>10930.130160000001</v>
      </c>
      <c r="BS133" s="52">
        <v>16643.760609999998</v>
      </c>
    </row>
    <row r="134" spans="1:71" x14ac:dyDescent="0.2">
      <c r="A134" s="55">
        <v>2013</v>
      </c>
      <c r="B134" s="55" t="s">
        <v>13</v>
      </c>
      <c r="C134" s="82"/>
      <c r="D134" s="82">
        <v>17143.11666</v>
      </c>
      <c r="E134" s="78">
        <v>2663.30906</v>
      </c>
      <c r="F134" s="78">
        <v>14479.8076</v>
      </c>
      <c r="G134" s="82"/>
      <c r="H134" s="82"/>
      <c r="I134" s="82">
        <v>0</v>
      </c>
      <c r="J134" s="82">
        <v>0</v>
      </c>
      <c r="K134" s="82">
        <v>0</v>
      </c>
      <c r="L134" s="82"/>
      <c r="M134" s="82"/>
      <c r="N134" s="82">
        <v>4699.8673699999999</v>
      </c>
      <c r="O134" s="78">
        <v>4699.8673699999999</v>
      </c>
      <c r="P134" s="78">
        <v>0</v>
      </c>
      <c r="Q134" s="73">
        <v>21842.98403</v>
      </c>
      <c r="R134" s="78">
        <v>7363.1764299999995</v>
      </c>
      <c r="S134" s="78">
        <v>14479.8076</v>
      </c>
      <c r="T134" s="47"/>
      <c r="U134" s="57"/>
      <c r="V134" s="57"/>
      <c r="W134" s="57"/>
      <c r="X134" s="57"/>
      <c r="Y134" s="57">
        <v>1079.43019</v>
      </c>
      <c r="Z134" s="57">
        <v>2577.71875</v>
      </c>
      <c r="AA134" s="57">
        <v>3657.14894</v>
      </c>
      <c r="AB134" s="45"/>
      <c r="AC134" s="57">
        <v>0</v>
      </c>
      <c r="AD134" s="78">
        <v>0</v>
      </c>
      <c r="AE134" s="78"/>
      <c r="AF134" s="82">
        <v>1874.0510099999997</v>
      </c>
      <c r="AG134" s="78">
        <v>667.29575999999997</v>
      </c>
      <c r="AH134" s="78">
        <v>1206.7552500000002</v>
      </c>
      <c r="AI134" s="82"/>
      <c r="AJ134" s="82">
        <v>3814.4446899999998</v>
      </c>
      <c r="AK134" s="78">
        <v>936.22182000000009</v>
      </c>
      <c r="AL134" s="78">
        <v>2878.2228700000001</v>
      </c>
      <c r="AM134" s="82">
        <v>0</v>
      </c>
      <c r="AN134" s="78">
        <v>0</v>
      </c>
      <c r="AO134" s="79">
        <v>0</v>
      </c>
      <c r="AP134" s="82">
        <v>0</v>
      </c>
      <c r="AQ134" s="78">
        <v>0</v>
      </c>
      <c r="AR134" s="52">
        <v>0</v>
      </c>
      <c r="AS134" s="48"/>
      <c r="AT134" s="78"/>
      <c r="AU134" s="52">
        <v>0</v>
      </c>
      <c r="AV134" s="48"/>
      <c r="AW134" s="52"/>
      <c r="AX134" s="52">
        <v>0</v>
      </c>
      <c r="AY134" s="87">
        <v>5688.4956999999995</v>
      </c>
      <c r="AZ134" s="52">
        <v>1603.5175800000002</v>
      </c>
      <c r="BA134" s="52">
        <v>4084.9781200000002</v>
      </c>
      <c r="BB134" s="48"/>
      <c r="BC134" s="57">
        <v>0</v>
      </c>
      <c r="BD134" s="57">
        <v>0</v>
      </c>
      <c r="BE134" s="57">
        <v>3646.1662000000001</v>
      </c>
      <c r="BF134" s="57">
        <v>0</v>
      </c>
      <c r="BG134" s="57">
        <v>3646.1662000000001</v>
      </c>
      <c r="BH134" s="46"/>
      <c r="BI134" s="57">
        <v>0</v>
      </c>
      <c r="BJ134" s="57">
        <v>0</v>
      </c>
      <c r="BK134" s="57"/>
      <c r="BL134" s="57"/>
      <c r="BM134" s="57">
        <v>0</v>
      </c>
      <c r="BN134" s="57"/>
      <c r="BO134" s="57">
        <v>0</v>
      </c>
      <c r="BP134" s="46"/>
      <c r="BQ134" s="87">
        <v>34834.794869999998</v>
      </c>
      <c r="BR134" s="52">
        <v>16270.009149999998</v>
      </c>
      <c r="BS134" s="52">
        <v>18564.78572</v>
      </c>
    </row>
    <row r="135" spans="1:71" ht="12" customHeight="1" x14ac:dyDescent="0.2">
      <c r="A135" s="55">
        <v>2013</v>
      </c>
      <c r="B135" s="55" t="s">
        <v>14</v>
      </c>
      <c r="C135" s="82"/>
      <c r="D135" s="82">
        <v>18959.65137</v>
      </c>
      <c r="E135" s="78">
        <v>4366.3215199999995</v>
      </c>
      <c r="F135" s="78">
        <v>14593.329850000002</v>
      </c>
      <c r="G135" s="82"/>
      <c r="H135" s="82"/>
      <c r="I135" s="82">
        <v>0</v>
      </c>
      <c r="J135" s="82">
        <v>0</v>
      </c>
      <c r="K135" s="82">
        <v>0</v>
      </c>
      <c r="L135" s="82"/>
      <c r="M135" s="82"/>
      <c r="N135" s="82">
        <v>2468.66768</v>
      </c>
      <c r="O135" s="78">
        <v>2468.66768</v>
      </c>
      <c r="P135" s="78">
        <v>0</v>
      </c>
      <c r="Q135" s="73">
        <v>21428.319049999998</v>
      </c>
      <c r="R135" s="78">
        <v>6834.9892</v>
      </c>
      <c r="S135" s="78">
        <v>14593.329850000002</v>
      </c>
      <c r="T135" s="47"/>
      <c r="U135" s="57"/>
      <c r="V135" s="57"/>
      <c r="W135" s="57"/>
      <c r="X135" s="57"/>
      <c r="Y135" s="57">
        <v>2150.84692</v>
      </c>
      <c r="Z135" s="57">
        <v>871.52357999999992</v>
      </c>
      <c r="AA135" s="57">
        <v>3022.3705</v>
      </c>
      <c r="AB135" s="45"/>
      <c r="AC135" s="57">
        <v>0</v>
      </c>
      <c r="AD135" s="78">
        <v>0</v>
      </c>
      <c r="AE135" s="78"/>
      <c r="AF135" s="82">
        <v>1312.1647800000001</v>
      </c>
      <c r="AG135" s="78">
        <v>0</v>
      </c>
      <c r="AH135" s="78">
        <v>1312.3277800000001</v>
      </c>
      <c r="AI135" s="82"/>
      <c r="AJ135" s="82">
        <v>4314.7009500000004</v>
      </c>
      <c r="AK135" s="78">
        <v>935.60924999999997</v>
      </c>
      <c r="AL135" s="78">
        <v>3379.0917000000004</v>
      </c>
      <c r="AM135" s="82">
        <v>0</v>
      </c>
      <c r="AN135" s="78">
        <v>0</v>
      </c>
      <c r="AO135" s="79">
        <v>0</v>
      </c>
      <c r="AP135" s="82">
        <v>24.646249999999998</v>
      </c>
      <c r="AQ135" s="78">
        <v>0</v>
      </c>
      <c r="AR135" s="52">
        <v>24.646249999999998</v>
      </c>
      <c r="AS135" s="48"/>
      <c r="AT135" s="78"/>
      <c r="AU135" s="52">
        <v>0</v>
      </c>
      <c r="AV135" s="48"/>
      <c r="AW135" s="52"/>
      <c r="AX135" s="52">
        <v>0</v>
      </c>
      <c r="AY135" s="87">
        <v>5651.6749799999998</v>
      </c>
      <c r="AZ135" s="52">
        <v>935.60924999999997</v>
      </c>
      <c r="BA135" s="52">
        <v>4716.0657300000003</v>
      </c>
      <c r="BB135" s="48"/>
      <c r="BC135" s="57">
        <v>0</v>
      </c>
      <c r="BD135" s="57">
        <v>0</v>
      </c>
      <c r="BE135" s="57">
        <v>2657.8717299999998</v>
      </c>
      <c r="BF135" s="57">
        <v>0</v>
      </c>
      <c r="BG135" s="57">
        <v>2657.8717299999998</v>
      </c>
      <c r="BH135" s="46"/>
      <c r="BI135" s="57">
        <v>0</v>
      </c>
      <c r="BJ135" s="57">
        <v>0</v>
      </c>
      <c r="BK135" s="57"/>
      <c r="BL135" s="57"/>
      <c r="BM135" s="57">
        <v>0</v>
      </c>
      <c r="BN135" s="57"/>
      <c r="BO135" s="57">
        <v>0</v>
      </c>
      <c r="BP135" s="46"/>
      <c r="BQ135" s="87">
        <v>32760.236259999998</v>
      </c>
      <c r="BR135" s="52">
        <v>13450.840680000001</v>
      </c>
      <c r="BS135" s="52">
        <v>19309.395580000004</v>
      </c>
    </row>
    <row r="136" spans="1:71" ht="12" customHeight="1" x14ac:dyDescent="0.2">
      <c r="A136" s="55">
        <v>2013</v>
      </c>
      <c r="B136" s="55" t="s">
        <v>15</v>
      </c>
      <c r="C136" s="82"/>
      <c r="D136" s="82">
        <v>193704.99027000001</v>
      </c>
      <c r="E136" s="78">
        <v>37661.545579999998</v>
      </c>
      <c r="F136" s="78">
        <v>156043.44469000003</v>
      </c>
      <c r="G136" s="82"/>
      <c r="H136" s="82"/>
      <c r="I136" s="82">
        <v>463.86265000000003</v>
      </c>
      <c r="J136" s="82">
        <v>0</v>
      </c>
      <c r="K136" s="82">
        <v>0</v>
      </c>
      <c r="L136" s="82"/>
      <c r="M136" s="82"/>
      <c r="N136" s="82">
        <v>36175.643150000004</v>
      </c>
      <c r="O136" s="78">
        <v>36175.643609999999</v>
      </c>
      <c r="P136" s="78">
        <v>0</v>
      </c>
      <c r="Q136" s="73">
        <v>230344.49606999994</v>
      </c>
      <c r="R136" s="78">
        <v>74301.05184</v>
      </c>
      <c r="S136" s="78">
        <v>156043.44469000003</v>
      </c>
      <c r="T136" s="47"/>
      <c r="U136" s="57"/>
      <c r="V136" s="57"/>
      <c r="W136" s="57"/>
      <c r="X136" s="57"/>
      <c r="Y136" s="57">
        <v>16898.063549999999</v>
      </c>
      <c r="Z136" s="57">
        <v>23327.282189999998</v>
      </c>
      <c r="AA136" s="57">
        <v>40225.345739999997</v>
      </c>
      <c r="AB136" s="45"/>
      <c r="AC136" s="57">
        <v>2173.8321499999997</v>
      </c>
      <c r="AD136" s="78">
        <v>2173.8321499999997</v>
      </c>
      <c r="AE136" s="78"/>
      <c r="AF136" s="82">
        <v>15226.44873</v>
      </c>
      <c r="AG136" s="78">
        <v>1349.7943299999999</v>
      </c>
      <c r="AH136" s="78">
        <v>13876.819449999999</v>
      </c>
      <c r="AI136" s="82"/>
      <c r="AJ136" s="82">
        <v>43791.992119999995</v>
      </c>
      <c r="AK136" s="78">
        <v>13366.079169999999</v>
      </c>
      <c r="AL136" s="78">
        <v>30425.913120000005</v>
      </c>
      <c r="AM136" s="82">
        <v>0</v>
      </c>
      <c r="AN136" s="78">
        <v>0</v>
      </c>
      <c r="AO136" s="79">
        <v>0</v>
      </c>
      <c r="AP136" s="82">
        <v>1236.9673399999999</v>
      </c>
      <c r="AQ136" s="78">
        <v>0</v>
      </c>
      <c r="AR136" s="52">
        <v>1236.96759</v>
      </c>
      <c r="AS136" s="48"/>
      <c r="AT136" s="78"/>
      <c r="AU136" s="52">
        <v>0</v>
      </c>
      <c r="AV136" s="48"/>
      <c r="AW136" s="52"/>
      <c r="AX136" s="52">
        <v>0</v>
      </c>
      <c r="AY136" s="87">
        <v>62429.240340000004</v>
      </c>
      <c r="AZ136" s="52">
        <v>16889.70565</v>
      </c>
      <c r="BA136" s="52">
        <v>45539.700160000008</v>
      </c>
      <c r="BB136" s="48"/>
      <c r="BC136" s="57">
        <v>0</v>
      </c>
      <c r="BD136" s="57">
        <v>1917.3785100000002</v>
      </c>
      <c r="BE136" s="57">
        <v>40608.824590000004</v>
      </c>
      <c r="BF136" s="57">
        <v>0</v>
      </c>
      <c r="BG136" s="57">
        <v>42526.203100000006</v>
      </c>
      <c r="BH136" s="46"/>
      <c r="BI136" s="57">
        <v>0</v>
      </c>
      <c r="BJ136" s="57">
        <v>0</v>
      </c>
      <c r="BK136" s="57"/>
      <c r="BL136" s="57"/>
      <c r="BM136" s="57">
        <v>0</v>
      </c>
      <c r="BN136" s="57"/>
      <c r="BO136" s="57">
        <v>0</v>
      </c>
      <c r="BP136" s="46"/>
      <c r="BQ136" s="87">
        <v>375525.28524999996</v>
      </c>
      <c r="BR136" s="52">
        <v>173942.30632999999</v>
      </c>
      <c r="BS136" s="52">
        <v>201583.14485000004</v>
      </c>
    </row>
    <row r="137" spans="1:71" x14ac:dyDescent="0.2">
      <c r="A137" s="55">
        <v>2014</v>
      </c>
      <c r="B137" s="55" t="s">
        <v>3</v>
      </c>
      <c r="C137" s="82">
        <v>0</v>
      </c>
      <c r="D137" s="82">
        <v>19268.050599999999</v>
      </c>
      <c r="E137" s="78">
        <v>4532.61553</v>
      </c>
      <c r="F137" s="78">
        <v>14735.43507</v>
      </c>
      <c r="G137" s="82">
        <v>0</v>
      </c>
      <c r="H137" s="82"/>
      <c r="I137" s="82">
        <v>0</v>
      </c>
      <c r="J137" s="82">
        <v>0</v>
      </c>
      <c r="K137" s="82">
        <v>0</v>
      </c>
      <c r="L137" s="82"/>
      <c r="M137" s="82"/>
      <c r="N137" s="82">
        <v>4109.9518699999999</v>
      </c>
      <c r="O137" s="78">
        <v>4109.9518699999999</v>
      </c>
      <c r="P137" s="78">
        <v>0</v>
      </c>
      <c r="Q137" s="73">
        <v>23378.002469999999</v>
      </c>
      <c r="R137" s="78">
        <v>8642.5673999999999</v>
      </c>
      <c r="S137" s="78">
        <v>14735.43507</v>
      </c>
      <c r="T137" s="47"/>
      <c r="U137" s="57">
        <v>0</v>
      </c>
      <c r="V137" s="57">
        <v>0</v>
      </c>
      <c r="W137" s="57"/>
      <c r="X137" s="57"/>
      <c r="Y137" s="57">
        <v>2131.3669100000002</v>
      </c>
      <c r="Z137" s="57">
        <v>2622.3264100000001</v>
      </c>
      <c r="AA137" s="57">
        <v>4753.6933200000003</v>
      </c>
      <c r="AB137" s="45"/>
      <c r="AC137" s="57">
        <v>830.62244999999996</v>
      </c>
      <c r="AD137" s="78">
        <v>830.62244999999996</v>
      </c>
      <c r="AE137" s="78">
        <v>0</v>
      </c>
      <c r="AF137" s="82">
        <v>1200.8092799999999</v>
      </c>
      <c r="AG137" s="78">
        <v>0</v>
      </c>
      <c r="AH137" s="78">
        <v>1200.8092799999999</v>
      </c>
      <c r="AI137" s="82">
        <v>0</v>
      </c>
      <c r="AJ137" s="82">
        <v>3362.0535100000002</v>
      </c>
      <c r="AK137" s="78">
        <v>1015.94281</v>
      </c>
      <c r="AL137" s="78">
        <v>2346.1107000000002</v>
      </c>
      <c r="AM137" s="82">
        <v>605.49878000000001</v>
      </c>
      <c r="AN137" s="78">
        <v>605.49878000000001</v>
      </c>
      <c r="AO137" s="79">
        <v>0</v>
      </c>
      <c r="AP137" s="82">
        <v>157.34804</v>
      </c>
      <c r="AQ137" s="78">
        <v>0</v>
      </c>
      <c r="AR137" s="52">
        <v>157.34804</v>
      </c>
      <c r="AS137" s="48"/>
      <c r="AT137" s="78"/>
      <c r="AU137" s="52">
        <v>0</v>
      </c>
      <c r="AV137" s="48">
        <v>0</v>
      </c>
      <c r="AW137" s="52">
        <v>0</v>
      </c>
      <c r="AX137" s="52">
        <v>0</v>
      </c>
      <c r="AY137" s="87">
        <v>6156.3320599999997</v>
      </c>
      <c r="AZ137" s="52">
        <v>2452.0640399999997</v>
      </c>
      <c r="BA137" s="52">
        <v>3704.26802</v>
      </c>
      <c r="BB137" s="48"/>
      <c r="BC137" s="57">
        <v>0</v>
      </c>
      <c r="BD137" s="57">
        <v>0</v>
      </c>
      <c r="BE137" s="57">
        <v>2674.2854900000002</v>
      </c>
      <c r="BF137" s="57">
        <v>0</v>
      </c>
      <c r="BG137" s="57">
        <v>2674.2854900000002</v>
      </c>
      <c r="BH137" s="46"/>
      <c r="BI137" s="57">
        <v>0</v>
      </c>
      <c r="BJ137" s="57">
        <v>0</v>
      </c>
      <c r="BK137" s="57"/>
      <c r="BL137" s="57"/>
      <c r="BM137" s="57">
        <v>0</v>
      </c>
      <c r="BN137" s="57"/>
      <c r="BO137" s="57">
        <v>0</v>
      </c>
      <c r="BP137" s="46"/>
      <c r="BQ137" s="87">
        <v>36962.313340000001</v>
      </c>
      <c r="BR137" s="52">
        <v>18522.610249999998</v>
      </c>
      <c r="BS137" s="52">
        <v>18439.703089999999</v>
      </c>
    </row>
    <row r="138" spans="1:71" ht="12" customHeight="1" x14ac:dyDescent="0.2">
      <c r="A138" s="55">
        <v>2014</v>
      </c>
      <c r="B138" s="55" t="s">
        <v>4</v>
      </c>
      <c r="C138" s="82">
        <v>0</v>
      </c>
      <c r="D138" s="82">
        <v>19197.77074</v>
      </c>
      <c r="E138" s="78">
        <v>5222.0958499999997</v>
      </c>
      <c r="F138" s="78">
        <v>13975.67489</v>
      </c>
      <c r="G138" s="82">
        <v>0</v>
      </c>
      <c r="H138" s="82"/>
      <c r="I138" s="82">
        <v>0</v>
      </c>
      <c r="J138" s="82">
        <v>0</v>
      </c>
      <c r="K138" s="82">
        <v>0</v>
      </c>
      <c r="L138" s="82"/>
      <c r="M138" s="82"/>
      <c r="N138" s="82">
        <v>1129.71363</v>
      </c>
      <c r="O138" s="78">
        <v>1129.71363</v>
      </c>
      <c r="P138" s="78">
        <v>0</v>
      </c>
      <c r="Q138" s="73">
        <v>20327.484369999998</v>
      </c>
      <c r="R138" s="78">
        <v>6351.8094799999999</v>
      </c>
      <c r="S138" s="78">
        <v>13975.67489</v>
      </c>
      <c r="T138" s="47"/>
      <c r="U138" s="57">
        <v>0</v>
      </c>
      <c r="V138" s="57">
        <v>0</v>
      </c>
      <c r="W138" s="57"/>
      <c r="X138" s="57"/>
      <c r="Y138" s="57">
        <v>0</v>
      </c>
      <c r="Z138" s="57">
        <v>2287.5915199999999</v>
      </c>
      <c r="AA138" s="57">
        <v>2287.5915199999999</v>
      </c>
      <c r="AB138" s="45"/>
      <c r="AC138" s="57">
        <v>0</v>
      </c>
      <c r="AD138" s="78">
        <v>0</v>
      </c>
      <c r="AE138" s="78">
        <v>0</v>
      </c>
      <c r="AF138" s="82">
        <v>1225.5596799999996</v>
      </c>
      <c r="AG138" s="78">
        <v>0</v>
      </c>
      <c r="AH138" s="78">
        <v>1225.5596799999996</v>
      </c>
      <c r="AI138" s="82">
        <v>0</v>
      </c>
      <c r="AJ138" s="82">
        <v>5729.8858300000002</v>
      </c>
      <c r="AK138" s="78">
        <v>2775.8796200000002</v>
      </c>
      <c r="AL138" s="78">
        <v>2954.00621</v>
      </c>
      <c r="AM138" s="82">
        <v>0</v>
      </c>
      <c r="AN138" s="78">
        <v>0</v>
      </c>
      <c r="AO138" s="79">
        <v>0</v>
      </c>
      <c r="AP138" s="82">
        <v>0</v>
      </c>
      <c r="AQ138" s="78">
        <v>0</v>
      </c>
      <c r="AR138" s="52">
        <v>0</v>
      </c>
      <c r="AS138" s="48"/>
      <c r="AT138" s="78"/>
      <c r="AU138" s="52">
        <v>0</v>
      </c>
      <c r="AV138" s="48">
        <v>0</v>
      </c>
      <c r="AW138" s="52">
        <v>0</v>
      </c>
      <c r="AX138" s="52">
        <v>0</v>
      </c>
      <c r="AY138" s="87">
        <v>6955.4455099999996</v>
      </c>
      <c r="AZ138" s="52">
        <v>2775.8796200000002</v>
      </c>
      <c r="BA138" s="52">
        <v>4179.5658899999999</v>
      </c>
      <c r="BB138" s="48"/>
      <c r="BC138" s="57">
        <v>0</v>
      </c>
      <c r="BD138" s="57">
        <v>0</v>
      </c>
      <c r="BE138" s="57">
        <v>3535.7342899999999</v>
      </c>
      <c r="BF138" s="57">
        <v>0</v>
      </c>
      <c r="BG138" s="57">
        <v>3535.7342899999999</v>
      </c>
      <c r="BH138" s="46"/>
      <c r="BI138" s="57">
        <v>0</v>
      </c>
      <c r="BJ138" s="57">
        <v>0</v>
      </c>
      <c r="BK138" s="57"/>
      <c r="BL138" s="57"/>
      <c r="BM138" s="57">
        <v>0</v>
      </c>
      <c r="BN138" s="57"/>
      <c r="BO138" s="57">
        <v>0</v>
      </c>
      <c r="BP138" s="46"/>
      <c r="BQ138" s="87">
        <v>33106.255689999998</v>
      </c>
      <c r="BR138" s="52">
        <v>14951.01491</v>
      </c>
      <c r="BS138" s="52">
        <v>18155.24078</v>
      </c>
    </row>
    <row r="139" spans="1:71" ht="12" customHeight="1" x14ac:dyDescent="0.2">
      <c r="A139" s="55">
        <v>2014</v>
      </c>
      <c r="B139" s="55" t="s">
        <v>5</v>
      </c>
      <c r="C139" s="82">
        <v>0</v>
      </c>
      <c r="D139" s="82">
        <v>19336.770570000001</v>
      </c>
      <c r="E139" s="78">
        <v>4772.3057299999991</v>
      </c>
      <c r="F139" s="78">
        <v>14564.464840000001</v>
      </c>
      <c r="G139" s="82">
        <v>0</v>
      </c>
      <c r="H139" s="82"/>
      <c r="I139" s="82">
        <v>0</v>
      </c>
      <c r="J139" s="82">
        <v>0</v>
      </c>
      <c r="K139" s="82">
        <v>0</v>
      </c>
      <c r="L139" s="82"/>
      <c r="M139" s="82"/>
      <c r="N139" s="82">
        <v>2724.6155099999996</v>
      </c>
      <c r="O139" s="78">
        <v>2724.6155099999996</v>
      </c>
      <c r="P139" s="78">
        <v>0</v>
      </c>
      <c r="Q139" s="73">
        <v>22061.38608</v>
      </c>
      <c r="R139" s="78">
        <v>7496.9212399999988</v>
      </c>
      <c r="S139" s="78">
        <v>14564.464840000001</v>
      </c>
      <c r="T139" s="47"/>
      <c r="U139" s="57">
        <v>0</v>
      </c>
      <c r="V139" s="57">
        <v>0</v>
      </c>
      <c r="W139" s="57"/>
      <c r="X139" s="57"/>
      <c r="Y139" s="57">
        <v>2874.6619900000001</v>
      </c>
      <c r="Z139" s="57">
        <v>1272.1386399999999</v>
      </c>
      <c r="AA139" s="57">
        <v>4146.8006299999997</v>
      </c>
      <c r="AB139" s="45"/>
      <c r="AC139" s="57">
        <v>0</v>
      </c>
      <c r="AD139" s="78">
        <v>0</v>
      </c>
      <c r="AE139" s="78">
        <v>0</v>
      </c>
      <c r="AF139" s="82">
        <v>1309.4446700000001</v>
      </c>
      <c r="AG139" s="78">
        <v>0</v>
      </c>
      <c r="AH139" s="78">
        <v>1309.4446700000001</v>
      </c>
      <c r="AI139" s="82">
        <v>0</v>
      </c>
      <c r="AJ139" s="82">
        <v>3450.57519</v>
      </c>
      <c r="AK139" s="78">
        <v>948.80173000000002</v>
      </c>
      <c r="AL139" s="78">
        <v>2501.7734599999999</v>
      </c>
      <c r="AM139" s="82">
        <v>0</v>
      </c>
      <c r="AN139" s="78">
        <v>0</v>
      </c>
      <c r="AO139" s="79">
        <v>0</v>
      </c>
      <c r="AP139" s="82">
        <v>0</v>
      </c>
      <c r="AQ139" s="78">
        <v>0</v>
      </c>
      <c r="AR139" s="52">
        <v>0</v>
      </c>
      <c r="AS139" s="48"/>
      <c r="AT139" s="78"/>
      <c r="AU139" s="52">
        <v>0</v>
      </c>
      <c r="AV139" s="48">
        <v>0</v>
      </c>
      <c r="AW139" s="52">
        <v>0</v>
      </c>
      <c r="AX139" s="52">
        <v>0</v>
      </c>
      <c r="AY139" s="87">
        <v>4760.0198600000003</v>
      </c>
      <c r="AZ139" s="52">
        <v>948.80173000000002</v>
      </c>
      <c r="BA139" s="52">
        <v>3811.2181300000002</v>
      </c>
      <c r="BB139" s="48"/>
      <c r="BC139" s="57">
        <v>0</v>
      </c>
      <c r="BD139" s="57">
        <v>0</v>
      </c>
      <c r="BE139" s="57">
        <v>2772.1874600000001</v>
      </c>
      <c r="BF139" s="57">
        <v>0</v>
      </c>
      <c r="BG139" s="57">
        <v>2772.1874600000001</v>
      </c>
      <c r="BH139" s="46"/>
      <c r="BI139" s="57">
        <v>0</v>
      </c>
      <c r="BJ139" s="57">
        <v>0</v>
      </c>
      <c r="BK139" s="57"/>
      <c r="BL139" s="57"/>
      <c r="BM139" s="57">
        <v>0</v>
      </c>
      <c r="BN139" s="57"/>
      <c r="BO139" s="57">
        <v>0</v>
      </c>
      <c r="BP139" s="46"/>
      <c r="BQ139" s="87">
        <v>33740.394030000003</v>
      </c>
      <c r="BR139" s="52">
        <v>15364.711059999998</v>
      </c>
      <c r="BS139" s="52">
        <v>18375.682970000002</v>
      </c>
    </row>
    <row r="140" spans="1:71" ht="12" customHeight="1" x14ac:dyDescent="0.2">
      <c r="A140" s="55">
        <v>2014</v>
      </c>
      <c r="B140" s="55" t="s">
        <v>6</v>
      </c>
      <c r="C140" s="82">
        <v>0</v>
      </c>
      <c r="D140" s="82">
        <v>19663.347900000001</v>
      </c>
      <c r="E140" s="78">
        <v>7536.7148400000015</v>
      </c>
      <c r="F140" s="78">
        <v>12126.63306</v>
      </c>
      <c r="G140" s="82">
        <v>0</v>
      </c>
      <c r="H140" s="82"/>
      <c r="I140" s="82">
        <v>0</v>
      </c>
      <c r="J140" s="82">
        <v>0</v>
      </c>
      <c r="K140" s="82">
        <v>0</v>
      </c>
      <c r="L140" s="82"/>
      <c r="M140" s="82"/>
      <c r="N140" s="82">
        <v>3643.7028</v>
      </c>
      <c r="O140" s="78">
        <v>3643.7028</v>
      </c>
      <c r="P140" s="78">
        <v>0</v>
      </c>
      <c r="Q140" s="73">
        <v>23307.0507</v>
      </c>
      <c r="R140" s="78">
        <v>11180.417640000001</v>
      </c>
      <c r="S140" s="78">
        <v>12126.63306</v>
      </c>
      <c r="T140" s="47"/>
      <c r="U140" s="57">
        <v>0</v>
      </c>
      <c r="V140" s="57">
        <v>0</v>
      </c>
      <c r="W140" s="57"/>
      <c r="X140" s="57"/>
      <c r="Y140" s="57">
        <v>837.32339999999999</v>
      </c>
      <c r="Z140" s="57">
        <v>1717.3220700000002</v>
      </c>
      <c r="AA140" s="57">
        <v>2554.6454700000004</v>
      </c>
      <c r="AB140" s="45"/>
      <c r="AC140" s="57">
        <v>0</v>
      </c>
      <c r="AD140" s="78">
        <v>0</v>
      </c>
      <c r="AE140" s="78">
        <v>0</v>
      </c>
      <c r="AF140" s="82">
        <v>1327.0492600000002</v>
      </c>
      <c r="AG140" s="78">
        <v>0</v>
      </c>
      <c r="AH140" s="78">
        <v>1327.0492600000002</v>
      </c>
      <c r="AI140" s="82">
        <v>0</v>
      </c>
      <c r="AJ140" s="82">
        <v>3127.3877300000004</v>
      </c>
      <c r="AK140" s="78">
        <v>967.22961999999995</v>
      </c>
      <c r="AL140" s="78">
        <v>2160.1581100000003</v>
      </c>
      <c r="AM140" s="82">
        <v>0</v>
      </c>
      <c r="AN140" s="78">
        <v>0</v>
      </c>
      <c r="AO140" s="79">
        <v>0</v>
      </c>
      <c r="AP140" s="82">
        <v>0</v>
      </c>
      <c r="AQ140" s="78">
        <v>0</v>
      </c>
      <c r="AR140" s="52">
        <v>0</v>
      </c>
      <c r="AS140" s="48"/>
      <c r="AT140" s="78"/>
      <c r="AU140" s="52">
        <v>0</v>
      </c>
      <c r="AV140" s="48">
        <v>0</v>
      </c>
      <c r="AW140" s="52">
        <v>0</v>
      </c>
      <c r="AX140" s="52">
        <v>0</v>
      </c>
      <c r="AY140" s="87">
        <v>4454.4369900000002</v>
      </c>
      <c r="AZ140" s="52">
        <v>967.22961999999995</v>
      </c>
      <c r="BA140" s="52">
        <v>3487.2073700000005</v>
      </c>
      <c r="BB140" s="48"/>
      <c r="BC140" s="57">
        <v>0</v>
      </c>
      <c r="BD140" s="57">
        <v>0</v>
      </c>
      <c r="BE140" s="57">
        <v>2715.8817899999999</v>
      </c>
      <c r="BF140" s="57">
        <v>0</v>
      </c>
      <c r="BG140" s="57">
        <v>2715.8817899999999</v>
      </c>
      <c r="BH140" s="46"/>
      <c r="BI140" s="57">
        <v>0</v>
      </c>
      <c r="BJ140" s="57">
        <v>0</v>
      </c>
      <c r="BK140" s="57"/>
      <c r="BL140" s="57"/>
      <c r="BM140" s="57">
        <v>0</v>
      </c>
      <c r="BN140" s="57"/>
      <c r="BO140" s="57">
        <v>0</v>
      </c>
      <c r="BP140" s="46"/>
      <c r="BQ140" s="87">
        <v>33032.014949999997</v>
      </c>
      <c r="BR140" s="52">
        <v>17418.174520000004</v>
      </c>
      <c r="BS140" s="52">
        <v>15613.84043</v>
      </c>
    </row>
    <row r="141" spans="1:71" ht="12" customHeight="1" x14ac:dyDescent="0.2">
      <c r="A141" s="55">
        <v>2014</v>
      </c>
      <c r="B141" s="55" t="s">
        <v>7</v>
      </c>
      <c r="C141" s="82">
        <v>0</v>
      </c>
      <c r="D141" s="82">
        <v>16535.002529999998</v>
      </c>
      <c r="E141" s="78">
        <v>4332.0366499999991</v>
      </c>
      <c r="F141" s="78">
        <v>12202.96588</v>
      </c>
      <c r="G141" s="82">
        <v>0</v>
      </c>
      <c r="H141" s="82"/>
      <c r="I141" s="82">
        <v>0</v>
      </c>
      <c r="J141" s="82">
        <v>0</v>
      </c>
      <c r="K141" s="82">
        <v>0</v>
      </c>
      <c r="L141" s="82"/>
      <c r="M141" s="82"/>
      <c r="N141" s="82">
        <v>1736.82629</v>
      </c>
      <c r="O141" s="78">
        <v>1736.82629</v>
      </c>
      <c r="P141" s="78">
        <v>0</v>
      </c>
      <c r="Q141" s="73">
        <v>18271.828819999999</v>
      </c>
      <c r="R141" s="78">
        <v>6068.8629399999991</v>
      </c>
      <c r="S141" s="78">
        <v>12202.96588</v>
      </c>
      <c r="T141" s="47"/>
      <c r="U141" s="57">
        <v>0</v>
      </c>
      <c r="V141" s="57">
        <v>0</v>
      </c>
      <c r="W141" s="57"/>
      <c r="X141" s="57"/>
      <c r="Y141" s="57">
        <v>1707.3331699999999</v>
      </c>
      <c r="Z141" s="57">
        <v>859.60533999999996</v>
      </c>
      <c r="AA141" s="57">
        <v>2566.93851</v>
      </c>
      <c r="AB141" s="45"/>
      <c r="AC141" s="57">
        <v>463.44327000000004</v>
      </c>
      <c r="AD141" s="78">
        <v>463.44327000000004</v>
      </c>
      <c r="AE141" s="78">
        <v>0</v>
      </c>
      <c r="AF141" s="82">
        <v>1287.0296000000001</v>
      </c>
      <c r="AG141" s="78">
        <v>0</v>
      </c>
      <c r="AH141" s="78">
        <v>1287.0296000000001</v>
      </c>
      <c r="AI141" s="82">
        <v>0</v>
      </c>
      <c r="AJ141" s="82">
        <v>2753.8284199999998</v>
      </c>
      <c r="AK141" s="78">
        <v>0</v>
      </c>
      <c r="AL141" s="78">
        <v>2753.8284199999998</v>
      </c>
      <c r="AM141" s="82">
        <v>0</v>
      </c>
      <c r="AN141" s="78">
        <v>0</v>
      </c>
      <c r="AO141" s="79">
        <v>0</v>
      </c>
      <c r="AP141" s="82">
        <v>0</v>
      </c>
      <c r="AQ141" s="78">
        <v>0</v>
      </c>
      <c r="AR141" s="52">
        <v>0</v>
      </c>
      <c r="AS141" s="48"/>
      <c r="AT141" s="78"/>
      <c r="AU141" s="52">
        <v>0</v>
      </c>
      <c r="AV141" s="48">
        <v>0</v>
      </c>
      <c r="AW141" s="52">
        <v>0</v>
      </c>
      <c r="AX141" s="52">
        <v>0</v>
      </c>
      <c r="AY141" s="87">
        <v>4504.3012899999994</v>
      </c>
      <c r="AZ141" s="52">
        <v>463.44327000000004</v>
      </c>
      <c r="BA141" s="52">
        <v>4040.8580199999997</v>
      </c>
      <c r="BB141" s="48"/>
      <c r="BC141" s="57">
        <v>0</v>
      </c>
      <c r="BD141" s="57">
        <v>0</v>
      </c>
      <c r="BE141" s="57">
        <v>3204.26593</v>
      </c>
      <c r="BF141" s="57">
        <v>0</v>
      </c>
      <c r="BG141" s="57">
        <v>3204.26593</v>
      </c>
      <c r="BH141" s="46"/>
      <c r="BI141" s="57">
        <v>0</v>
      </c>
      <c r="BJ141" s="57">
        <v>0</v>
      </c>
      <c r="BK141" s="57"/>
      <c r="BL141" s="57"/>
      <c r="BM141" s="57">
        <v>0</v>
      </c>
      <c r="BN141" s="57"/>
      <c r="BO141" s="57">
        <v>0</v>
      </c>
      <c r="BP141" s="46"/>
      <c r="BQ141" s="87">
        <v>28547.33455</v>
      </c>
      <c r="BR141" s="52">
        <v>12303.510649999998</v>
      </c>
      <c r="BS141" s="52">
        <v>16243.823899999999</v>
      </c>
    </row>
    <row r="142" spans="1:71" ht="12" customHeight="1" x14ac:dyDescent="0.2">
      <c r="A142" s="55">
        <v>2014</v>
      </c>
      <c r="B142" s="55" t="s">
        <v>8</v>
      </c>
      <c r="C142" s="82">
        <v>0</v>
      </c>
      <c r="D142" s="82">
        <v>19118.34809</v>
      </c>
      <c r="E142" s="78">
        <v>5974.8109699999995</v>
      </c>
      <c r="F142" s="78">
        <v>13143.537119999999</v>
      </c>
      <c r="G142" s="82">
        <v>0</v>
      </c>
      <c r="H142" s="82"/>
      <c r="I142" s="82">
        <v>0</v>
      </c>
      <c r="J142" s="82">
        <v>0</v>
      </c>
      <c r="K142" s="82">
        <v>0</v>
      </c>
      <c r="L142" s="82"/>
      <c r="M142" s="82"/>
      <c r="N142" s="82">
        <v>788.50115000000005</v>
      </c>
      <c r="O142" s="78">
        <v>788.50115000000005</v>
      </c>
      <c r="P142" s="78">
        <v>0</v>
      </c>
      <c r="Q142" s="73">
        <v>19906.84924</v>
      </c>
      <c r="R142" s="78">
        <v>6763.3121199999996</v>
      </c>
      <c r="S142" s="78">
        <v>13143.537119999999</v>
      </c>
      <c r="T142" s="47"/>
      <c r="U142" s="57">
        <v>0</v>
      </c>
      <c r="V142" s="57">
        <v>0</v>
      </c>
      <c r="W142" s="57"/>
      <c r="X142" s="57"/>
      <c r="Y142" s="57">
        <v>1062.83158</v>
      </c>
      <c r="Z142" s="57">
        <v>849.07025999999996</v>
      </c>
      <c r="AA142" s="57">
        <v>1911.90184</v>
      </c>
      <c r="AB142" s="45"/>
      <c r="AC142" s="57">
        <v>0</v>
      </c>
      <c r="AD142" s="78">
        <v>0</v>
      </c>
      <c r="AE142" s="78">
        <v>0</v>
      </c>
      <c r="AF142" s="82">
        <v>1246.2605100000001</v>
      </c>
      <c r="AG142" s="78">
        <v>0</v>
      </c>
      <c r="AH142" s="78">
        <v>1246.2605100000001</v>
      </c>
      <c r="AI142" s="82">
        <v>0</v>
      </c>
      <c r="AJ142" s="82">
        <v>2132.1904800000002</v>
      </c>
      <c r="AK142" s="78">
        <v>0</v>
      </c>
      <c r="AL142" s="78">
        <v>2132.1904800000002</v>
      </c>
      <c r="AM142" s="82">
        <v>0</v>
      </c>
      <c r="AN142" s="78">
        <v>0</v>
      </c>
      <c r="AO142" s="79">
        <v>0</v>
      </c>
      <c r="AP142" s="82">
        <v>0</v>
      </c>
      <c r="AQ142" s="78">
        <v>0</v>
      </c>
      <c r="AR142" s="52">
        <v>0</v>
      </c>
      <c r="AS142" s="48"/>
      <c r="AT142" s="78"/>
      <c r="AU142" s="52">
        <v>0</v>
      </c>
      <c r="AV142" s="48">
        <v>0</v>
      </c>
      <c r="AW142" s="52">
        <v>0</v>
      </c>
      <c r="AX142" s="52">
        <v>0</v>
      </c>
      <c r="AY142" s="87">
        <v>3378.4509900000003</v>
      </c>
      <c r="AZ142" s="52">
        <v>0</v>
      </c>
      <c r="BA142" s="52">
        <v>3378.4509900000003</v>
      </c>
      <c r="BB142" s="48"/>
      <c r="BC142" s="57">
        <v>0</v>
      </c>
      <c r="BD142" s="57">
        <v>0</v>
      </c>
      <c r="BE142" s="57">
        <v>2670.7048799999998</v>
      </c>
      <c r="BF142" s="57">
        <v>0</v>
      </c>
      <c r="BG142" s="57">
        <v>2670.7048799999998</v>
      </c>
      <c r="BH142" s="46"/>
      <c r="BI142" s="57">
        <v>0</v>
      </c>
      <c r="BJ142" s="57">
        <v>0</v>
      </c>
      <c r="BK142" s="57"/>
      <c r="BL142" s="57"/>
      <c r="BM142" s="57">
        <v>0</v>
      </c>
      <c r="BN142" s="57"/>
      <c r="BO142" s="57">
        <v>0</v>
      </c>
      <c r="BP142" s="46"/>
      <c r="BQ142" s="87">
        <v>27867.906950000001</v>
      </c>
      <c r="BR142" s="52">
        <v>11345.918839999998</v>
      </c>
      <c r="BS142" s="52">
        <v>16521.988109999998</v>
      </c>
    </row>
    <row r="143" spans="1:71" ht="12" customHeight="1" x14ac:dyDescent="0.2">
      <c r="A143" s="55">
        <v>2014</v>
      </c>
      <c r="B143" s="55" t="s">
        <v>9</v>
      </c>
      <c r="C143" s="82">
        <v>0</v>
      </c>
      <c r="D143" s="82">
        <v>16667.125019999999</v>
      </c>
      <c r="E143" s="78">
        <v>4350.6240499999994</v>
      </c>
      <c r="F143" s="78">
        <v>12316.500969999999</v>
      </c>
      <c r="G143" s="82">
        <v>0</v>
      </c>
      <c r="H143" s="82"/>
      <c r="I143" s="82">
        <v>0</v>
      </c>
      <c r="J143" s="82">
        <v>0</v>
      </c>
      <c r="K143" s="82">
        <v>0</v>
      </c>
      <c r="L143" s="82"/>
      <c r="M143" s="82"/>
      <c r="N143" s="82">
        <v>2914.3631500000001</v>
      </c>
      <c r="O143" s="78">
        <v>2914.3631500000001</v>
      </c>
      <c r="P143" s="78">
        <v>0</v>
      </c>
      <c r="Q143" s="73">
        <v>19581.488169999997</v>
      </c>
      <c r="R143" s="78">
        <v>7264.9871999999996</v>
      </c>
      <c r="S143" s="78">
        <v>12316.500969999999</v>
      </c>
      <c r="T143" s="47"/>
      <c r="U143" s="57">
        <v>0</v>
      </c>
      <c r="V143" s="57">
        <v>0</v>
      </c>
      <c r="W143" s="57"/>
      <c r="X143" s="57"/>
      <c r="Y143" s="57">
        <v>0</v>
      </c>
      <c r="Z143" s="57">
        <v>2541.36375</v>
      </c>
      <c r="AA143" s="57">
        <v>2541.36375</v>
      </c>
      <c r="AB143" s="45"/>
      <c r="AC143" s="57">
        <v>0</v>
      </c>
      <c r="AD143" s="78">
        <v>0</v>
      </c>
      <c r="AE143" s="78">
        <v>0</v>
      </c>
      <c r="AF143" s="82">
        <v>1404.45813</v>
      </c>
      <c r="AG143" s="78">
        <v>0</v>
      </c>
      <c r="AH143" s="78">
        <v>1404.45813</v>
      </c>
      <c r="AI143" s="82">
        <v>0</v>
      </c>
      <c r="AJ143" s="82">
        <v>4807.4967100000003</v>
      </c>
      <c r="AK143" s="78">
        <v>1965.1464699999999</v>
      </c>
      <c r="AL143" s="78">
        <v>2842.3502400000002</v>
      </c>
      <c r="AM143" s="82">
        <v>0</v>
      </c>
      <c r="AN143" s="78">
        <v>0</v>
      </c>
      <c r="AO143" s="79">
        <v>0</v>
      </c>
      <c r="AP143" s="82">
        <v>0</v>
      </c>
      <c r="AQ143" s="78">
        <v>0</v>
      </c>
      <c r="AR143" s="52">
        <v>0</v>
      </c>
      <c r="AS143" s="48"/>
      <c r="AT143" s="78"/>
      <c r="AU143" s="52">
        <v>0</v>
      </c>
      <c r="AV143" s="48">
        <v>0</v>
      </c>
      <c r="AW143" s="52">
        <v>0</v>
      </c>
      <c r="AX143" s="52">
        <v>0</v>
      </c>
      <c r="AY143" s="87">
        <v>6211.9548400000003</v>
      </c>
      <c r="AZ143" s="52">
        <v>1965.1464699999999</v>
      </c>
      <c r="BA143" s="52">
        <v>4246.8083700000007</v>
      </c>
      <c r="BB143" s="48"/>
      <c r="BC143" s="57">
        <v>0</v>
      </c>
      <c r="BD143" s="57">
        <v>0</v>
      </c>
      <c r="BE143" s="57">
        <v>2669.5612600000004</v>
      </c>
      <c r="BF143" s="57">
        <v>0</v>
      </c>
      <c r="BG143" s="57">
        <v>2669.5612600000004</v>
      </c>
      <c r="BH143" s="46"/>
      <c r="BI143" s="57">
        <v>0</v>
      </c>
      <c r="BJ143" s="57">
        <v>0</v>
      </c>
      <c r="BK143" s="57"/>
      <c r="BL143" s="57"/>
      <c r="BM143" s="57">
        <v>0</v>
      </c>
      <c r="BN143" s="57"/>
      <c r="BO143" s="57">
        <v>0</v>
      </c>
      <c r="BP143" s="46"/>
      <c r="BQ143" s="87">
        <v>31004.368020000002</v>
      </c>
      <c r="BR143" s="52">
        <v>14441.05868</v>
      </c>
      <c r="BS143" s="52">
        <v>16563.30934</v>
      </c>
    </row>
    <row r="144" spans="1:71" ht="12" customHeight="1" x14ac:dyDescent="0.2">
      <c r="A144" s="55">
        <v>2014</v>
      </c>
      <c r="B144" s="55" t="s">
        <v>10</v>
      </c>
      <c r="C144" s="82">
        <v>0</v>
      </c>
      <c r="D144" s="82">
        <v>13064.829589999999</v>
      </c>
      <c r="E144" s="78">
        <v>3056.3772299999996</v>
      </c>
      <c r="F144" s="78">
        <v>10008.452359999999</v>
      </c>
      <c r="G144" s="82">
        <v>0</v>
      </c>
      <c r="H144" s="82"/>
      <c r="I144" s="82">
        <v>0</v>
      </c>
      <c r="J144" s="82">
        <v>0</v>
      </c>
      <c r="K144" s="82">
        <v>0</v>
      </c>
      <c r="L144" s="82"/>
      <c r="M144" s="82"/>
      <c r="N144" s="82">
        <v>1661.8433399999999</v>
      </c>
      <c r="O144" s="78">
        <v>1661.8433399999999</v>
      </c>
      <c r="P144" s="78">
        <v>0</v>
      </c>
      <c r="Q144" s="73">
        <v>14726.672929999999</v>
      </c>
      <c r="R144" s="78">
        <v>4718.2205699999995</v>
      </c>
      <c r="S144" s="78">
        <v>10008.452359999999</v>
      </c>
      <c r="T144" s="47"/>
      <c r="U144" s="57">
        <v>0</v>
      </c>
      <c r="V144" s="57">
        <v>0</v>
      </c>
      <c r="W144" s="57"/>
      <c r="X144" s="57"/>
      <c r="Y144" s="57">
        <v>1063.0046599999998</v>
      </c>
      <c r="Z144" s="57">
        <v>2513.93037</v>
      </c>
      <c r="AA144" s="57">
        <v>3576.9350299999996</v>
      </c>
      <c r="AB144" s="45"/>
      <c r="AC144" s="57">
        <v>0</v>
      </c>
      <c r="AD144" s="78">
        <v>0</v>
      </c>
      <c r="AE144" s="78">
        <v>0</v>
      </c>
      <c r="AF144" s="82">
        <v>1538.25918</v>
      </c>
      <c r="AG144" s="78">
        <v>0</v>
      </c>
      <c r="AH144" s="78">
        <v>1538.25918</v>
      </c>
      <c r="AI144" s="82">
        <v>0</v>
      </c>
      <c r="AJ144" s="82">
        <v>4601.9502200000006</v>
      </c>
      <c r="AK144" s="78">
        <v>1707.0819799999999</v>
      </c>
      <c r="AL144" s="78">
        <v>2894.8682400000002</v>
      </c>
      <c r="AM144" s="82">
        <v>842.29656999999997</v>
      </c>
      <c r="AN144" s="78">
        <v>842.29656999999997</v>
      </c>
      <c r="AO144" s="79">
        <v>0</v>
      </c>
      <c r="AP144" s="82">
        <v>0</v>
      </c>
      <c r="AQ144" s="78">
        <v>0</v>
      </c>
      <c r="AR144" s="52">
        <v>0</v>
      </c>
      <c r="AS144" s="48"/>
      <c r="AT144" s="78"/>
      <c r="AU144" s="52">
        <v>0</v>
      </c>
      <c r="AV144" s="48">
        <v>0</v>
      </c>
      <c r="AW144" s="52">
        <v>0</v>
      </c>
      <c r="AX144" s="52">
        <v>0</v>
      </c>
      <c r="AY144" s="87">
        <v>6982.5059700000002</v>
      </c>
      <c r="AZ144" s="52">
        <v>2549.3785499999999</v>
      </c>
      <c r="BA144" s="52">
        <v>4433.1274200000007</v>
      </c>
      <c r="BB144" s="48"/>
      <c r="BC144" s="57">
        <v>0</v>
      </c>
      <c r="BD144" s="57">
        <v>0</v>
      </c>
      <c r="BE144" s="57">
        <v>2959.0977900000003</v>
      </c>
      <c r="BF144" s="57">
        <v>0</v>
      </c>
      <c r="BG144" s="57">
        <v>2959.0977900000003</v>
      </c>
      <c r="BH144" s="46"/>
      <c r="BI144" s="57">
        <v>0</v>
      </c>
      <c r="BJ144" s="57">
        <v>0</v>
      </c>
      <c r="BK144" s="57"/>
      <c r="BL144" s="57"/>
      <c r="BM144" s="57">
        <v>0</v>
      </c>
      <c r="BN144" s="57"/>
      <c r="BO144" s="57">
        <v>0</v>
      </c>
      <c r="BP144" s="46"/>
      <c r="BQ144" s="87">
        <v>28245.211719999999</v>
      </c>
      <c r="BR144" s="52">
        <v>13803.631939999997</v>
      </c>
      <c r="BS144" s="52">
        <v>14441.57978</v>
      </c>
    </row>
    <row r="145" spans="1:71" ht="12" customHeight="1" x14ac:dyDescent="0.2">
      <c r="A145" s="55">
        <v>2014</v>
      </c>
      <c r="B145" s="55" t="s">
        <v>11</v>
      </c>
      <c r="C145" s="82">
        <v>0</v>
      </c>
      <c r="D145" s="82">
        <v>17588.723959999996</v>
      </c>
      <c r="E145" s="78">
        <v>4974.9654099999989</v>
      </c>
      <c r="F145" s="78">
        <v>12613.758549999999</v>
      </c>
      <c r="G145" s="82">
        <v>0</v>
      </c>
      <c r="H145" s="82"/>
      <c r="I145" s="82">
        <v>0</v>
      </c>
      <c r="J145" s="82">
        <v>0</v>
      </c>
      <c r="K145" s="82">
        <v>0</v>
      </c>
      <c r="L145" s="82"/>
      <c r="M145" s="82"/>
      <c r="N145" s="82">
        <v>2745.8040499999997</v>
      </c>
      <c r="O145" s="78">
        <v>2745.8040499999997</v>
      </c>
      <c r="P145" s="78">
        <v>0</v>
      </c>
      <c r="Q145" s="73">
        <v>20334.528009999998</v>
      </c>
      <c r="R145" s="78">
        <v>7720.7694599999986</v>
      </c>
      <c r="S145" s="78">
        <v>12613.758549999999</v>
      </c>
      <c r="T145" s="47"/>
      <c r="U145" s="57">
        <v>0</v>
      </c>
      <c r="V145" s="57">
        <v>0</v>
      </c>
      <c r="W145" s="57"/>
      <c r="X145" s="57"/>
      <c r="Y145" s="57">
        <v>858.68250999999998</v>
      </c>
      <c r="Z145" s="57">
        <v>2735.5212000000001</v>
      </c>
      <c r="AA145" s="57">
        <v>3594.2037100000002</v>
      </c>
      <c r="AB145" s="45"/>
      <c r="AC145" s="57">
        <v>0</v>
      </c>
      <c r="AD145" s="78">
        <v>0</v>
      </c>
      <c r="AE145" s="78">
        <v>0</v>
      </c>
      <c r="AF145" s="82">
        <v>1538.6717700000002</v>
      </c>
      <c r="AG145" s="78">
        <v>0</v>
      </c>
      <c r="AH145" s="78">
        <v>1538.6717700000002</v>
      </c>
      <c r="AI145" s="82">
        <v>0</v>
      </c>
      <c r="AJ145" s="82">
        <v>4466.8889399999998</v>
      </c>
      <c r="AK145" s="78">
        <v>1855.8299299999999</v>
      </c>
      <c r="AL145" s="78">
        <v>2611.0590099999999</v>
      </c>
      <c r="AM145" s="82">
        <v>0</v>
      </c>
      <c r="AN145" s="78">
        <v>0</v>
      </c>
      <c r="AO145" s="79">
        <v>0</v>
      </c>
      <c r="AP145" s="82">
        <v>0</v>
      </c>
      <c r="AQ145" s="78">
        <v>0</v>
      </c>
      <c r="AR145" s="52">
        <v>0</v>
      </c>
      <c r="AS145" s="48"/>
      <c r="AT145" s="78"/>
      <c r="AU145" s="52">
        <v>0</v>
      </c>
      <c r="AV145" s="48">
        <v>0</v>
      </c>
      <c r="AW145" s="52">
        <v>0</v>
      </c>
      <c r="AX145" s="52">
        <v>0</v>
      </c>
      <c r="AY145" s="87">
        <v>6005.5607099999997</v>
      </c>
      <c r="AZ145" s="52">
        <v>1855.8299299999999</v>
      </c>
      <c r="BA145" s="52">
        <v>4149.7307799999999</v>
      </c>
      <c r="BB145" s="48"/>
      <c r="BC145" s="57">
        <v>0</v>
      </c>
      <c r="BD145" s="57">
        <v>0</v>
      </c>
      <c r="BE145" s="57">
        <v>2427.10583</v>
      </c>
      <c r="BF145" s="57">
        <v>0</v>
      </c>
      <c r="BG145" s="57">
        <v>2427.10583</v>
      </c>
      <c r="BH145" s="46"/>
      <c r="BI145" s="57">
        <v>0</v>
      </c>
      <c r="BJ145" s="57">
        <v>0</v>
      </c>
      <c r="BK145" s="57"/>
      <c r="BL145" s="57"/>
      <c r="BM145" s="57">
        <v>0</v>
      </c>
      <c r="BN145" s="57"/>
      <c r="BO145" s="57">
        <v>0</v>
      </c>
      <c r="BP145" s="46"/>
      <c r="BQ145" s="87">
        <v>32361.398260000002</v>
      </c>
      <c r="BR145" s="52">
        <v>15597.90893</v>
      </c>
      <c r="BS145" s="52">
        <v>16763.489329999997</v>
      </c>
    </row>
    <row r="146" spans="1:71" ht="12" customHeight="1" x14ac:dyDescent="0.2">
      <c r="A146" s="55">
        <v>2014</v>
      </c>
      <c r="B146" s="55" t="s">
        <v>12</v>
      </c>
      <c r="C146" s="82">
        <v>0</v>
      </c>
      <c r="D146" s="82">
        <v>20363.790210000003</v>
      </c>
      <c r="E146" s="78">
        <v>6567.5689000000011</v>
      </c>
      <c r="F146" s="78">
        <v>13796.221310000001</v>
      </c>
      <c r="G146" s="82">
        <v>0</v>
      </c>
      <c r="H146" s="82"/>
      <c r="I146" s="82">
        <v>0</v>
      </c>
      <c r="J146" s="82">
        <v>0</v>
      </c>
      <c r="K146" s="82">
        <v>0</v>
      </c>
      <c r="L146" s="82"/>
      <c r="M146" s="82"/>
      <c r="N146" s="82">
        <v>4418.6220399999993</v>
      </c>
      <c r="O146" s="78">
        <v>4418.6220399999993</v>
      </c>
      <c r="P146" s="78">
        <v>0</v>
      </c>
      <c r="Q146" s="73">
        <v>24782.412250000001</v>
      </c>
      <c r="R146" s="78">
        <v>10986.19094</v>
      </c>
      <c r="S146" s="78">
        <v>13796.221310000001</v>
      </c>
      <c r="T146" s="47"/>
      <c r="U146" s="57">
        <v>0</v>
      </c>
      <c r="V146" s="57">
        <v>0</v>
      </c>
      <c r="W146" s="57"/>
      <c r="X146" s="57"/>
      <c r="Y146" s="57">
        <v>0</v>
      </c>
      <c r="Z146" s="57">
        <v>1752.8311999999999</v>
      </c>
      <c r="AA146" s="57">
        <v>1752.8311999999999</v>
      </c>
      <c r="AB146" s="45"/>
      <c r="AC146" s="57">
        <v>0</v>
      </c>
      <c r="AD146" s="78">
        <v>0</v>
      </c>
      <c r="AE146" s="78">
        <v>0</v>
      </c>
      <c r="AF146" s="82">
        <v>1423.8910599999997</v>
      </c>
      <c r="AG146" s="78">
        <v>1.3025899999999999</v>
      </c>
      <c r="AH146" s="78">
        <v>1422.5884699999997</v>
      </c>
      <c r="AI146" s="82">
        <v>0</v>
      </c>
      <c r="AJ146" s="82">
        <v>4001.0574999999999</v>
      </c>
      <c r="AK146" s="78">
        <v>901.38406000000009</v>
      </c>
      <c r="AL146" s="78">
        <v>3099.67344</v>
      </c>
      <c r="AM146" s="82">
        <v>0</v>
      </c>
      <c r="AN146" s="78">
        <v>0</v>
      </c>
      <c r="AO146" s="79">
        <v>0</v>
      </c>
      <c r="AP146" s="82">
        <v>0</v>
      </c>
      <c r="AQ146" s="78">
        <v>0</v>
      </c>
      <c r="AR146" s="52">
        <v>0</v>
      </c>
      <c r="AS146" s="48"/>
      <c r="AT146" s="78"/>
      <c r="AU146" s="52">
        <v>0</v>
      </c>
      <c r="AV146" s="48">
        <v>0</v>
      </c>
      <c r="AW146" s="52">
        <v>0</v>
      </c>
      <c r="AX146" s="52">
        <v>0</v>
      </c>
      <c r="AY146" s="87">
        <v>5424.9485599999989</v>
      </c>
      <c r="AZ146" s="52">
        <v>902.6866500000001</v>
      </c>
      <c r="BA146" s="52">
        <v>4522.2619099999993</v>
      </c>
      <c r="BB146" s="48"/>
      <c r="BC146" s="57">
        <v>0</v>
      </c>
      <c r="BD146" s="57">
        <v>0</v>
      </c>
      <c r="BE146" s="57">
        <v>4087.89986</v>
      </c>
      <c r="BF146" s="57">
        <v>0</v>
      </c>
      <c r="BG146" s="57">
        <v>4087.89986</v>
      </c>
      <c r="BH146" s="46"/>
      <c r="BI146" s="57">
        <v>0</v>
      </c>
      <c r="BJ146" s="57">
        <v>0</v>
      </c>
      <c r="BK146" s="57"/>
      <c r="BL146" s="57"/>
      <c r="BM146" s="57">
        <v>0</v>
      </c>
      <c r="BN146" s="57"/>
      <c r="BO146" s="57">
        <v>0</v>
      </c>
      <c r="BP146" s="46"/>
      <c r="BQ146" s="87">
        <v>36048.091869999997</v>
      </c>
      <c r="BR146" s="52">
        <v>17729.608650000002</v>
      </c>
      <c r="BS146" s="52">
        <v>18318.483220000002</v>
      </c>
    </row>
    <row r="147" spans="1:71" ht="12" customHeight="1" x14ac:dyDescent="0.2">
      <c r="A147" s="55">
        <v>2014</v>
      </c>
      <c r="B147" s="55" t="s">
        <v>13</v>
      </c>
      <c r="C147" s="82">
        <v>0</v>
      </c>
      <c r="D147" s="82">
        <v>15614.496839999998</v>
      </c>
      <c r="E147" s="78">
        <v>2074.5306600000004</v>
      </c>
      <c r="F147" s="78">
        <v>13539.966179999998</v>
      </c>
      <c r="G147" s="82">
        <v>0</v>
      </c>
      <c r="H147" s="82"/>
      <c r="I147" s="82">
        <v>0</v>
      </c>
      <c r="J147" s="82">
        <v>0</v>
      </c>
      <c r="K147" s="82">
        <v>0</v>
      </c>
      <c r="L147" s="82"/>
      <c r="M147" s="82"/>
      <c r="N147" s="82">
        <v>3866.0071799999996</v>
      </c>
      <c r="O147" s="78">
        <v>3866.0071799999996</v>
      </c>
      <c r="P147" s="78">
        <v>0</v>
      </c>
      <c r="Q147" s="73">
        <v>19480.504019999997</v>
      </c>
      <c r="R147" s="78">
        <v>5940.53784</v>
      </c>
      <c r="S147" s="78">
        <v>13539.966179999998</v>
      </c>
      <c r="T147" s="47"/>
      <c r="U147" s="57">
        <v>0</v>
      </c>
      <c r="V147" s="57">
        <v>0</v>
      </c>
      <c r="W147" s="57"/>
      <c r="X147" s="57"/>
      <c r="Y147" s="57">
        <v>1702.1259</v>
      </c>
      <c r="Z147" s="57">
        <v>1709.3315400000001</v>
      </c>
      <c r="AA147" s="57">
        <v>3411.4574400000001</v>
      </c>
      <c r="AB147" s="45"/>
      <c r="AC147" s="57">
        <v>0</v>
      </c>
      <c r="AD147" s="78">
        <v>0</v>
      </c>
      <c r="AE147" s="78">
        <v>0</v>
      </c>
      <c r="AF147" s="82">
        <v>1364.0833400000004</v>
      </c>
      <c r="AG147" s="78">
        <v>0</v>
      </c>
      <c r="AH147" s="78">
        <v>1364.0833400000004</v>
      </c>
      <c r="AI147" s="82">
        <v>0</v>
      </c>
      <c r="AJ147" s="82">
        <v>5145.0313000000006</v>
      </c>
      <c r="AK147" s="78">
        <v>1924.38706</v>
      </c>
      <c r="AL147" s="78">
        <v>3220.6442400000001</v>
      </c>
      <c r="AM147" s="82">
        <v>0</v>
      </c>
      <c r="AN147" s="78">
        <v>0</v>
      </c>
      <c r="AO147" s="79">
        <v>0</v>
      </c>
      <c r="AP147" s="82">
        <v>0</v>
      </c>
      <c r="AQ147" s="78">
        <v>0</v>
      </c>
      <c r="AR147" s="52">
        <v>0</v>
      </c>
      <c r="AS147" s="48"/>
      <c r="AT147" s="78"/>
      <c r="AU147" s="52">
        <v>0</v>
      </c>
      <c r="AV147" s="48">
        <v>0</v>
      </c>
      <c r="AW147" s="52">
        <v>0</v>
      </c>
      <c r="AX147" s="52">
        <v>0</v>
      </c>
      <c r="AY147" s="87">
        <v>6509.1146400000007</v>
      </c>
      <c r="AZ147" s="52">
        <v>1924.38706</v>
      </c>
      <c r="BA147" s="52">
        <v>4584.7275800000007</v>
      </c>
      <c r="BB147" s="48"/>
      <c r="BC147" s="57">
        <v>0</v>
      </c>
      <c r="BD147" s="57">
        <v>967.36575000000005</v>
      </c>
      <c r="BE147" s="57">
        <v>2647.1121200000002</v>
      </c>
      <c r="BF147" s="57">
        <v>0</v>
      </c>
      <c r="BG147" s="57">
        <v>3614.4778700000002</v>
      </c>
      <c r="BH147" s="46"/>
      <c r="BI147" s="57">
        <v>0</v>
      </c>
      <c r="BJ147" s="57">
        <v>0</v>
      </c>
      <c r="BK147" s="57"/>
      <c r="BL147" s="57"/>
      <c r="BM147" s="57">
        <v>0</v>
      </c>
      <c r="BN147" s="57"/>
      <c r="BO147" s="57">
        <v>0</v>
      </c>
      <c r="BP147" s="46"/>
      <c r="BQ147" s="87">
        <v>33015.553970000001</v>
      </c>
      <c r="BR147" s="52">
        <v>14890.860210000001</v>
      </c>
      <c r="BS147" s="52">
        <v>18124.693759999998</v>
      </c>
    </row>
    <row r="148" spans="1:71" ht="12" customHeight="1" x14ac:dyDescent="0.2">
      <c r="A148" s="55">
        <v>2014</v>
      </c>
      <c r="B148" s="55" t="s">
        <v>14</v>
      </c>
      <c r="C148" s="82">
        <v>0</v>
      </c>
      <c r="D148" s="82">
        <v>15450.899140000001</v>
      </c>
      <c r="E148" s="78">
        <v>3918.35617</v>
      </c>
      <c r="F148" s="78">
        <v>11532.54297</v>
      </c>
      <c r="G148" s="82">
        <v>0</v>
      </c>
      <c r="H148" s="82"/>
      <c r="I148" s="82">
        <v>0</v>
      </c>
      <c r="J148" s="82">
        <v>0</v>
      </c>
      <c r="K148" s="82">
        <v>0</v>
      </c>
      <c r="L148" s="82"/>
      <c r="M148" s="82"/>
      <c r="N148" s="82">
        <v>2834.4144299999998</v>
      </c>
      <c r="O148" s="78">
        <v>2834.4144299999998</v>
      </c>
      <c r="P148" s="78">
        <v>0</v>
      </c>
      <c r="Q148" s="73">
        <v>18285.313569999998</v>
      </c>
      <c r="R148" s="78">
        <v>6752.7705999999998</v>
      </c>
      <c r="S148" s="78">
        <v>11532.54297</v>
      </c>
      <c r="T148" s="47"/>
      <c r="U148" s="57">
        <v>0</v>
      </c>
      <c r="V148" s="57">
        <v>0</v>
      </c>
      <c r="W148" s="57"/>
      <c r="X148" s="57"/>
      <c r="Y148" s="57">
        <v>1734.1521699999998</v>
      </c>
      <c r="Z148" s="57">
        <v>1696.33053</v>
      </c>
      <c r="AA148" s="57">
        <v>3430.4826999999996</v>
      </c>
      <c r="AB148" s="45"/>
      <c r="AC148" s="57">
        <v>0</v>
      </c>
      <c r="AD148" s="78">
        <v>0</v>
      </c>
      <c r="AE148" s="78">
        <v>0</v>
      </c>
      <c r="AF148" s="82">
        <v>1353.6197899999995</v>
      </c>
      <c r="AG148" s="78">
        <v>0</v>
      </c>
      <c r="AH148" s="78">
        <v>1353.6197899999995</v>
      </c>
      <c r="AI148" s="82">
        <v>0</v>
      </c>
      <c r="AJ148" s="82">
        <v>3431.9791700000001</v>
      </c>
      <c r="AK148" s="78">
        <v>0</v>
      </c>
      <c r="AL148" s="78">
        <v>3431.9791700000001</v>
      </c>
      <c r="AM148" s="82">
        <v>0</v>
      </c>
      <c r="AN148" s="78">
        <v>0</v>
      </c>
      <c r="AO148" s="79">
        <v>0</v>
      </c>
      <c r="AP148" s="82">
        <v>0</v>
      </c>
      <c r="AQ148" s="78">
        <v>0</v>
      </c>
      <c r="AR148" s="52">
        <v>0</v>
      </c>
      <c r="AS148" s="48"/>
      <c r="AT148" s="78"/>
      <c r="AU148" s="52">
        <v>0</v>
      </c>
      <c r="AV148" s="48">
        <v>0</v>
      </c>
      <c r="AW148" s="52">
        <v>0</v>
      </c>
      <c r="AX148" s="52">
        <v>0</v>
      </c>
      <c r="AY148" s="87">
        <v>4785.5989599999994</v>
      </c>
      <c r="AZ148" s="52">
        <v>0</v>
      </c>
      <c r="BA148" s="52">
        <v>4785.5989599999994</v>
      </c>
      <c r="BB148" s="48"/>
      <c r="BC148" s="57">
        <v>0</v>
      </c>
      <c r="BD148" s="57">
        <v>865.38320999999996</v>
      </c>
      <c r="BE148" s="57">
        <v>2675.5026200000002</v>
      </c>
      <c r="BF148" s="57">
        <v>0</v>
      </c>
      <c r="BG148" s="57">
        <v>3540.8858300000002</v>
      </c>
      <c r="BH148" s="46"/>
      <c r="BI148" s="57">
        <v>0</v>
      </c>
      <c r="BJ148" s="57">
        <v>0</v>
      </c>
      <c r="BK148" s="57"/>
      <c r="BL148" s="57"/>
      <c r="BM148" s="57">
        <v>0</v>
      </c>
      <c r="BN148" s="57"/>
      <c r="BO148" s="57">
        <v>0</v>
      </c>
      <c r="BP148" s="46"/>
      <c r="BQ148" s="87">
        <v>30042.281059999998</v>
      </c>
      <c r="BR148" s="52">
        <v>13724.13913</v>
      </c>
      <c r="BS148" s="52">
        <v>16318.14193</v>
      </c>
    </row>
    <row r="149" spans="1:71" ht="12" customHeight="1" x14ac:dyDescent="0.2">
      <c r="A149" s="55">
        <v>2014</v>
      </c>
      <c r="B149" s="55" t="s">
        <v>15</v>
      </c>
      <c r="C149" s="82">
        <v>0</v>
      </c>
      <c r="D149" s="82">
        <v>211869.15519000002</v>
      </c>
      <c r="E149" s="78">
        <v>57313.00198999999</v>
      </c>
      <c r="F149" s="78">
        <v>154556.15319999997</v>
      </c>
      <c r="G149" s="82">
        <v>0</v>
      </c>
      <c r="H149" s="82"/>
      <c r="I149" s="82">
        <v>0</v>
      </c>
      <c r="J149" s="82">
        <v>0</v>
      </c>
      <c r="K149" s="82">
        <v>0</v>
      </c>
      <c r="L149" s="82"/>
      <c r="M149" s="82"/>
      <c r="N149" s="82">
        <v>32574.365439999998</v>
      </c>
      <c r="O149" s="78">
        <v>32574.365439999998</v>
      </c>
      <c r="P149" s="78">
        <v>0</v>
      </c>
      <c r="Q149" s="73">
        <v>244443.52062999998</v>
      </c>
      <c r="R149" s="78">
        <v>89887.367430000013</v>
      </c>
      <c r="S149" s="78">
        <v>154556.15319999997</v>
      </c>
      <c r="T149" s="47"/>
      <c r="U149" s="57">
        <v>0</v>
      </c>
      <c r="V149" s="57">
        <v>0</v>
      </c>
      <c r="W149" s="57"/>
      <c r="X149" s="57"/>
      <c r="Y149" s="57">
        <v>13971.482290000002</v>
      </c>
      <c r="Z149" s="57">
        <v>22557.362829999998</v>
      </c>
      <c r="AA149" s="57">
        <v>36528.845119999998</v>
      </c>
      <c r="AB149" s="45"/>
      <c r="AC149" s="57">
        <v>1294.0657200000001</v>
      </c>
      <c r="AD149" s="78">
        <v>1294.0657200000001</v>
      </c>
      <c r="AE149" s="78">
        <v>0</v>
      </c>
      <c r="AF149" s="82">
        <v>16219.136270000003</v>
      </c>
      <c r="AG149" s="78">
        <v>1.3025899999999999</v>
      </c>
      <c r="AH149" s="78">
        <v>16217.833680000002</v>
      </c>
      <c r="AI149" s="82">
        <v>0</v>
      </c>
      <c r="AJ149" s="82">
        <v>47010.325000000004</v>
      </c>
      <c r="AK149" s="78">
        <v>14061.683280000001</v>
      </c>
      <c r="AL149" s="78">
        <v>32948.64172</v>
      </c>
      <c r="AM149" s="82">
        <v>1447.7953499999999</v>
      </c>
      <c r="AN149" s="78">
        <v>1447.7953499999999</v>
      </c>
      <c r="AO149" s="79">
        <v>0</v>
      </c>
      <c r="AP149" s="82">
        <v>157.34804</v>
      </c>
      <c r="AQ149" s="78">
        <v>0</v>
      </c>
      <c r="AR149" s="52">
        <v>157.34804</v>
      </c>
      <c r="AS149" s="48"/>
      <c r="AT149" s="78"/>
      <c r="AU149" s="52">
        <v>0</v>
      </c>
      <c r="AV149" s="48">
        <v>0</v>
      </c>
      <c r="AW149" s="52">
        <v>0</v>
      </c>
      <c r="AX149" s="52">
        <v>0</v>
      </c>
      <c r="AY149" s="87">
        <v>66128.670379999996</v>
      </c>
      <c r="AZ149" s="52">
        <v>16804.846939999999</v>
      </c>
      <c r="BA149" s="52">
        <v>49323.823440000007</v>
      </c>
      <c r="BB149" s="48"/>
      <c r="BC149" s="57">
        <v>0</v>
      </c>
      <c r="BD149" s="57">
        <v>1832.7489599999999</v>
      </c>
      <c r="BE149" s="57">
        <v>35039.339319999999</v>
      </c>
      <c r="BF149" s="57">
        <v>0</v>
      </c>
      <c r="BG149" s="57">
        <v>36872.088279999996</v>
      </c>
      <c r="BH149" s="46"/>
      <c r="BI149" s="57">
        <v>0</v>
      </c>
      <c r="BJ149" s="57">
        <v>0</v>
      </c>
      <c r="BK149" s="57"/>
      <c r="BL149" s="57"/>
      <c r="BM149" s="57">
        <v>0</v>
      </c>
      <c r="BN149" s="57"/>
      <c r="BO149" s="57">
        <v>0</v>
      </c>
      <c r="BP149" s="46"/>
      <c r="BQ149" s="87">
        <v>383973.12441000005</v>
      </c>
      <c r="BR149" s="52">
        <v>180093.14777000001</v>
      </c>
      <c r="BS149" s="52">
        <v>203879.97663999998</v>
      </c>
    </row>
    <row r="150" spans="1:71" x14ac:dyDescent="0.2">
      <c r="A150" s="55">
        <v>2015</v>
      </c>
      <c r="B150" s="55" t="s">
        <v>3</v>
      </c>
      <c r="C150" s="82">
        <v>0</v>
      </c>
      <c r="D150" s="82">
        <v>19891.21211</v>
      </c>
      <c r="E150" s="78">
        <v>3646.2974199999999</v>
      </c>
      <c r="F150" s="78">
        <v>16244.91469</v>
      </c>
      <c r="G150" s="82">
        <v>0</v>
      </c>
      <c r="H150" s="82"/>
      <c r="I150" s="82">
        <v>0</v>
      </c>
      <c r="J150" s="82">
        <v>0</v>
      </c>
      <c r="K150" s="82">
        <v>0</v>
      </c>
      <c r="L150" s="82"/>
      <c r="M150" s="82"/>
      <c r="N150" s="82">
        <v>2819.89912</v>
      </c>
      <c r="O150" s="78">
        <v>2819.89912</v>
      </c>
      <c r="P150" s="78">
        <v>0</v>
      </c>
      <c r="Q150" s="73">
        <v>22711.111229999999</v>
      </c>
      <c r="R150" s="78">
        <v>6466.1965399999999</v>
      </c>
      <c r="S150" s="78">
        <v>16244.91469</v>
      </c>
      <c r="T150" s="47"/>
      <c r="U150" s="57">
        <v>0</v>
      </c>
      <c r="V150" s="57">
        <v>0</v>
      </c>
      <c r="W150" s="57"/>
      <c r="X150" s="57"/>
      <c r="Y150" s="57">
        <v>1737.2751099999998</v>
      </c>
      <c r="Z150" s="57">
        <v>846.17938000000004</v>
      </c>
      <c r="AA150" s="57">
        <v>2583.4544900000001</v>
      </c>
      <c r="AB150" s="45"/>
      <c r="AC150" s="57">
        <v>0</v>
      </c>
      <c r="AD150" s="78">
        <v>0</v>
      </c>
      <c r="AE150" s="78">
        <v>0</v>
      </c>
      <c r="AF150" s="82">
        <v>1440.1838600000001</v>
      </c>
      <c r="AG150" s="78">
        <v>0</v>
      </c>
      <c r="AH150" s="78">
        <v>1440.1838600000001</v>
      </c>
      <c r="AI150" s="82">
        <v>0</v>
      </c>
      <c r="AJ150" s="82">
        <v>2707.8372199999999</v>
      </c>
      <c r="AK150" s="78">
        <v>0</v>
      </c>
      <c r="AL150" s="78">
        <v>2707.8372199999999</v>
      </c>
      <c r="AM150" s="82">
        <v>0</v>
      </c>
      <c r="AN150" s="78">
        <v>0</v>
      </c>
      <c r="AO150" s="79">
        <v>0</v>
      </c>
      <c r="AP150" s="82">
        <v>0</v>
      </c>
      <c r="AQ150" s="78">
        <v>0</v>
      </c>
      <c r="AR150" s="52">
        <v>0</v>
      </c>
      <c r="AS150" s="48"/>
      <c r="AT150" s="78"/>
      <c r="AU150" s="52">
        <v>0</v>
      </c>
      <c r="AV150" s="48">
        <v>0</v>
      </c>
      <c r="AW150" s="52">
        <v>0</v>
      </c>
      <c r="AX150" s="52">
        <v>0</v>
      </c>
      <c r="AY150" s="87">
        <v>4148.0210800000004</v>
      </c>
      <c r="AZ150" s="52">
        <v>0</v>
      </c>
      <c r="BA150" s="52">
        <v>4148.0210800000004</v>
      </c>
      <c r="BB150" s="48"/>
      <c r="BC150" s="57">
        <v>0</v>
      </c>
      <c r="BD150" s="57">
        <v>0</v>
      </c>
      <c r="BE150" s="57">
        <v>2661.30989</v>
      </c>
      <c r="BF150" s="57">
        <v>0</v>
      </c>
      <c r="BG150" s="57">
        <v>2661.30989</v>
      </c>
      <c r="BH150" s="46"/>
      <c r="BI150" s="57">
        <v>0</v>
      </c>
      <c r="BJ150" s="57">
        <v>0</v>
      </c>
      <c r="BK150" s="57"/>
      <c r="BL150" s="57"/>
      <c r="BM150" s="57">
        <v>0</v>
      </c>
      <c r="BN150" s="57"/>
      <c r="BO150" s="57">
        <v>0</v>
      </c>
      <c r="BP150" s="46"/>
      <c r="BQ150" s="87">
        <v>32103.896689999998</v>
      </c>
      <c r="BR150" s="52">
        <v>11710.960920000001</v>
      </c>
      <c r="BS150" s="52">
        <v>20392.93577</v>
      </c>
    </row>
    <row r="151" spans="1:71" x14ac:dyDescent="0.2">
      <c r="A151" s="55">
        <v>2015</v>
      </c>
      <c r="B151" s="55" t="s">
        <v>4</v>
      </c>
      <c r="C151" s="82">
        <v>0</v>
      </c>
      <c r="D151" s="82">
        <v>13020.883</v>
      </c>
      <c r="E151" s="78">
        <v>1894.5648200000001</v>
      </c>
      <c r="F151" s="78">
        <v>11126.31818</v>
      </c>
      <c r="G151" s="82">
        <v>0</v>
      </c>
      <c r="H151" s="82"/>
      <c r="I151" s="82">
        <v>0</v>
      </c>
      <c r="J151" s="82">
        <v>0</v>
      </c>
      <c r="K151" s="82">
        <v>0</v>
      </c>
      <c r="L151" s="82"/>
      <c r="M151" s="82"/>
      <c r="N151" s="82">
        <v>2033.6197999999999</v>
      </c>
      <c r="O151" s="78">
        <v>2033.6197999999999</v>
      </c>
      <c r="P151" s="78">
        <v>0</v>
      </c>
      <c r="Q151" s="73">
        <v>15054.5028</v>
      </c>
      <c r="R151" s="78">
        <v>3928.18462</v>
      </c>
      <c r="S151" s="78">
        <v>11126.31818</v>
      </c>
      <c r="T151" s="47"/>
      <c r="U151" s="57">
        <v>0</v>
      </c>
      <c r="V151" s="57">
        <v>0</v>
      </c>
      <c r="W151" s="57"/>
      <c r="X151" s="57"/>
      <c r="Y151" s="57">
        <v>859.78410999999994</v>
      </c>
      <c r="Z151" s="57">
        <v>1704.9504199999999</v>
      </c>
      <c r="AA151" s="57">
        <v>2564.7345299999997</v>
      </c>
      <c r="AB151" s="45"/>
      <c r="AC151" s="57">
        <v>0</v>
      </c>
      <c r="AD151" s="78">
        <v>0</v>
      </c>
      <c r="AE151" s="78">
        <v>0</v>
      </c>
      <c r="AF151" s="82">
        <v>1318.1168400000004</v>
      </c>
      <c r="AG151" s="78">
        <v>0</v>
      </c>
      <c r="AH151" s="78">
        <v>1318.1168400000004</v>
      </c>
      <c r="AI151" s="82">
        <v>0</v>
      </c>
      <c r="AJ151" s="82">
        <v>3889.53485</v>
      </c>
      <c r="AK151" s="78">
        <v>1466.66742</v>
      </c>
      <c r="AL151" s="78">
        <v>2422.8674299999998</v>
      </c>
      <c r="AM151" s="82">
        <v>0</v>
      </c>
      <c r="AN151" s="78">
        <v>0</v>
      </c>
      <c r="AO151" s="79">
        <v>0</v>
      </c>
      <c r="AP151" s="82">
        <v>0</v>
      </c>
      <c r="AQ151" s="78">
        <v>0</v>
      </c>
      <c r="AR151" s="52">
        <v>0</v>
      </c>
      <c r="AS151" s="48"/>
      <c r="AT151" s="78"/>
      <c r="AU151" s="52">
        <v>0</v>
      </c>
      <c r="AV151" s="48">
        <v>0</v>
      </c>
      <c r="AW151" s="52">
        <v>0</v>
      </c>
      <c r="AX151" s="52">
        <v>0</v>
      </c>
      <c r="AY151" s="87">
        <v>5207.6516899999997</v>
      </c>
      <c r="AZ151" s="52">
        <v>1466.66742</v>
      </c>
      <c r="BA151" s="52">
        <v>3740.9842699999999</v>
      </c>
      <c r="BB151" s="48"/>
      <c r="BC151" s="57">
        <v>0</v>
      </c>
      <c r="BD151" s="57">
        <v>963.51452000000006</v>
      </c>
      <c r="BE151" s="57">
        <v>3550.3961300000005</v>
      </c>
      <c r="BF151" s="57">
        <v>0</v>
      </c>
      <c r="BG151" s="57">
        <v>4513.9106500000007</v>
      </c>
      <c r="BH151" s="46"/>
      <c r="BI151" s="57">
        <v>0</v>
      </c>
      <c r="BJ151" s="57">
        <v>0</v>
      </c>
      <c r="BK151" s="57"/>
      <c r="BL151" s="57"/>
      <c r="BM151" s="57">
        <v>0</v>
      </c>
      <c r="BN151" s="57"/>
      <c r="BO151" s="57">
        <v>0</v>
      </c>
      <c r="BP151" s="46"/>
      <c r="BQ151" s="87">
        <v>27340.79967</v>
      </c>
      <c r="BR151" s="52">
        <v>12473.497220000001</v>
      </c>
      <c r="BS151" s="52">
        <v>14867.302449999999</v>
      </c>
    </row>
    <row r="152" spans="1:71" ht="12" customHeight="1" x14ac:dyDescent="0.2">
      <c r="A152" s="55">
        <v>2015</v>
      </c>
      <c r="B152" s="55" t="s">
        <v>5</v>
      </c>
      <c r="C152" s="82">
        <v>0</v>
      </c>
      <c r="D152" s="82">
        <v>12179.843980000001</v>
      </c>
      <c r="E152" s="78">
        <v>3077.3896400000003</v>
      </c>
      <c r="F152" s="78">
        <v>9102.4543400000002</v>
      </c>
      <c r="G152" s="82">
        <v>0</v>
      </c>
      <c r="H152" s="82"/>
      <c r="I152" s="82">
        <v>0</v>
      </c>
      <c r="J152" s="82">
        <v>0</v>
      </c>
      <c r="K152" s="82">
        <v>0</v>
      </c>
      <c r="L152" s="82"/>
      <c r="M152" s="82"/>
      <c r="N152" s="82">
        <v>3134.2080299999998</v>
      </c>
      <c r="O152" s="78">
        <v>3134.2080299999998</v>
      </c>
      <c r="P152" s="78">
        <v>0</v>
      </c>
      <c r="Q152" s="73">
        <v>15314.052009999999</v>
      </c>
      <c r="R152" s="78">
        <v>6211.5976700000001</v>
      </c>
      <c r="S152" s="78">
        <v>9102.4543400000002</v>
      </c>
      <c r="T152" s="47"/>
      <c r="U152" s="57">
        <v>0</v>
      </c>
      <c r="V152" s="57">
        <v>0</v>
      </c>
      <c r="W152" s="57"/>
      <c r="X152" s="57"/>
      <c r="Y152" s="57">
        <v>1890.5569100000002</v>
      </c>
      <c r="Z152" s="57">
        <v>835.2964300000001</v>
      </c>
      <c r="AA152" s="57">
        <v>2725.8533400000006</v>
      </c>
      <c r="AB152" s="45"/>
      <c r="AC152" s="57">
        <v>0</v>
      </c>
      <c r="AD152" s="78">
        <v>0</v>
      </c>
      <c r="AE152" s="78">
        <v>0</v>
      </c>
      <c r="AF152" s="82">
        <v>1160.3078700000001</v>
      </c>
      <c r="AG152" s="78">
        <v>0</v>
      </c>
      <c r="AH152" s="78">
        <v>1160.3078700000001</v>
      </c>
      <c r="AI152" s="82">
        <v>0</v>
      </c>
      <c r="AJ152" s="82">
        <v>3350.7078099999999</v>
      </c>
      <c r="AK152" s="78">
        <v>927.40305000000001</v>
      </c>
      <c r="AL152" s="78">
        <v>2423.30476</v>
      </c>
      <c r="AM152" s="82">
        <v>0</v>
      </c>
      <c r="AN152" s="78">
        <v>0</v>
      </c>
      <c r="AO152" s="79">
        <v>0</v>
      </c>
      <c r="AP152" s="82">
        <v>0</v>
      </c>
      <c r="AQ152" s="78">
        <v>0</v>
      </c>
      <c r="AR152" s="52">
        <v>0</v>
      </c>
      <c r="AS152" s="48"/>
      <c r="AT152" s="78"/>
      <c r="AU152" s="52">
        <v>0</v>
      </c>
      <c r="AV152" s="48">
        <v>0</v>
      </c>
      <c r="AW152" s="52">
        <v>0</v>
      </c>
      <c r="AX152" s="52">
        <v>0</v>
      </c>
      <c r="AY152" s="87">
        <v>4511.0156800000004</v>
      </c>
      <c r="AZ152" s="52">
        <v>927.40305000000001</v>
      </c>
      <c r="BA152" s="52">
        <v>3583.6126300000001</v>
      </c>
      <c r="BB152" s="48"/>
      <c r="BC152" s="57">
        <v>0</v>
      </c>
      <c r="BD152" s="57">
        <v>0</v>
      </c>
      <c r="BE152" s="57">
        <v>3563.6487700000002</v>
      </c>
      <c r="BF152" s="57">
        <v>0</v>
      </c>
      <c r="BG152" s="57">
        <v>3563.6487700000002</v>
      </c>
      <c r="BH152" s="46"/>
      <c r="BI152" s="57">
        <v>0</v>
      </c>
      <c r="BJ152" s="57">
        <v>0</v>
      </c>
      <c r="BK152" s="57"/>
      <c r="BL152" s="57"/>
      <c r="BM152" s="57">
        <v>0</v>
      </c>
      <c r="BN152" s="57"/>
      <c r="BO152" s="57">
        <v>0</v>
      </c>
      <c r="BP152" s="46"/>
      <c r="BQ152" s="87">
        <v>26114.569800000001</v>
      </c>
      <c r="BR152" s="52">
        <v>13428.502830000001</v>
      </c>
      <c r="BS152" s="52">
        <v>12686.06697</v>
      </c>
    </row>
    <row r="153" spans="1:71" ht="12" customHeight="1" x14ac:dyDescent="0.2">
      <c r="A153" s="55">
        <v>2015</v>
      </c>
      <c r="B153" s="55" t="s">
        <v>6</v>
      </c>
      <c r="C153" s="82">
        <v>0</v>
      </c>
      <c r="D153" s="82">
        <v>19693.885459999998</v>
      </c>
      <c r="E153" s="78">
        <v>3753.4599499999995</v>
      </c>
      <c r="F153" s="78">
        <v>15940.425509999999</v>
      </c>
      <c r="G153" s="82">
        <v>0</v>
      </c>
      <c r="H153" s="82"/>
      <c r="I153" s="82">
        <v>0</v>
      </c>
      <c r="J153" s="82">
        <v>0</v>
      </c>
      <c r="K153" s="82">
        <v>0</v>
      </c>
      <c r="L153" s="82"/>
      <c r="M153" s="82"/>
      <c r="N153" s="82">
        <v>2814.1374799999999</v>
      </c>
      <c r="O153" s="78">
        <v>2814.1374799999999</v>
      </c>
      <c r="P153" s="78">
        <v>0</v>
      </c>
      <c r="Q153" s="73">
        <v>22508.022939999999</v>
      </c>
      <c r="R153" s="78">
        <v>6567.5974299999998</v>
      </c>
      <c r="S153" s="78">
        <v>15940.425509999999</v>
      </c>
      <c r="T153" s="47"/>
      <c r="U153" s="57">
        <v>0</v>
      </c>
      <c r="V153" s="57">
        <v>0</v>
      </c>
      <c r="W153" s="57"/>
      <c r="X153" s="57"/>
      <c r="Y153" s="57">
        <v>881.69655</v>
      </c>
      <c r="Z153" s="57">
        <v>0</v>
      </c>
      <c r="AA153" s="57">
        <v>881.69655</v>
      </c>
      <c r="AB153" s="45"/>
      <c r="AC153" s="57">
        <v>0</v>
      </c>
      <c r="AD153" s="78">
        <v>0</v>
      </c>
      <c r="AE153" s="78">
        <v>0</v>
      </c>
      <c r="AF153" s="82">
        <v>587.36104</v>
      </c>
      <c r="AG153" s="78">
        <v>0</v>
      </c>
      <c r="AH153" s="78">
        <v>587.36104</v>
      </c>
      <c r="AI153" s="82">
        <v>0</v>
      </c>
      <c r="AJ153" s="82">
        <v>3424.11888</v>
      </c>
      <c r="AK153" s="78">
        <v>1720.5032000000001</v>
      </c>
      <c r="AL153" s="78">
        <v>1703.6156799999999</v>
      </c>
      <c r="AM153" s="82">
        <v>0</v>
      </c>
      <c r="AN153" s="78">
        <v>0</v>
      </c>
      <c r="AO153" s="79">
        <v>0</v>
      </c>
      <c r="AP153" s="82">
        <v>0</v>
      </c>
      <c r="AQ153" s="78">
        <v>0</v>
      </c>
      <c r="AR153" s="52">
        <v>0</v>
      </c>
      <c r="AS153" s="48"/>
      <c r="AT153" s="78"/>
      <c r="AU153" s="52">
        <v>0</v>
      </c>
      <c r="AV153" s="48">
        <v>0</v>
      </c>
      <c r="AW153" s="52">
        <v>0</v>
      </c>
      <c r="AX153" s="52">
        <v>0</v>
      </c>
      <c r="AY153" s="87">
        <v>4011.4799199999998</v>
      </c>
      <c r="AZ153" s="52">
        <v>1720.5032000000001</v>
      </c>
      <c r="BA153" s="52">
        <v>2290.9767199999997</v>
      </c>
      <c r="BB153" s="48"/>
      <c r="BC153" s="57">
        <v>0</v>
      </c>
      <c r="BD153" s="57">
        <v>0</v>
      </c>
      <c r="BE153" s="57">
        <v>2680.2737099999999</v>
      </c>
      <c r="BF153" s="57">
        <v>0</v>
      </c>
      <c r="BG153" s="57">
        <v>2680.2737099999999</v>
      </c>
      <c r="BH153" s="46"/>
      <c r="BI153" s="57">
        <v>0</v>
      </c>
      <c r="BJ153" s="57">
        <v>0</v>
      </c>
      <c r="BK153" s="57"/>
      <c r="BL153" s="57"/>
      <c r="BM153" s="57">
        <v>0</v>
      </c>
      <c r="BN153" s="57"/>
      <c r="BO153" s="57">
        <v>0</v>
      </c>
      <c r="BP153" s="46"/>
      <c r="BQ153" s="87">
        <v>30081.473120000002</v>
      </c>
      <c r="BR153" s="52">
        <v>11850.070889999999</v>
      </c>
      <c r="BS153" s="52">
        <v>18231.40223</v>
      </c>
    </row>
    <row r="154" spans="1:71" ht="12" customHeight="1" x14ac:dyDescent="0.2">
      <c r="A154" s="55">
        <v>2015</v>
      </c>
      <c r="B154" s="55" t="s">
        <v>7</v>
      </c>
      <c r="C154" s="82">
        <v>0</v>
      </c>
      <c r="D154" s="82">
        <v>18587.844580000004</v>
      </c>
      <c r="E154" s="78">
        <v>5257.1806300000007</v>
      </c>
      <c r="F154" s="78">
        <v>13330.663950000002</v>
      </c>
      <c r="G154" s="82">
        <v>0</v>
      </c>
      <c r="H154" s="82"/>
      <c r="I154" s="82">
        <v>0</v>
      </c>
      <c r="J154" s="82">
        <v>0</v>
      </c>
      <c r="K154" s="82">
        <v>0</v>
      </c>
      <c r="L154" s="82"/>
      <c r="M154" s="82"/>
      <c r="N154" s="82">
        <v>2787.32269</v>
      </c>
      <c r="O154" s="78">
        <v>2787.32269</v>
      </c>
      <c r="P154" s="78">
        <v>0</v>
      </c>
      <c r="Q154" s="73">
        <v>21375.167270000002</v>
      </c>
      <c r="R154" s="78">
        <v>8044.5033200000007</v>
      </c>
      <c r="S154" s="78">
        <v>13330.663950000002</v>
      </c>
      <c r="T154" s="47"/>
      <c r="U154" s="57">
        <v>0</v>
      </c>
      <c r="V154" s="57">
        <v>0</v>
      </c>
      <c r="W154" s="57"/>
      <c r="X154" s="57"/>
      <c r="Y154" s="57">
        <v>1699.2728599999998</v>
      </c>
      <c r="Z154" s="57">
        <v>850.69659000000001</v>
      </c>
      <c r="AA154" s="57">
        <v>2549.9694499999996</v>
      </c>
      <c r="AB154" s="45"/>
      <c r="AC154" s="57">
        <v>0</v>
      </c>
      <c r="AD154" s="78">
        <v>0</v>
      </c>
      <c r="AE154" s="78">
        <v>0</v>
      </c>
      <c r="AF154" s="82">
        <v>1048.6598299999998</v>
      </c>
      <c r="AG154" s="78">
        <v>0</v>
      </c>
      <c r="AH154" s="78">
        <v>1048.6598299999998</v>
      </c>
      <c r="AI154" s="82">
        <v>0</v>
      </c>
      <c r="AJ154" s="82">
        <v>2646.8175700000002</v>
      </c>
      <c r="AK154" s="78">
        <v>921.40142000000003</v>
      </c>
      <c r="AL154" s="78">
        <v>1725.41615</v>
      </c>
      <c r="AM154" s="82">
        <v>0</v>
      </c>
      <c r="AN154" s="78">
        <v>0</v>
      </c>
      <c r="AO154" s="79">
        <v>0</v>
      </c>
      <c r="AP154" s="82">
        <v>0</v>
      </c>
      <c r="AQ154" s="78">
        <v>0</v>
      </c>
      <c r="AR154" s="52">
        <v>0</v>
      </c>
      <c r="AS154" s="48"/>
      <c r="AT154" s="78"/>
      <c r="AU154" s="52">
        <v>0</v>
      </c>
      <c r="AV154" s="48">
        <v>0</v>
      </c>
      <c r="AW154" s="52">
        <v>0</v>
      </c>
      <c r="AX154" s="52">
        <v>0</v>
      </c>
      <c r="AY154" s="87">
        <v>3695.4773999999998</v>
      </c>
      <c r="AZ154" s="52">
        <v>921.40142000000003</v>
      </c>
      <c r="BA154" s="52">
        <v>2774.0759799999996</v>
      </c>
      <c r="BB154" s="48"/>
      <c r="BC154" s="57">
        <v>0</v>
      </c>
      <c r="BD154" s="57">
        <v>0</v>
      </c>
      <c r="BE154" s="57">
        <v>2756.2633700000001</v>
      </c>
      <c r="BF154" s="57">
        <v>0</v>
      </c>
      <c r="BG154" s="57">
        <v>2756.2633700000001</v>
      </c>
      <c r="BH154" s="46"/>
      <c r="BI154" s="57">
        <v>0</v>
      </c>
      <c r="BJ154" s="57">
        <v>0</v>
      </c>
      <c r="BK154" s="57"/>
      <c r="BL154" s="57"/>
      <c r="BM154" s="57">
        <v>0</v>
      </c>
      <c r="BN154" s="57"/>
      <c r="BO154" s="57">
        <v>0</v>
      </c>
      <c r="BP154" s="46"/>
      <c r="BQ154" s="87">
        <v>30376.877490000003</v>
      </c>
      <c r="BR154" s="52">
        <v>14272.137560000001</v>
      </c>
      <c r="BS154" s="52">
        <v>16104.739930000002</v>
      </c>
    </row>
    <row r="155" spans="1:71" ht="12" customHeight="1" x14ac:dyDescent="0.2">
      <c r="A155" s="55">
        <v>2015</v>
      </c>
      <c r="B155" s="55" t="s">
        <v>8</v>
      </c>
      <c r="C155" s="82">
        <v>0</v>
      </c>
      <c r="D155" s="82">
        <v>15969.0854</v>
      </c>
      <c r="E155" s="78">
        <v>3427.9886799999995</v>
      </c>
      <c r="F155" s="78">
        <v>12541.096720000001</v>
      </c>
      <c r="G155" s="82">
        <v>0</v>
      </c>
      <c r="H155" s="82"/>
      <c r="I155" s="82">
        <v>0</v>
      </c>
      <c r="J155" s="82">
        <v>0</v>
      </c>
      <c r="K155" s="82">
        <v>0</v>
      </c>
      <c r="L155" s="82"/>
      <c r="M155" s="82"/>
      <c r="N155" s="82">
        <v>3669.0001499999998</v>
      </c>
      <c r="O155" s="78">
        <v>3669.0001499999998</v>
      </c>
      <c r="P155" s="78">
        <v>0</v>
      </c>
      <c r="Q155" s="73">
        <v>19638.08555</v>
      </c>
      <c r="R155" s="78">
        <v>7096.9888299999993</v>
      </c>
      <c r="S155" s="78">
        <v>12541.096720000001</v>
      </c>
      <c r="T155" s="47"/>
      <c r="U155" s="57">
        <v>0</v>
      </c>
      <c r="V155" s="57">
        <v>0</v>
      </c>
      <c r="W155" s="57"/>
      <c r="X155" s="57"/>
      <c r="Y155" s="57">
        <v>0</v>
      </c>
      <c r="Z155" s="57">
        <v>2532.3712799999998</v>
      </c>
      <c r="AA155" s="57">
        <v>2532.3712799999998</v>
      </c>
      <c r="AB155" s="45"/>
      <c r="AC155" s="57">
        <v>0</v>
      </c>
      <c r="AD155" s="78">
        <v>0</v>
      </c>
      <c r="AE155" s="78">
        <v>0</v>
      </c>
      <c r="AF155" s="82">
        <v>973.11610000000007</v>
      </c>
      <c r="AG155" s="78">
        <v>0</v>
      </c>
      <c r="AH155" s="78">
        <v>973.11610000000007</v>
      </c>
      <c r="AI155" s="82">
        <v>0</v>
      </c>
      <c r="AJ155" s="82">
        <v>1238.08728</v>
      </c>
      <c r="AK155" s="78">
        <v>0</v>
      </c>
      <c r="AL155" s="78">
        <v>1238.08728</v>
      </c>
      <c r="AM155" s="82">
        <v>0</v>
      </c>
      <c r="AN155" s="78">
        <v>0</v>
      </c>
      <c r="AO155" s="79">
        <v>0</v>
      </c>
      <c r="AP155" s="82">
        <v>0</v>
      </c>
      <c r="AQ155" s="78">
        <v>0</v>
      </c>
      <c r="AR155" s="52">
        <v>0</v>
      </c>
      <c r="AS155" s="48"/>
      <c r="AT155" s="78"/>
      <c r="AU155" s="52">
        <v>0</v>
      </c>
      <c r="AV155" s="48">
        <v>0</v>
      </c>
      <c r="AW155" s="52">
        <v>0</v>
      </c>
      <c r="AX155" s="52">
        <v>0</v>
      </c>
      <c r="AY155" s="87">
        <v>2211.2033799999999</v>
      </c>
      <c r="AZ155" s="52">
        <v>0</v>
      </c>
      <c r="BA155" s="52">
        <v>2211.2033799999999</v>
      </c>
      <c r="BB155" s="48"/>
      <c r="BC155" s="57">
        <v>0</v>
      </c>
      <c r="BD155" s="57">
        <v>0</v>
      </c>
      <c r="BE155" s="57">
        <v>2682.4011600000003</v>
      </c>
      <c r="BF155" s="57">
        <v>0</v>
      </c>
      <c r="BG155" s="57">
        <v>2682.4011600000003</v>
      </c>
      <c r="BH155" s="46"/>
      <c r="BI155" s="57">
        <v>0</v>
      </c>
      <c r="BJ155" s="57">
        <v>0</v>
      </c>
      <c r="BK155" s="57"/>
      <c r="BL155" s="57"/>
      <c r="BM155" s="57">
        <v>0</v>
      </c>
      <c r="BN155" s="57"/>
      <c r="BO155" s="57">
        <v>0</v>
      </c>
      <c r="BP155" s="46"/>
      <c r="BQ155" s="87">
        <v>27064.061369999999</v>
      </c>
      <c r="BR155" s="52">
        <v>12311.761269999999</v>
      </c>
      <c r="BS155" s="52">
        <v>14752.3001</v>
      </c>
    </row>
    <row r="156" spans="1:71" ht="12" customHeight="1" x14ac:dyDescent="0.2">
      <c r="A156" s="55">
        <v>2015</v>
      </c>
      <c r="B156" s="55" t="s">
        <v>9</v>
      </c>
      <c r="C156" s="82">
        <v>0</v>
      </c>
      <c r="D156" s="82">
        <v>19906.04192</v>
      </c>
      <c r="E156" s="78">
        <v>3631.9776000000002</v>
      </c>
      <c r="F156" s="78">
        <v>16274.064319999999</v>
      </c>
      <c r="G156" s="82">
        <v>0</v>
      </c>
      <c r="H156" s="82"/>
      <c r="I156" s="82">
        <v>0</v>
      </c>
      <c r="J156" s="82">
        <v>0</v>
      </c>
      <c r="K156" s="82">
        <v>0</v>
      </c>
      <c r="L156" s="82"/>
      <c r="M156" s="82"/>
      <c r="N156" s="82">
        <v>3558.0359899999999</v>
      </c>
      <c r="O156" s="78">
        <v>3558.0359899999999</v>
      </c>
      <c r="P156" s="78">
        <v>0</v>
      </c>
      <c r="Q156" s="73">
        <v>23464.07791</v>
      </c>
      <c r="R156" s="78">
        <v>7190.0135900000005</v>
      </c>
      <c r="S156" s="78">
        <v>16274.064319999999</v>
      </c>
      <c r="T156" s="47"/>
      <c r="U156" s="57">
        <v>0</v>
      </c>
      <c r="V156" s="57">
        <v>0</v>
      </c>
      <c r="W156" s="57"/>
      <c r="X156" s="57"/>
      <c r="Y156" s="57">
        <v>1076.78972</v>
      </c>
      <c r="Z156" s="57">
        <v>848.90979000000004</v>
      </c>
      <c r="AA156" s="57">
        <v>1925.6995099999999</v>
      </c>
      <c r="AB156" s="45"/>
      <c r="AC156" s="57">
        <v>0</v>
      </c>
      <c r="AD156" s="78">
        <v>0</v>
      </c>
      <c r="AE156" s="78">
        <v>0</v>
      </c>
      <c r="AF156" s="82">
        <v>1247.3772200000005</v>
      </c>
      <c r="AG156" s="78">
        <v>0</v>
      </c>
      <c r="AH156" s="78">
        <v>1247.3772200000005</v>
      </c>
      <c r="AI156" s="82">
        <v>0</v>
      </c>
      <c r="AJ156" s="82">
        <v>2453.6515399999998</v>
      </c>
      <c r="AK156" s="78">
        <v>973.95110999999997</v>
      </c>
      <c r="AL156" s="78">
        <v>1479.7004299999999</v>
      </c>
      <c r="AM156" s="82">
        <v>0</v>
      </c>
      <c r="AN156" s="78">
        <v>0</v>
      </c>
      <c r="AO156" s="79">
        <v>0</v>
      </c>
      <c r="AP156" s="82">
        <v>0</v>
      </c>
      <c r="AQ156" s="78">
        <v>0</v>
      </c>
      <c r="AR156" s="52">
        <v>0</v>
      </c>
      <c r="AS156" s="48"/>
      <c r="AT156" s="78"/>
      <c r="AU156" s="52">
        <v>0</v>
      </c>
      <c r="AV156" s="48">
        <v>0</v>
      </c>
      <c r="AW156" s="52">
        <v>0</v>
      </c>
      <c r="AX156" s="52">
        <v>0</v>
      </c>
      <c r="AY156" s="87">
        <v>3701.0287600000001</v>
      </c>
      <c r="AZ156" s="52">
        <v>973.95110999999997</v>
      </c>
      <c r="BA156" s="52">
        <v>2727.0776500000002</v>
      </c>
      <c r="BB156" s="48"/>
      <c r="BC156" s="57">
        <v>0</v>
      </c>
      <c r="BD156" s="57">
        <v>0</v>
      </c>
      <c r="BE156" s="57">
        <v>2729.3287400000004</v>
      </c>
      <c r="BF156" s="57">
        <v>0</v>
      </c>
      <c r="BG156" s="57">
        <v>2729.3287400000004</v>
      </c>
      <c r="BH156" s="46"/>
      <c r="BI156" s="57">
        <v>0</v>
      </c>
      <c r="BJ156" s="57">
        <v>0</v>
      </c>
      <c r="BK156" s="57"/>
      <c r="BL156" s="57"/>
      <c r="BM156" s="57">
        <v>0</v>
      </c>
      <c r="BN156" s="57"/>
      <c r="BO156" s="57">
        <v>0</v>
      </c>
      <c r="BP156" s="46"/>
      <c r="BQ156" s="87">
        <v>31820.13492</v>
      </c>
      <c r="BR156" s="52">
        <v>12818.992950000002</v>
      </c>
      <c r="BS156" s="52">
        <v>19001.141970000001</v>
      </c>
    </row>
    <row r="157" spans="1:71" ht="12" customHeight="1" x14ac:dyDescent="0.2">
      <c r="A157" s="55">
        <v>2015</v>
      </c>
      <c r="B157" s="55" t="s">
        <v>10</v>
      </c>
      <c r="C157" s="82">
        <v>0</v>
      </c>
      <c r="D157" s="82">
        <v>19119.86393</v>
      </c>
      <c r="E157" s="78">
        <v>2671.53152</v>
      </c>
      <c r="F157" s="78">
        <v>16448.332409999999</v>
      </c>
      <c r="G157" s="82">
        <v>0</v>
      </c>
      <c r="H157" s="82"/>
      <c r="I157" s="82">
        <v>0</v>
      </c>
      <c r="J157" s="82">
        <v>0</v>
      </c>
      <c r="K157" s="82">
        <v>0</v>
      </c>
      <c r="L157" s="82"/>
      <c r="M157" s="82"/>
      <c r="N157" s="82">
        <v>5440.580640000001</v>
      </c>
      <c r="O157" s="78">
        <v>5440.580640000001</v>
      </c>
      <c r="P157" s="78">
        <v>0</v>
      </c>
      <c r="Q157" s="73">
        <v>24560.44457</v>
      </c>
      <c r="R157" s="78">
        <v>8112.1121600000006</v>
      </c>
      <c r="S157" s="78">
        <v>16448.332409999999</v>
      </c>
      <c r="T157" s="47"/>
      <c r="U157" s="57">
        <v>0</v>
      </c>
      <c r="V157" s="57">
        <v>0</v>
      </c>
      <c r="W157" s="57"/>
      <c r="X157" s="57"/>
      <c r="Y157" s="57">
        <v>874.25440000000003</v>
      </c>
      <c r="Z157" s="57">
        <v>851.80455000000006</v>
      </c>
      <c r="AA157" s="57">
        <v>1726.0589500000001</v>
      </c>
      <c r="AB157" s="45"/>
      <c r="AC157" s="57">
        <v>0</v>
      </c>
      <c r="AD157" s="78">
        <v>0</v>
      </c>
      <c r="AE157" s="78">
        <v>0</v>
      </c>
      <c r="AF157" s="82">
        <v>1233.1011400000002</v>
      </c>
      <c r="AG157" s="78">
        <v>0</v>
      </c>
      <c r="AH157" s="78">
        <v>1233.1011400000002</v>
      </c>
      <c r="AI157" s="82">
        <v>0</v>
      </c>
      <c r="AJ157" s="82">
        <v>1660.8210800000002</v>
      </c>
      <c r="AK157" s="78">
        <v>0</v>
      </c>
      <c r="AL157" s="78">
        <v>1660.8210800000002</v>
      </c>
      <c r="AM157" s="82">
        <v>0</v>
      </c>
      <c r="AN157" s="78">
        <v>0</v>
      </c>
      <c r="AO157" s="79">
        <v>0</v>
      </c>
      <c r="AP157" s="82">
        <v>0</v>
      </c>
      <c r="AQ157" s="78">
        <v>0</v>
      </c>
      <c r="AR157" s="52">
        <v>0</v>
      </c>
      <c r="AS157" s="48"/>
      <c r="AT157" s="78"/>
      <c r="AU157" s="52">
        <v>0</v>
      </c>
      <c r="AV157" s="48">
        <v>0</v>
      </c>
      <c r="AW157" s="52">
        <v>0</v>
      </c>
      <c r="AX157" s="52">
        <v>0</v>
      </c>
      <c r="AY157" s="87">
        <v>2893.9222200000004</v>
      </c>
      <c r="AZ157" s="52">
        <v>0</v>
      </c>
      <c r="BA157" s="52">
        <v>2893.9222200000004</v>
      </c>
      <c r="BB157" s="48"/>
      <c r="BC157" s="57">
        <v>0</v>
      </c>
      <c r="BD157" s="57">
        <v>0</v>
      </c>
      <c r="BE157" s="57">
        <v>1790.6894199999999</v>
      </c>
      <c r="BF157" s="57">
        <v>0</v>
      </c>
      <c r="BG157" s="57">
        <v>1790.6894199999999</v>
      </c>
      <c r="BH157" s="46"/>
      <c r="BI157" s="57">
        <v>0</v>
      </c>
      <c r="BJ157" s="57">
        <v>0</v>
      </c>
      <c r="BK157" s="57"/>
      <c r="BL157" s="57"/>
      <c r="BM157" s="57">
        <v>0</v>
      </c>
      <c r="BN157" s="57"/>
      <c r="BO157" s="57">
        <v>0</v>
      </c>
      <c r="BP157" s="46"/>
      <c r="BQ157" s="87">
        <v>30971.115159999998</v>
      </c>
      <c r="BR157" s="52">
        <v>11628.860530000002</v>
      </c>
      <c r="BS157" s="52">
        <v>19342.254629999999</v>
      </c>
    </row>
    <row r="158" spans="1:71" ht="12" customHeight="1" x14ac:dyDescent="0.2">
      <c r="A158" s="55">
        <v>2015</v>
      </c>
      <c r="B158" s="55" t="s">
        <v>11</v>
      </c>
      <c r="C158" s="82">
        <v>0</v>
      </c>
      <c r="D158" s="82">
        <v>17564.104459999999</v>
      </c>
      <c r="E158" s="78">
        <v>2811.51458</v>
      </c>
      <c r="F158" s="78">
        <v>14752.58988</v>
      </c>
      <c r="G158" s="82">
        <v>0</v>
      </c>
      <c r="H158" s="82"/>
      <c r="I158" s="82">
        <v>0</v>
      </c>
      <c r="J158" s="82">
        <v>0</v>
      </c>
      <c r="K158" s="82">
        <v>0</v>
      </c>
      <c r="L158" s="82"/>
      <c r="M158" s="82"/>
      <c r="N158" s="82">
        <v>4654.7896700000001</v>
      </c>
      <c r="O158" s="78">
        <v>4654.7896700000001</v>
      </c>
      <c r="P158" s="78">
        <v>0</v>
      </c>
      <c r="Q158" s="73">
        <v>22218.894130000001</v>
      </c>
      <c r="R158" s="78">
        <v>7466.3042500000001</v>
      </c>
      <c r="S158" s="78">
        <v>14752.58988</v>
      </c>
      <c r="T158" s="47"/>
      <c r="U158" s="57">
        <v>0</v>
      </c>
      <c r="V158" s="57">
        <v>0</v>
      </c>
      <c r="W158" s="57"/>
      <c r="X158" s="57"/>
      <c r="Y158" s="57">
        <v>0</v>
      </c>
      <c r="Z158" s="57">
        <v>1713.0673400000001</v>
      </c>
      <c r="AA158" s="57">
        <v>1713.0673400000001</v>
      </c>
      <c r="AB158" s="45"/>
      <c r="AC158" s="57">
        <v>0</v>
      </c>
      <c r="AD158" s="78">
        <v>0</v>
      </c>
      <c r="AE158" s="78">
        <v>0</v>
      </c>
      <c r="AF158" s="82">
        <v>1101.71803</v>
      </c>
      <c r="AG158" s="78">
        <v>0</v>
      </c>
      <c r="AH158" s="78">
        <v>1101.71803</v>
      </c>
      <c r="AI158" s="82">
        <v>0</v>
      </c>
      <c r="AJ158" s="82">
        <v>2765.4960300000002</v>
      </c>
      <c r="AK158" s="78">
        <v>1064.3903</v>
      </c>
      <c r="AL158" s="78">
        <v>1701.10573</v>
      </c>
      <c r="AM158" s="82">
        <v>0</v>
      </c>
      <c r="AN158" s="78">
        <v>0</v>
      </c>
      <c r="AO158" s="79">
        <v>0</v>
      </c>
      <c r="AP158" s="82">
        <v>0</v>
      </c>
      <c r="AQ158" s="78">
        <v>0</v>
      </c>
      <c r="AR158" s="52">
        <v>0</v>
      </c>
      <c r="AS158" s="48"/>
      <c r="AT158" s="78"/>
      <c r="AU158" s="52">
        <v>0</v>
      </c>
      <c r="AV158" s="48">
        <v>0</v>
      </c>
      <c r="AW158" s="52">
        <v>0</v>
      </c>
      <c r="AX158" s="52">
        <v>0</v>
      </c>
      <c r="AY158" s="87">
        <v>3867.2140600000002</v>
      </c>
      <c r="AZ158" s="52">
        <v>1064.3903</v>
      </c>
      <c r="BA158" s="52">
        <v>2802.8237600000002</v>
      </c>
      <c r="BB158" s="48"/>
      <c r="BC158" s="57">
        <v>0</v>
      </c>
      <c r="BD158" s="57">
        <v>0</v>
      </c>
      <c r="BE158" s="57">
        <v>2671.8011099999999</v>
      </c>
      <c r="BF158" s="57">
        <v>0</v>
      </c>
      <c r="BG158" s="57">
        <v>2671.8011099999999</v>
      </c>
      <c r="BH158" s="46"/>
      <c r="BI158" s="57">
        <v>0</v>
      </c>
      <c r="BJ158" s="57">
        <v>0</v>
      </c>
      <c r="BK158" s="57"/>
      <c r="BL158" s="57"/>
      <c r="BM158" s="57">
        <v>0</v>
      </c>
      <c r="BN158" s="57"/>
      <c r="BO158" s="57">
        <v>0</v>
      </c>
      <c r="BP158" s="46"/>
      <c r="BQ158" s="87">
        <v>30470.976640000001</v>
      </c>
      <c r="BR158" s="52">
        <v>12915.563000000002</v>
      </c>
      <c r="BS158" s="52">
        <v>17555.413639999999</v>
      </c>
    </row>
    <row r="159" spans="1:71" ht="12" customHeight="1" x14ac:dyDescent="0.2">
      <c r="A159" s="55">
        <v>2015</v>
      </c>
      <c r="B159" s="55" t="s">
        <v>12</v>
      </c>
      <c r="C159" s="82">
        <v>0</v>
      </c>
      <c r="D159" s="82">
        <v>18406.538649999999</v>
      </c>
      <c r="E159" s="78">
        <v>1836.34565</v>
      </c>
      <c r="F159" s="78">
        <v>16570.192999999999</v>
      </c>
      <c r="G159" s="82">
        <v>0</v>
      </c>
      <c r="H159" s="82"/>
      <c r="I159" s="82">
        <v>0</v>
      </c>
      <c r="J159" s="82">
        <v>0</v>
      </c>
      <c r="K159" s="82">
        <v>0</v>
      </c>
      <c r="L159" s="82"/>
      <c r="M159" s="82"/>
      <c r="N159" s="82">
        <v>5666.113510000001</v>
      </c>
      <c r="O159" s="78">
        <v>5666.113510000001</v>
      </c>
      <c r="P159" s="78">
        <v>0</v>
      </c>
      <c r="Q159" s="73">
        <v>24072.652160000001</v>
      </c>
      <c r="R159" s="78">
        <v>7502.4591600000012</v>
      </c>
      <c r="S159" s="78">
        <v>16570.192999999999</v>
      </c>
      <c r="T159" s="47"/>
      <c r="U159" s="57">
        <v>0</v>
      </c>
      <c r="V159" s="57">
        <v>0</v>
      </c>
      <c r="W159" s="57"/>
      <c r="X159" s="57"/>
      <c r="Y159" s="57">
        <v>0</v>
      </c>
      <c r="Z159" s="57">
        <v>848.39413999999999</v>
      </c>
      <c r="AA159" s="57">
        <v>848.39413999999999</v>
      </c>
      <c r="AB159" s="45"/>
      <c r="AC159" s="57">
        <v>0</v>
      </c>
      <c r="AD159" s="78">
        <v>0</v>
      </c>
      <c r="AE159" s="78">
        <v>0</v>
      </c>
      <c r="AF159" s="82">
        <v>815.39774</v>
      </c>
      <c r="AG159" s="78">
        <v>0</v>
      </c>
      <c r="AH159" s="78">
        <v>815.39774</v>
      </c>
      <c r="AI159" s="82">
        <v>0</v>
      </c>
      <c r="AJ159" s="82">
        <v>2346.3617400000003</v>
      </c>
      <c r="AK159" s="78">
        <v>909.59516000000008</v>
      </c>
      <c r="AL159" s="78">
        <v>1436.76658</v>
      </c>
      <c r="AM159" s="82">
        <v>0</v>
      </c>
      <c r="AN159" s="78">
        <v>0</v>
      </c>
      <c r="AO159" s="79">
        <v>0</v>
      </c>
      <c r="AP159" s="82">
        <v>4.8509700000000002</v>
      </c>
      <c r="AQ159" s="78">
        <v>0</v>
      </c>
      <c r="AR159" s="52">
        <v>4.8509700000000002</v>
      </c>
      <c r="AS159" s="48"/>
      <c r="AT159" s="78"/>
      <c r="AU159" s="52">
        <v>0</v>
      </c>
      <c r="AV159" s="48">
        <v>0</v>
      </c>
      <c r="AW159" s="52">
        <v>0</v>
      </c>
      <c r="AX159" s="52">
        <v>0</v>
      </c>
      <c r="AY159" s="87">
        <v>3166.6104500000001</v>
      </c>
      <c r="AZ159" s="52">
        <v>909.59516000000008</v>
      </c>
      <c r="BA159" s="52">
        <v>2257.0152899999998</v>
      </c>
      <c r="BB159" s="48"/>
      <c r="BC159" s="57">
        <v>0</v>
      </c>
      <c r="BD159" s="57">
        <v>0</v>
      </c>
      <c r="BE159" s="57">
        <v>1773.7987900000001</v>
      </c>
      <c r="BF159" s="57">
        <v>0</v>
      </c>
      <c r="BG159" s="57">
        <v>1773.7987900000001</v>
      </c>
      <c r="BH159" s="46"/>
      <c r="BI159" s="57">
        <v>0</v>
      </c>
      <c r="BJ159" s="57">
        <v>0</v>
      </c>
      <c r="BK159" s="57"/>
      <c r="BL159" s="57"/>
      <c r="BM159" s="57">
        <v>0</v>
      </c>
      <c r="BN159" s="57"/>
      <c r="BO159" s="57">
        <v>0</v>
      </c>
      <c r="BP159" s="46"/>
      <c r="BQ159" s="87">
        <v>29861.455540000003</v>
      </c>
      <c r="BR159" s="52">
        <v>11034.247250000002</v>
      </c>
      <c r="BS159" s="52">
        <v>18827.208289999999</v>
      </c>
    </row>
    <row r="160" spans="1:71" ht="12" customHeight="1" x14ac:dyDescent="0.2">
      <c r="A160" s="55">
        <v>2015</v>
      </c>
      <c r="B160" s="55" t="s">
        <v>13</v>
      </c>
      <c r="C160" s="82">
        <v>0</v>
      </c>
      <c r="D160" s="82">
        <v>21078.014410000003</v>
      </c>
      <c r="E160" s="78">
        <v>4912.3989700000002</v>
      </c>
      <c r="F160" s="78">
        <v>16165.615440000001</v>
      </c>
      <c r="G160" s="82">
        <v>0</v>
      </c>
      <c r="H160" s="82"/>
      <c r="I160" s="82">
        <v>0</v>
      </c>
      <c r="J160" s="82">
        <v>0</v>
      </c>
      <c r="K160" s="82">
        <v>0</v>
      </c>
      <c r="L160" s="82"/>
      <c r="M160" s="82"/>
      <c r="N160" s="82">
        <v>3829.6082800000004</v>
      </c>
      <c r="O160" s="78">
        <v>3829.6082800000004</v>
      </c>
      <c r="P160" s="78">
        <v>0</v>
      </c>
      <c r="Q160" s="73">
        <v>24907.622690000004</v>
      </c>
      <c r="R160" s="78">
        <v>8742.0072500000006</v>
      </c>
      <c r="S160" s="78">
        <v>16165.615440000001</v>
      </c>
      <c r="T160" s="47"/>
      <c r="U160" s="57">
        <v>0</v>
      </c>
      <c r="V160" s="57">
        <v>0</v>
      </c>
      <c r="W160" s="57"/>
      <c r="X160" s="57"/>
      <c r="Y160" s="57">
        <v>1774.48181</v>
      </c>
      <c r="Z160" s="57">
        <v>0</v>
      </c>
      <c r="AA160" s="57">
        <v>1774.48181</v>
      </c>
      <c r="AB160" s="45"/>
      <c r="AC160" s="57">
        <v>0</v>
      </c>
      <c r="AD160" s="78">
        <v>0</v>
      </c>
      <c r="AE160" s="78">
        <v>0</v>
      </c>
      <c r="AF160" s="82">
        <v>941.76624000000004</v>
      </c>
      <c r="AG160" s="78">
        <v>0</v>
      </c>
      <c r="AH160" s="78">
        <v>941.76624000000004</v>
      </c>
      <c r="AI160" s="82">
        <v>0</v>
      </c>
      <c r="AJ160" s="82">
        <v>2440.1789800000001</v>
      </c>
      <c r="AK160" s="78">
        <v>0</v>
      </c>
      <c r="AL160" s="78">
        <v>2440.1789800000001</v>
      </c>
      <c r="AM160" s="82">
        <v>0</v>
      </c>
      <c r="AN160" s="78">
        <v>0</v>
      </c>
      <c r="AO160" s="79">
        <v>0</v>
      </c>
      <c r="AP160" s="82">
        <v>0</v>
      </c>
      <c r="AQ160" s="78">
        <v>0</v>
      </c>
      <c r="AR160" s="52">
        <v>0</v>
      </c>
      <c r="AS160" s="48"/>
      <c r="AT160" s="78"/>
      <c r="AU160" s="52">
        <v>0</v>
      </c>
      <c r="AV160" s="48">
        <v>0</v>
      </c>
      <c r="AW160" s="52">
        <v>0</v>
      </c>
      <c r="AX160" s="52">
        <v>0</v>
      </c>
      <c r="AY160" s="87">
        <v>3381.9452200000001</v>
      </c>
      <c r="AZ160" s="52">
        <v>0</v>
      </c>
      <c r="BA160" s="52">
        <v>3381.9452200000001</v>
      </c>
      <c r="BB160" s="48"/>
      <c r="BC160" s="57">
        <v>0</v>
      </c>
      <c r="BD160" s="57">
        <v>0</v>
      </c>
      <c r="BE160" s="57">
        <v>4483.8844100000006</v>
      </c>
      <c r="BF160" s="57">
        <v>0</v>
      </c>
      <c r="BG160" s="57">
        <v>4483.8844100000006</v>
      </c>
      <c r="BH160" s="46"/>
      <c r="BI160" s="57">
        <v>0</v>
      </c>
      <c r="BJ160" s="57">
        <v>0</v>
      </c>
      <c r="BK160" s="57"/>
      <c r="BL160" s="57"/>
      <c r="BM160" s="57">
        <v>0</v>
      </c>
      <c r="BN160" s="57"/>
      <c r="BO160" s="57">
        <v>0</v>
      </c>
      <c r="BP160" s="46"/>
      <c r="BQ160" s="87">
        <v>34547.934130000009</v>
      </c>
      <c r="BR160" s="52">
        <v>15000.37347</v>
      </c>
      <c r="BS160" s="52">
        <v>19547.560660000003</v>
      </c>
    </row>
    <row r="161" spans="1:71" ht="12" customHeight="1" x14ac:dyDescent="0.2">
      <c r="A161" s="55">
        <v>2015</v>
      </c>
      <c r="B161" s="55" t="s">
        <v>14</v>
      </c>
      <c r="C161" s="82">
        <v>0</v>
      </c>
      <c r="D161" s="82">
        <v>22009.504559999998</v>
      </c>
      <c r="E161" s="78">
        <v>5160.1714299999994</v>
      </c>
      <c r="F161" s="78">
        <v>16849.333129999999</v>
      </c>
      <c r="G161" s="82">
        <v>0</v>
      </c>
      <c r="H161" s="82"/>
      <c r="I161" s="82">
        <v>0</v>
      </c>
      <c r="J161" s="82">
        <v>0</v>
      </c>
      <c r="K161" s="82">
        <v>0</v>
      </c>
      <c r="L161" s="82"/>
      <c r="M161" s="82"/>
      <c r="N161" s="82">
        <v>2916.6110099999996</v>
      </c>
      <c r="O161" s="78">
        <v>2916.6110099999996</v>
      </c>
      <c r="P161" s="78">
        <v>0</v>
      </c>
      <c r="Q161" s="73">
        <v>24926.115569999998</v>
      </c>
      <c r="R161" s="78">
        <v>8076.782439999999</v>
      </c>
      <c r="S161" s="78">
        <v>16849.333129999999</v>
      </c>
      <c r="T161" s="47"/>
      <c r="U161" s="57">
        <v>0</v>
      </c>
      <c r="V161" s="57">
        <v>0</v>
      </c>
      <c r="W161" s="57"/>
      <c r="X161" s="57"/>
      <c r="Y161" s="57">
        <v>0</v>
      </c>
      <c r="Z161" s="57">
        <v>1723.3222900000001</v>
      </c>
      <c r="AA161" s="57">
        <v>1723.3222900000001</v>
      </c>
      <c r="AB161" s="45"/>
      <c r="AC161" s="57">
        <v>0</v>
      </c>
      <c r="AD161" s="78">
        <v>0</v>
      </c>
      <c r="AE161" s="78">
        <v>0</v>
      </c>
      <c r="AF161" s="82">
        <v>884.49610999999993</v>
      </c>
      <c r="AG161" s="78">
        <v>0</v>
      </c>
      <c r="AH161" s="78">
        <v>884.49610999999993</v>
      </c>
      <c r="AI161" s="82">
        <v>0</v>
      </c>
      <c r="AJ161" s="82">
        <v>3206.7826400000004</v>
      </c>
      <c r="AK161" s="78">
        <v>0</v>
      </c>
      <c r="AL161" s="78">
        <v>3206.7826400000004</v>
      </c>
      <c r="AM161" s="82">
        <v>0</v>
      </c>
      <c r="AN161" s="78">
        <v>0</v>
      </c>
      <c r="AO161" s="79">
        <v>0</v>
      </c>
      <c r="AP161" s="82">
        <v>0</v>
      </c>
      <c r="AQ161" s="78">
        <v>0</v>
      </c>
      <c r="AR161" s="52">
        <v>0</v>
      </c>
      <c r="AS161" s="48"/>
      <c r="AT161" s="78"/>
      <c r="AU161" s="52">
        <v>0</v>
      </c>
      <c r="AV161" s="48">
        <v>0</v>
      </c>
      <c r="AW161" s="52">
        <v>0</v>
      </c>
      <c r="AX161" s="52">
        <v>0</v>
      </c>
      <c r="AY161" s="87">
        <v>4091.2787500000004</v>
      </c>
      <c r="AZ161" s="52">
        <v>0</v>
      </c>
      <c r="BA161" s="52">
        <v>4091.2787500000004</v>
      </c>
      <c r="BB161" s="48"/>
      <c r="BC161" s="57">
        <v>0</v>
      </c>
      <c r="BD161" s="57">
        <v>0</v>
      </c>
      <c r="BE161" s="57">
        <v>2678.1196400000003</v>
      </c>
      <c r="BF161" s="57">
        <v>0</v>
      </c>
      <c r="BG161" s="57">
        <v>2678.1196400000003</v>
      </c>
      <c r="BH161" s="46"/>
      <c r="BI161" s="57">
        <v>0</v>
      </c>
      <c r="BJ161" s="57">
        <v>0</v>
      </c>
      <c r="BK161" s="57"/>
      <c r="BL161" s="57"/>
      <c r="BM161" s="57">
        <v>0</v>
      </c>
      <c r="BN161" s="57"/>
      <c r="BO161" s="57">
        <v>0</v>
      </c>
      <c r="BP161" s="46"/>
      <c r="BQ161" s="87">
        <v>33418.83625</v>
      </c>
      <c r="BR161" s="52">
        <v>12478.22437</v>
      </c>
      <c r="BS161" s="52">
        <v>20940.61188</v>
      </c>
    </row>
    <row r="162" spans="1:71" ht="12" customHeight="1" x14ac:dyDescent="0.2">
      <c r="A162" s="55">
        <v>2015</v>
      </c>
      <c r="B162" s="55" t="s">
        <v>15</v>
      </c>
      <c r="C162" s="82">
        <v>0</v>
      </c>
      <c r="D162" s="82">
        <v>217426.82246</v>
      </c>
      <c r="E162" s="78">
        <v>42080.820890000003</v>
      </c>
      <c r="F162" s="78">
        <v>175346.00157000002</v>
      </c>
      <c r="G162" s="82">
        <v>0</v>
      </c>
      <c r="H162" s="82"/>
      <c r="I162" s="82">
        <v>0</v>
      </c>
      <c r="J162" s="82">
        <v>0</v>
      </c>
      <c r="K162" s="82">
        <v>0</v>
      </c>
      <c r="L162" s="82"/>
      <c r="M162" s="82"/>
      <c r="N162" s="82">
        <v>43323.926370000001</v>
      </c>
      <c r="O162" s="78">
        <v>43323.926370000001</v>
      </c>
      <c r="P162" s="78">
        <v>0</v>
      </c>
      <c r="Q162" s="73">
        <v>260750.74882999997</v>
      </c>
      <c r="R162" s="78">
        <v>85404.747259999989</v>
      </c>
      <c r="S162" s="78">
        <v>175346.00157000002</v>
      </c>
      <c r="T162" s="47"/>
      <c r="U162" s="57">
        <v>0</v>
      </c>
      <c r="V162" s="57">
        <v>0</v>
      </c>
      <c r="W162" s="57"/>
      <c r="X162" s="57"/>
      <c r="Y162" s="57">
        <v>10794.11147</v>
      </c>
      <c r="Z162" s="57">
        <v>12754.99221</v>
      </c>
      <c r="AA162" s="57">
        <v>23549.10368</v>
      </c>
      <c r="AB162" s="45"/>
      <c r="AC162" s="57">
        <v>0</v>
      </c>
      <c r="AD162" s="78">
        <v>0</v>
      </c>
      <c r="AE162" s="78">
        <v>0</v>
      </c>
      <c r="AF162" s="82">
        <v>12751.602020000002</v>
      </c>
      <c r="AG162" s="78">
        <v>0</v>
      </c>
      <c r="AH162" s="78">
        <v>12751.602020000002</v>
      </c>
      <c r="AI162" s="82">
        <v>0</v>
      </c>
      <c r="AJ162" s="82">
        <v>32130.395620000003</v>
      </c>
      <c r="AK162" s="78">
        <v>7983.9116599999998</v>
      </c>
      <c r="AL162" s="78">
        <v>24146.483960000001</v>
      </c>
      <c r="AM162" s="82">
        <v>0</v>
      </c>
      <c r="AN162" s="78">
        <v>0</v>
      </c>
      <c r="AO162" s="79">
        <v>0</v>
      </c>
      <c r="AP162" s="82">
        <v>4.8509700000000002</v>
      </c>
      <c r="AQ162" s="78">
        <v>0</v>
      </c>
      <c r="AR162" s="52">
        <v>4.8509700000000002</v>
      </c>
      <c r="AS162" s="48"/>
      <c r="AT162" s="78"/>
      <c r="AU162" s="52">
        <v>0</v>
      </c>
      <c r="AV162" s="48">
        <v>0</v>
      </c>
      <c r="AW162" s="52">
        <v>0</v>
      </c>
      <c r="AX162" s="52">
        <v>0</v>
      </c>
      <c r="AY162" s="87">
        <v>44886.848610000001</v>
      </c>
      <c r="AZ162" s="52">
        <v>7983.9116599999998</v>
      </c>
      <c r="BA162" s="52">
        <v>36902.936949999996</v>
      </c>
      <c r="BB162" s="48"/>
      <c r="BC162" s="57">
        <v>0</v>
      </c>
      <c r="BD162" s="57">
        <v>963.51452000000006</v>
      </c>
      <c r="BE162" s="57">
        <v>34021.915139999997</v>
      </c>
      <c r="BF162" s="57">
        <v>0</v>
      </c>
      <c r="BG162" s="57">
        <v>34985.429660000002</v>
      </c>
      <c r="BH162" s="46"/>
      <c r="BI162" s="57">
        <v>0</v>
      </c>
      <c r="BJ162" s="57">
        <v>0</v>
      </c>
      <c r="BK162" s="57"/>
      <c r="BL162" s="57"/>
      <c r="BM162" s="57">
        <v>0</v>
      </c>
      <c r="BN162" s="57"/>
      <c r="BO162" s="57">
        <v>0</v>
      </c>
      <c r="BP162" s="46"/>
      <c r="BQ162" s="87">
        <v>364172.13078000001</v>
      </c>
      <c r="BR162" s="52">
        <v>151923.19225999998</v>
      </c>
      <c r="BS162" s="52">
        <v>212248.93852000003</v>
      </c>
    </row>
    <row r="163" spans="1:71" ht="12" customHeight="1" x14ac:dyDescent="0.2">
      <c r="A163" s="55">
        <v>2016</v>
      </c>
      <c r="B163" s="55" t="s">
        <v>3</v>
      </c>
      <c r="C163" s="82">
        <v>0</v>
      </c>
      <c r="D163" s="82">
        <v>20431.605769999998</v>
      </c>
      <c r="E163" s="78">
        <v>4680.9452999999994</v>
      </c>
      <c r="F163" s="78">
        <v>15750.660469999999</v>
      </c>
      <c r="G163" s="82">
        <v>0</v>
      </c>
      <c r="H163" s="82"/>
      <c r="I163" s="82">
        <v>0</v>
      </c>
      <c r="J163" s="82">
        <v>0</v>
      </c>
      <c r="K163" s="82">
        <v>0</v>
      </c>
      <c r="L163" s="82"/>
      <c r="M163" s="82"/>
      <c r="N163" s="82">
        <v>3809.8811099999998</v>
      </c>
      <c r="O163" s="78">
        <v>3809.8811099999998</v>
      </c>
      <c r="P163" s="78">
        <v>0</v>
      </c>
      <c r="Q163" s="73">
        <v>24241.486879999997</v>
      </c>
      <c r="R163" s="78">
        <v>8490.8264099999997</v>
      </c>
      <c r="S163" s="78">
        <v>15750.660469999999</v>
      </c>
      <c r="T163" s="47"/>
      <c r="U163" s="57">
        <v>0</v>
      </c>
      <c r="V163" s="57">
        <v>0</v>
      </c>
      <c r="W163" s="57"/>
      <c r="X163" s="57"/>
      <c r="Y163" s="57">
        <v>877.61541</v>
      </c>
      <c r="Z163" s="57">
        <v>1277.9499699999999</v>
      </c>
      <c r="AA163" s="57">
        <v>2155.56538</v>
      </c>
      <c r="AB163" s="45"/>
      <c r="AC163" s="57">
        <v>0</v>
      </c>
      <c r="AD163" s="78">
        <v>0</v>
      </c>
      <c r="AE163" s="78">
        <v>0</v>
      </c>
      <c r="AF163" s="82">
        <v>950.22776999999996</v>
      </c>
      <c r="AG163" s="78">
        <v>0</v>
      </c>
      <c r="AH163" s="78">
        <v>950.22776999999996</v>
      </c>
      <c r="AI163" s="82">
        <v>0</v>
      </c>
      <c r="AJ163" s="82">
        <v>4346.5855000000001</v>
      </c>
      <c r="AK163" s="78">
        <v>914.77359000000001</v>
      </c>
      <c r="AL163" s="78">
        <v>3431.8119100000004</v>
      </c>
      <c r="AM163" s="82">
        <v>0</v>
      </c>
      <c r="AN163" s="78">
        <v>0</v>
      </c>
      <c r="AO163" s="79">
        <v>0</v>
      </c>
      <c r="AP163" s="82">
        <v>0</v>
      </c>
      <c r="AQ163" s="78">
        <v>0</v>
      </c>
      <c r="AR163" s="52">
        <v>0</v>
      </c>
      <c r="AS163" s="48"/>
      <c r="AT163" s="78"/>
      <c r="AU163" s="52">
        <v>0</v>
      </c>
      <c r="AV163" s="48">
        <v>0</v>
      </c>
      <c r="AW163" s="52">
        <v>0</v>
      </c>
      <c r="AX163" s="52">
        <v>0</v>
      </c>
      <c r="AY163" s="87">
        <v>5296.8132699999996</v>
      </c>
      <c r="AZ163" s="52">
        <v>914.77359000000001</v>
      </c>
      <c r="BA163" s="52">
        <v>4382.0396799999999</v>
      </c>
      <c r="BB163" s="48"/>
      <c r="BC163" s="57">
        <v>0</v>
      </c>
      <c r="BD163" s="57">
        <v>0</v>
      </c>
      <c r="BE163" s="57">
        <v>3621.5112899999999</v>
      </c>
      <c r="BF163" s="57">
        <v>0</v>
      </c>
      <c r="BG163" s="57">
        <v>3621.5112899999999</v>
      </c>
      <c r="BH163" s="46"/>
      <c r="BI163" s="57">
        <v>0</v>
      </c>
      <c r="BJ163" s="57">
        <v>0</v>
      </c>
      <c r="BK163" s="57"/>
      <c r="BL163" s="57"/>
      <c r="BM163" s="57">
        <v>0</v>
      </c>
      <c r="BN163" s="57"/>
      <c r="BO163" s="57">
        <v>0</v>
      </c>
      <c r="BP163" s="46"/>
      <c r="BQ163" s="87">
        <v>35315.376819999998</v>
      </c>
      <c r="BR163" s="52">
        <v>15182.676670000001</v>
      </c>
      <c r="BS163" s="52">
        <v>20132.700149999997</v>
      </c>
    </row>
    <row r="164" spans="1:71" ht="12" customHeight="1" x14ac:dyDescent="0.2">
      <c r="A164" s="55">
        <v>2016</v>
      </c>
      <c r="B164" s="55" t="s">
        <v>4</v>
      </c>
      <c r="C164" s="82">
        <v>0</v>
      </c>
      <c r="D164" s="82">
        <v>12995.517130000002</v>
      </c>
      <c r="E164" s="78">
        <v>1336.08754</v>
      </c>
      <c r="F164" s="78">
        <v>11659.429590000002</v>
      </c>
      <c r="G164" s="82">
        <v>0</v>
      </c>
      <c r="H164" s="82"/>
      <c r="I164" s="82">
        <v>0</v>
      </c>
      <c r="J164" s="82">
        <v>0</v>
      </c>
      <c r="K164" s="82">
        <v>0</v>
      </c>
      <c r="L164" s="82"/>
      <c r="M164" s="82"/>
      <c r="N164" s="82">
        <v>3223.1731600000003</v>
      </c>
      <c r="O164" s="78">
        <v>3223.1731600000003</v>
      </c>
      <c r="P164" s="78">
        <v>0</v>
      </c>
      <c r="Q164" s="73">
        <v>16218.690290000002</v>
      </c>
      <c r="R164" s="78">
        <v>4559.2607000000007</v>
      </c>
      <c r="S164" s="78">
        <v>11659.429590000002</v>
      </c>
      <c r="T164" s="47"/>
      <c r="U164" s="57">
        <v>0</v>
      </c>
      <c r="V164" s="57">
        <v>0</v>
      </c>
      <c r="W164" s="57"/>
      <c r="X164" s="57"/>
      <c r="Y164" s="57">
        <v>857.19308999999998</v>
      </c>
      <c r="Z164" s="57">
        <v>841.20303000000001</v>
      </c>
      <c r="AA164" s="57">
        <v>1698.3961199999999</v>
      </c>
      <c r="AB164" s="45"/>
      <c r="AC164" s="57">
        <v>0</v>
      </c>
      <c r="AD164" s="78">
        <v>0</v>
      </c>
      <c r="AE164" s="78">
        <v>0</v>
      </c>
      <c r="AF164" s="82">
        <v>845.91464999999982</v>
      </c>
      <c r="AG164" s="78">
        <v>0.27785000000000004</v>
      </c>
      <c r="AH164" s="78">
        <v>845.63679999999988</v>
      </c>
      <c r="AI164" s="82">
        <v>0</v>
      </c>
      <c r="AJ164" s="82">
        <v>3342.7527</v>
      </c>
      <c r="AK164" s="78">
        <v>947.29968000000008</v>
      </c>
      <c r="AL164" s="78">
        <v>2395.4530199999999</v>
      </c>
      <c r="AM164" s="82">
        <v>0</v>
      </c>
      <c r="AN164" s="78">
        <v>0</v>
      </c>
      <c r="AO164" s="79">
        <v>0</v>
      </c>
      <c r="AP164" s="82">
        <v>0</v>
      </c>
      <c r="AQ164" s="78">
        <v>0</v>
      </c>
      <c r="AR164" s="52">
        <v>0</v>
      </c>
      <c r="AS164" s="48"/>
      <c r="AT164" s="78"/>
      <c r="AU164" s="52">
        <v>0</v>
      </c>
      <c r="AV164" s="48">
        <v>0</v>
      </c>
      <c r="AW164" s="52">
        <v>0</v>
      </c>
      <c r="AX164" s="52">
        <v>0</v>
      </c>
      <c r="AY164" s="87">
        <v>4188.6673499999997</v>
      </c>
      <c r="AZ164" s="52">
        <v>947.57753000000002</v>
      </c>
      <c r="BA164" s="52">
        <v>3241.0898199999997</v>
      </c>
      <c r="BB164" s="48"/>
      <c r="BC164" s="57">
        <v>0</v>
      </c>
      <c r="BD164" s="57">
        <v>0</v>
      </c>
      <c r="BE164" s="57">
        <v>2679.89176</v>
      </c>
      <c r="BF164" s="57">
        <v>0</v>
      </c>
      <c r="BG164" s="57">
        <v>2679.89176</v>
      </c>
      <c r="BH164" s="46"/>
      <c r="BI164" s="57">
        <v>0</v>
      </c>
      <c r="BJ164" s="57">
        <v>0</v>
      </c>
      <c r="BK164" s="57"/>
      <c r="BL164" s="57"/>
      <c r="BM164" s="57">
        <v>0</v>
      </c>
      <c r="BN164" s="57"/>
      <c r="BO164" s="57">
        <v>0</v>
      </c>
      <c r="BP164" s="46"/>
      <c r="BQ164" s="87">
        <v>24785.645520000002</v>
      </c>
      <c r="BR164" s="52">
        <v>9885.1261100000011</v>
      </c>
      <c r="BS164" s="52">
        <v>14900.519410000001</v>
      </c>
    </row>
    <row r="165" spans="1:71" ht="12" customHeight="1" x14ac:dyDescent="0.2">
      <c r="A165" s="55">
        <v>2016</v>
      </c>
      <c r="B165" s="55" t="s">
        <v>5</v>
      </c>
      <c r="C165" s="82">
        <v>0</v>
      </c>
      <c r="D165" s="82">
        <v>15629.27132</v>
      </c>
      <c r="E165" s="78">
        <v>5653.2062999999998</v>
      </c>
      <c r="F165" s="78">
        <v>9976.06502</v>
      </c>
      <c r="G165" s="82">
        <v>0</v>
      </c>
      <c r="H165" s="82"/>
      <c r="I165" s="82">
        <v>0</v>
      </c>
      <c r="J165" s="82">
        <v>0</v>
      </c>
      <c r="K165" s="82">
        <v>0</v>
      </c>
      <c r="L165" s="82"/>
      <c r="M165" s="82"/>
      <c r="N165" s="82">
        <v>4668.9748599999994</v>
      </c>
      <c r="O165" s="78">
        <v>4668.9748599999994</v>
      </c>
      <c r="P165" s="78">
        <v>0</v>
      </c>
      <c r="Q165" s="73">
        <v>20298.246180000002</v>
      </c>
      <c r="R165" s="78">
        <v>10322.18116</v>
      </c>
      <c r="S165" s="78">
        <v>9976.06502</v>
      </c>
      <c r="T165" s="47"/>
      <c r="U165" s="57">
        <v>0</v>
      </c>
      <c r="V165" s="57">
        <v>0</v>
      </c>
      <c r="W165" s="57"/>
      <c r="X165" s="57"/>
      <c r="Y165" s="57">
        <v>932.87715000000003</v>
      </c>
      <c r="Z165" s="57">
        <v>853.76778999999999</v>
      </c>
      <c r="AA165" s="57">
        <v>1786.6449400000001</v>
      </c>
      <c r="AB165" s="45"/>
      <c r="AC165" s="57">
        <v>0</v>
      </c>
      <c r="AD165" s="78">
        <v>0</v>
      </c>
      <c r="AE165" s="78">
        <v>0</v>
      </c>
      <c r="AF165" s="82">
        <v>1032.38066</v>
      </c>
      <c r="AG165" s="78">
        <v>0.29424</v>
      </c>
      <c r="AH165" s="78">
        <v>1032.0864200000001</v>
      </c>
      <c r="AI165" s="82">
        <v>0</v>
      </c>
      <c r="AJ165" s="82">
        <v>4039.3950800000002</v>
      </c>
      <c r="AK165" s="78">
        <v>910.39949999999999</v>
      </c>
      <c r="AL165" s="78">
        <v>3128.9955800000002</v>
      </c>
      <c r="AM165" s="82">
        <v>0</v>
      </c>
      <c r="AN165" s="78">
        <v>0</v>
      </c>
      <c r="AO165" s="79">
        <v>0</v>
      </c>
      <c r="AP165" s="82">
        <v>0</v>
      </c>
      <c r="AQ165" s="78">
        <v>0</v>
      </c>
      <c r="AR165" s="52">
        <v>0</v>
      </c>
      <c r="AS165" s="48"/>
      <c r="AT165" s="78"/>
      <c r="AU165" s="52">
        <v>0</v>
      </c>
      <c r="AV165" s="48">
        <v>0</v>
      </c>
      <c r="AW165" s="52">
        <v>0</v>
      </c>
      <c r="AX165" s="52">
        <v>0</v>
      </c>
      <c r="AY165" s="87">
        <v>5071.77574</v>
      </c>
      <c r="AZ165" s="52">
        <v>910.69373999999993</v>
      </c>
      <c r="BA165" s="52">
        <v>4161.0820000000003</v>
      </c>
      <c r="BB165" s="48"/>
      <c r="BC165" s="57">
        <v>0</v>
      </c>
      <c r="BD165" s="57">
        <v>0</v>
      </c>
      <c r="BE165" s="57">
        <v>2685.2613799999999</v>
      </c>
      <c r="BF165" s="57">
        <v>0</v>
      </c>
      <c r="BG165" s="57">
        <v>2685.2613799999999</v>
      </c>
      <c r="BH165" s="46"/>
      <c r="BI165" s="57">
        <v>0</v>
      </c>
      <c r="BJ165" s="57">
        <v>0</v>
      </c>
      <c r="BK165" s="57"/>
      <c r="BL165" s="57"/>
      <c r="BM165" s="57">
        <v>0</v>
      </c>
      <c r="BN165" s="57"/>
      <c r="BO165" s="57">
        <v>0</v>
      </c>
      <c r="BP165" s="46"/>
      <c r="BQ165" s="87">
        <v>29841.928240000001</v>
      </c>
      <c r="BR165" s="52">
        <v>15704.781220000001</v>
      </c>
      <c r="BS165" s="52">
        <v>14137.14702</v>
      </c>
    </row>
    <row r="166" spans="1:71" ht="12" customHeight="1" x14ac:dyDescent="0.2">
      <c r="A166" s="55">
        <v>2016</v>
      </c>
      <c r="B166" s="55" t="s">
        <v>6</v>
      </c>
      <c r="C166" s="82">
        <v>0</v>
      </c>
      <c r="D166" s="82">
        <v>16946.722659999999</v>
      </c>
      <c r="E166" s="78">
        <v>2812.3041900000003</v>
      </c>
      <c r="F166" s="78">
        <v>14134.418470000001</v>
      </c>
      <c r="G166" s="82">
        <v>0</v>
      </c>
      <c r="H166" s="82"/>
      <c r="I166" s="82">
        <v>0</v>
      </c>
      <c r="J166" s="82">
        <v>0</v>
      </c>
      <c r="K166" s="82">
        <v>0</v>
      </c>
      <c r="L166" s="82"/>
      <c r="M166" s="82"/>
      <c r="N166" s="82">
        <v>3710.5279399999999</v>
      </c>
      <c r="O166" s="78">
        <v>3710.5279399999999</v>
      </c>
      <c r="P166" s="78">
        <v>0</v>
      </c>
      <c r="Q166" s="73">
        <v>20657.250599999999</v>
      </c>
      <c r="R166" s="78">
        <v>6522.8321300000007</v>
      </c>
      <c r="S166" s="78">
        <v>14134.418470000001</v>
      </c>
      <c r="T166" s="47"/>
      <c r="U166" s="57">
        <v>0</v>
      </c>
      <c r="V166" s="57">
        <v>0</v>
      </c>
      <c r="W166" s="57"/>
      <c r="X166" s="57"/>
      <c r="Y166" s="57">
        <v>1210.9934599999999</v>
      </c>
      <c r="Z166" s="57">
        <v>1663.9216000000001</v>
      </c>
      <c r="AA166" s="57">
        <v>2874.9150600000003</v>
      </c>
      <c r="AB166" s="45"/>
      <c r="AC166" s="57">
        <v>0</v>
      </c>
      <c r="AD166" s="78">
        <v>0</v>
      </c>
      <c r="AE166" s="78">
        <v>0</v>
      </c>
      <c r="AF166" s="82">
        <v>636.33329000000003</v>
      </c>
      <c r="AG166" s="78">
        <v>0</v>
      </c>
      <c r="AH166" s="78">
        <v>636.33329000000003</v>
      </c>
      <c r="AI166" s="82">
        <v>0</v>
      </c>
      <c r="AJ166" s="82">
        <v>2085.0502999999999</v>
      </c>
      <c r="AK166" s="78">
        <v>0</v>
      </c>
      <c r="AL166" s="78">
        <v>2085.0502999999999</v>
      </c>
      <c r="AM166" s="82">
        <v>0</v>
      </c>
      <c r="AN166" s="78">
        <v>0</v>
      </c>
      <c r="AO166" s="79">
        <v>0</v>
      </c>
      <c r="AP166" s="82">
        <v>0</v>
      </c>
      <c r="AQ166" s="78">
        <v>0</v>
      </c>
      <c r="AR166" s="52">
        <v>0</v>
      </c>
      <c r="AS166" s="48"/>
      <c r="AT166" s="78"/>
      <c r="AU166" s="52">
        <v>0</v>
      </c>
      <c r="AV166" s="48">
        <v>0</v>
      </c>
      <c r="AW166" s="52">
        <v>0</v>
      </c>
      <c r="AX166" s="52">
        <v>0</v>
      </c>
      <c r="AY166" s="87">
        <v>2721.3835899999999</v>
      </c>
      <c r="AZ166" s="52">
        <v>0</v>
      </c>
      <c r="BA166" s="52">
        <v>2721.3835899999999</v>
      </c>
      <c r="BB166" s="48"/>
      <c r="BC166" s="57">
        <v>0</v>
      </c>
      <c r="BD166" s="57">
        <v>0</v>
      </c>
      <c r="BE166" s="57">
        <v>2675.1763700000001</v>
      </c>
      <c r="BF166" s="57">
        <v>0</v>
      </c>
      <c r="BG166" s="57">
        <v>2675.1763700000001</v>
      </c>
      <c r="BH166" s="46"/>
      <c r="BI166" s="57">
        <v>0</v>
      </c>
      <c r="BJ166" s="57">
        <v>0</v>
      </c>
      <c r="BK166" s="57"/>
      <c r="BL166" s="57"/>
      <c r="BM166" s="57">
        <v>0</v>
      </c>
      <c r="BN166" s="57"/>
      <c r="BO166" s="57">
        <v>0</v>
      </c>
      <c r="BP166" s="46"/>
      <c r="BQ166" s="87">
        <v>28928.725620000001</v>
      </c>
      <c r="BR166" s="52">
        <v>12072.923560000003</v>
      </c>
      <c r="BS166" s="52">
        <v>16855.802060000002</v>
      </c>
    </row>
    <row r="167" spans="1:71" ht="12" customHeight="1" x14ac:dyDescent="0.2">
      <c r="A167" s="55">
        <v>2016</v>
      </c>
      <c r="B167" s="55" t="s">
        <v>7</v>
      </c>
      <c r="C167" s="82">
        <v>0</v>
      </c>
      <c r="D167" s="82">
        <v>16892.752699999997</v>
      </c>
      <c r="E167" s="78">
        <v>2480.0751600000003</v>
      </c>
      <c r="F167" s="78">
        <v>14412.677539999999</v>
      </c>
      <c r="G167" s="82">
        <v>0</v>
      </c>
      <c r="H167" s="82"/>
      <c r="I167" s="82">
        <v>0</v>
      </c>
      <c r="J167" s="82">
        <v>0</v>
      </c>
      <c r="K167" s="82">
        <v>0</v>
      </c>
      <c r="L167" s="82"/>
      <c r="M167" s="82"/>
      <c r="N167" s="82">
        <v>5134.1938599999994</v>
      </c>
      <c r="O167" s="78">
        <v>5134.1938599999994</v>
      </c>
      <c r="P167" s="78">
        <v>0</v>
      </c>
      <c r="Q167" s="73">
        <v>22026.946559999997</v>
      </c>
      <c r="R167" s="78">
        <v>7614.2690199999997</v>
      </c>
      <c r="S167" s="78">
        <v>14412.677539999999</v>
      </c>
      <c r="T167" s="47"/>
      <c r="U167" s="57">
        <v>0</v>
      </c>
      <c r="V167" s="57">
        <v>0</v>
      </c>
      <c r="W167" s="57"/>
      <c r="X167" s="57"/>
      <c r="Y167" s="57">
        <v>908.01922999999999</v>
      </c>
      <c r="Z167" s="57">
        <v>0</v>
      </c>
      <c r="AA167" s="57">
        <v>908.01922999999999</v>
      </c>
      <c r="AB167" s="45"/>
      <c r="AC167" s="57">
        <v>0</v>
      </c>
      <c r="AD167" s="78">
        <v>0</v>
      </c>
      <c r="AE167" s="78">
        <v>0</v>
      </c>
      <c r="AF167" s="82">
        <v>248.15558000000001</v>
      </c>
      <c r="AG167" s="78">
        <v>0</v>
      </c>
      <c r="AH167" s="78">
        <v>248.15558000000001</v>
      </c>
      <c r="AI167" s="82">
        <v>0</v>
      </c>
      <c r="AJ167" s="82">
        <v>1876.13318</v>
      </c>
      <c r="AK167" s="78">
        <v>0</v>
      </c>
      <c r="AL167" s="78">
        <v>1876.13318</v>
      </c>
      <c r="AM167" s="82">
        <v>0</v>
      </c>
      <c r="AN167" s="78">
        <v>0</v>
      </c>
      <c r="AO167" s="79">
        <v>0</v>
      </c>
      <c r="AP167" s="82">
        <v>0</v>
      </c>
      <c r="AQ167" s="78">
        <v>0</v>
      </c>
      <c r="AR167" s="52">
        <v>0</v>
      </c>
      <c r="AS167" s="48"/>
      <c r="AT167" s="78"/>
      <c r="AU167" s="52">
        <v>0</v>
      </c>
      <c r="AV167" s="48">
        <v>0</v>
      </c>
      <c r="AW167" s="52">
        <v>0</v>
      </c>
      <c r="AX167" s="52">
        <v>0</v>
      </c>
      <c r="AY167" s="87">
        <v>2124.2887599999999</v>
      </c>
      <c r="AZ167" s="52">
        <v>0</v>
      </c>
      <c r="BA167" s="52">
        <v>2124.2887599999999</v>
      </c>
      <c r="BB167" s="48"/>
      <c r="BC167" s="57">
        <v>0</v>
      </c>
      <c r="BD167" s="57">
        <v>0</v>
      </c>
      <c r="BE167" s="57">
        <v>2846.5744900000004</v>
      </c>
      <c r="BF167" s="57">
        <v>0</v>
      </c>
      <c r="BG167" s="57">
        <v>2846.5744900000004</v>
      </c>
      <c r="BH167" s="46"/>
      <c r="BI167" s="57">
        <v>0</v>
      </c>
      <c r="BJ167" s="57">
        <v>0</v>
      </c>
      <c r="BK167" s="57"/>
      <c r="BL167" s="57"/>
      <c r="BM167" s="57">
        <v>0</v>
      </c>
      <c r="BN167" s="57"/>
      <c r="BO167" s="57">
        <v>0</v>
      </c>
      <c r="BP167" s="46"/>
      <c r="BQ167" s="87">
        <v>27905.829039999997</v>
      </c>
      <c r="BR167" s="52">
        <v>11368.86274</v>
      </c>
      <c r="BS167" s="52">
        <v>16536.9663</v>
      </c>
    </row>
    <row r="168" spans="1:71" ht="12" customHeight="1" x14ac:dyDescent="0.2">
      <c r="A168" s="55">
        <v>2016</v>
      </c>
      <c r="B168" s="55" t="s">
        <v>8</v>
      </c>
      <c r="C168" s="82">
        <v>0</v>
      </c>
      <c r="D168" s="82">
        <v>18431.046759999997</v>
      </c>
      <c r="E168" s="78">
        <v>2976.7460599999995</v>
      </c>
      <c r="F168" s="78">
        <v>15454.3007</v>
      </c>
      <c r="G168" s="82">
        <v>0</v>
      </c>
      <c r="H168" s="82"/>
      <c r="I168" s="82">
        <v>0</v>
      </c>
      <c r="J168" s="82">
        <v>0</v>
      </c>
      <c r="K168" s="82">
        <v>0</v>
      </c>
      <c r="L168" s="82"/>
      <c r="M168" s="82"/>
      <c r="N168" s="82">
        <v>4838.3561000000009</v>
      </c>
      <c r="O168" s="78">
        <v>4838.3561000000009</v>
      </c>
      <c r="P168" s="78">
        <v>0</v>
      </c>
      <c r="Q168" s="73">
        <v>23269.402860000002</v>
      </c>
      <c r="R168" s="78">
        <v>7815.1021600000004</v>
      </c>
      <c r="S168" s="78">
        <v>15454.3007</v>
      </c>
      <c r="T168" s="47"/>
      <c r="U168" s="57">
        <v>0</v>
      </c>
      <c r="V168" s="57">
        <v>0</v>
      </c>
      <c r="W168" s="57"/>
      <c r="X168" s="57"/>
      <c r="Y168" s="57">
        <v>1723.57656</v>
      </c>
      <c r="Z168" s="57">
        <v>0</v>
      </c>
      <c r="AA168" s="57">
        <v>1723.57656</v>
      </c>
      <c r="AB168" s="45"/>
      <c r="AC168" s="57">
        <v>0</v>
      </c>
      <c r="AD168" s="78">
        <v>0</v>
      </c>
      <c r="AE168" s="78">
        <v>0</v>
      </c>
      <c r="AF168" s="82">
        <v>204.36813000000001</v>
      </c>
      <c r="AG168" s="78">
        <v>0</v>
      </c>
      <c r="AH168" s="78">
        <v>204.36813000000001</v>
      </c>
      <c r="AI168" s="82">
        <v>0</v>
      </c>
      <c r="AJ168" s="82">
        <v>2642.7719299999999</v>
      </c>
      <c r="AK168" s="78">
        <v>944.65755000000001</v>
      </c>
      <c r="AL168" s="78">
        <v>1698.11438</v>
      </c>
      <c r="AM168" s="82">
        <v>0</v>
      </c>
      <c r="AN168" s="78">
        <v>0</v>
      </c>
      <c r="AO168" s="79">
        <v>0</v>
      </c>
      <c r="AP168" s="82">
        <v>0</v>
      </c>
      <c r="AQ168" s="78">
        <v>0</v>
      </c>
      <c r="AR168" s="52">
        <v>0</v>
      </c>
      <c r="AS168" s="48"/>
      <c r="AT168" s="78"/>
      <c r="AU168" s="52">
        <v>0</v>
      </c>
      <c r="AV168" s="48">
        <v>0</v>
      </c>
      <c r="AW168" s="52">
        <v>0</v>
      </c>
      <c r="AX168" s="52">
        <v>0</v>
      </c>
      <c r="AY168" s="87">
        <v>2847.1400600000002</v>
      </c>
      <c r="AZ168" s="52">
        <v>944.65755000000001</v>
      </c>
      <c r="BA168" s="52">
        <v>1902.48251</v>
      </c>
      <c r="BB168" s="48"/>
      <c r="BC168" s="57">
        <v>0</v>
      </c>
      <c r="BD168" s="57">
        <v>0</v>
      </c>
      <c r="BE168" s="57">
        <v>2677.8106899999998</v>
      </c>
      <c r="BF168" s="57">
        <v>0</v>
      </c>
      <c r="BG168" s="57">
        <v>2677.8106899999998</v>
      </c>
      <c r="BH168" s="46"/>
      <c r="BI168" s="57">
        <v>0</v>
      </c>
      <c r="BJ168" s="57">
        <v>0</v>
      </c>
      <c r="BK168" s="57"/>
      <c r="BL168" s="57"/>
      <c r="BM168" s="57">
        <v>0</v>
      </c>
      <c r="BN168" s="57"/>
      <c r="BO168" s="57">
        <v>0</v>
      </c>
      <c r="BP168" s="46"/>
      <c r="BQ168" s="87">
        <v>30517.930170000003</v>
      </c>
      <c r="BR168" s="52">
        <v>13161.14696</v>
      </c>
      <c r="BS168" s="52">
        <v>17356.783210000001</v>
      </c>
    </row>
    <row r="169" spans="1:71" ht="12" customHeight="1" x14ac:dyDescent="0.2">
      <c r="A169" s="55">
        <v>2016</v>
      </c>
      <c r="B169" s="55" t="s">
        <v>9</v>
      </c>
      <c r="C169" s="82">
        <v>0</v>
      </c>
      <c r="D169" s="82">
        <v>16779.489150000001</v>
      </c>
      <c r="E169" s="78">
        <v>913.20163000000002</v>
      </c>
      <c r="F169" s="78">
        <v>15866.28752</v>
      </c>
      <c r="G169" s="82">
        <v>0</v>
      </c>
      <c r="H169" s="82"/>
      <c r="I169" s="82">
        <v>0</v>
      </c>
      <c r="J169" s="82">
        <v>0</v>
      </c>
      <c r="K169" s="82">
        <v>0</v>
      </c>
      <c r="L169" s="82"/>
      <c r="M169" s="82"/>
      <c r="N169" s="82">
        <v>4756.8711800000001</v>
      </c>
      <c r="O169" s="78">
        <v>4756.8711800000001</v>
      </c>
      <c r="P169" s="78">
        <v>0</v>
      </c>
      <c r="Q169" s="73">
        <v>21536.36033</v>
      </c>
      <c r="R169" s="78">
        <v>5670.0728099999997</v>
      </c>
      <c r="S169" s="78">
        <v>15866.28752</v>
      </c>
      <c r="T169" s="47"/>
      <c r="U169" s="57">
        <v>0</v>
      </c>
      <c r="V169" s="57">
        <v>845.54129</v>
      </c>
      <c r="W169" s="57"/>
      <c r="X169" s="57"/>
      <c r="Y169" s="57">
        <v>0</v>
      </c>
      <c r="Z169" s="57">
        <v>1019.9600899999999</v>
      </c>
      <c r="AA169" s="57">
        <v>1865.5013799999999</v>
      </c>
      <c r="AB169" s="45"/>
      <c r="AC169" s="57">
        <v>0</v>
      </c>
      <c r="AD169" s="78">
        <v>0</v>
      </c>
      <c r="AE169" s="78">
        <v>0</v>
      </c>
      <c r="AF169" s="82">
        <v>420.89411000000001</v>
      </c>
      <c r="AG169" s="78">
        <v>0</v>
      </c>
      <c r="AH169" s="78">
        <v>420.89411000000001</v>
      </c>
      <c r="AI169" s="82">
        <v>0</v>
      </c>
      <c r="AJ169" s="82">
        <v>2748.0304599999999</v>
      </c>
      <c r="AK169" s="78">
        <v>917.57065</v>
      </c>
      <c r="AL169" s="78">
        <v>1830.4598100000001</v>
      </c>
      <c r="AM169" s="82">
        <v>0</v>
      </c>
      <c r="AN169" s="78">
        <v>0</v>
      </c>
      <c r="AO169" s="79">
        <v>0</v>
      </c>
      <c r="AP169" s="82">
        <v>0</v>
      </c>
      <c r="AQ169" s="78">
        <v>0</v>
      </c>
      <c r="AR169" s="52">
        <v>0</v>
      </c>
      <c r="AS169" s="48"/>
      <c r="AT169" s="78"/>
      <c r="AU169" s="52">
        <v>0</v>
      </c>
      <c r="AV169" s="48">
        <v>0</v>
      </c>
      <c r="AW169" s="52">
        <v>0</v>
      </c>
      <c r="AX169" s="52">
        <v>0</v>
      </c>
      <c r="AY169" s="87">
        <v>3168.9245700000001</v>
      </c>
      <c r="AZ169" s="52">
        <v>917.57065</v>
      </c>
      <c r="BA169" s="52">
        <v>2251.35392</v>
      </c>
      <c r="BB169" s="48"/>
      <c r="BC169" s="57">
        <v>0</v>
      </c>
      <c r="BD169" s="57">
        <v>0</v>
      </c>
      <c r="BE169" s="57">
        <v>2728.09339</v>
      </c>
      <c r="BF169" s="57">
        <v>0</v>
      </c>
      <c r="BG169" s="57">
        <v>2728.09339</v>
      </c>
      <c r="BH169" s="46"/>
      <c r="BI169" s="57">
        <v>0</v>
      </c>
      <c r="BJ169" s="57">
        <v>0</v>
      </c>
      <c r="BK169" s="57"/>
      <c r="BL169" s="57"/>
      <c r="BM169" s="57">
        <v>0</v>
      </c>
      <c r="BN169" s="57"/>
      <c r="BO169" s="57">
        <v>0</v>
      </c>
      <c r="BP169" s="46"/>
      <c r="BQ169" s="87">
        <v>29298.879670000002</v>
      </c>
      <c r="BR169" s="52">
        <v>11181.238229999999</v>
      </c>
      <c r="BS169" s="52">
        <v>18117.641439999999</v>
      </c>
    </row>
    <row r="170" spans="1:71" ht="12" customHeight="1" x14ac:dyDescent="0.2">
      <c r="A170" s="55">
        <v>2016</v>
      </c>
      <c r="B170" s="55" t="s">
        <v>10</v>
      </c>
      <c r="C170" s="82">
        <v>0</v>
      </c>
      <c r="D170" s="82">
        <v>17648.714319999999</v>
      </c>
      <c r="E170" s="78">
        <v>1408.8241699999999</v>
      </c>
      <c r="F170" s="78">
        <v>16239.890150000001</v>
      </c>
      <c r="G170" s="82">
        <v>0</v>
      </c>
      <c r="H170" s="82"/>
      <c r="I170" s="82">
        <v>0</v>
      </c>
      <c r="J170" s="82">
        <v>0</v>
      </c>
      <c r="K170" s="82">
        <v>0</v>
      </c>
      <c r="L170" s="82"/>
      <c r="M170" s="82"/>
      <c r="N170" s="82">
        <v>3784.4638300000001</v>
      </c>
      <c r="O170" s="78">
        <v>3784.4638300000001</v>
      </c>
      <c r="P170" s="78">
        <v>0</v>
      </c>
      <c r="Q170" s="73">
        <v>21433.17815</v>
      </c>
      <c r="R170" s="78">
        <v>5193.2880000000005</v>
      </c>
      <c r="S170" s="78">
        <v>16239.890150000001</v>
      </c>
      <c r="T170" s="47"/>
      <c r="U170" s="57">
        <v>0</v>
      </c>
      <c r="V170" s="57">
        <v>0</v>
      </c>
      <c r="W170" s="57"/>
      <c r="X170" s="57"/>
      <c r="Y170" s="57">
        <v>0</v>
      </c>
      <c r="Z170" s="57">
        <v>1037.09789</v>
      </c>
      <c r="AA170" s="57">
        <v>1037.09789</v>
      </c>
      <c r="AB170" s="45"/>
      <c r="AC170" s="57">
        <v>0</v>
      </c>
      <c r="AD170" s="78">
        <v>0</v>
      </c>
      <c r="AE170" s="78">
        <v>0</v>
      </c>
      <c r="AF170" s="82">
        <v>246.79199</v>
      </c>
      <c r="AG170" s="78">
        <v>0</v>
      </c>
      <c r="AH170" s="78">
        <v>246.79199</v>
      </c>
      <c r="AI170" s="82">
        <v>0</v>
      </c>
      <c r="AJ170" s="82">
        <v>2696.8763099999996</v>
      </c>
      <c r="AK170" s="78">
        <v>343.41203000000002</v>
      </c>
      <c r="AL170" s="78">
        <v>2353.4642799999997</v>
      </c>
      <c r="AM170" s="82">
        <v>0</v>
      </c>
      <c r="AN170" s="78">
        <v>0</v>
      </c>
      <c r="AO170" s="79">
        <v>0</v>
      </c>
      <c r="AP170" s="82">
        <v>0</v>
      </c>
      <c r="AQ170" s="78">
        <v>0</v>
      </c>
      <c r="AR170" s="52">
        <v>0</v>
      </c>
      <c r="AS170" s="48"/>
      <c r="AT170" s="78"/>
      <c r="AU170" s="52">
        <v>0</v>
      </c>
      <c r="AV170" s="48">
        <v>0</v>
      </c>
      <c r="AW170" s="52">
        <v>0</v>
      </c>
      <c r="AX170" s="52">
        <v>0</v>
      </c>
      <c r="AY170" s="87">
        <v>2943.6682999999998</v>
      </c>
      <c r="AZ170" s="52">
        <v>343.41203000000002</v>
      </c>
      <c r="BA170" s="52">
        <v>2600.2562699999999</v>
      </c>
      <c r="BB170" s="48"/>
      <c r="BC170" s="57">
        <v>0</v>
      </c>
      <c r="BD170" s="57">
        <v>0</v>
      </c>
      <c r="BE170" s="57">
        <v>900.40719999999999</v>
      </c>
      <c r="BF170" s="57">
        <v>0</v>
      </c>
      <c r="BG170" s="57">
        <v>900.40719999999999</v>
      </c>
      <c r="BH170" s="46"/>
      <c r="BI170" s="57">
        <v>0</v>
      </c>
      <c r="BJ170" s="57">
        <v>0</v>
      </c>
      <c r="BK170" s="57"/>
      <c r="BL170" s="57"/>
      <c r="BM170" s="57">
        <v>0</v>
      </c>
      <c r="BN170" s="57"/>
      <c r="BO170" s="57">
        <v>0</v>
      </c>
      <c r="BP170" s="46"/>
      <c r="BQ170" s="87">
        <v>26314.351540000003</v>
      </c>
      <c r="BR170" s="52">
        <v>7474.2051200000005</v>
      </c>
      <c r="BS170" s="52">
        <v>18840.146420000001</v>
      </c>
    </row>
    <row r="171" spans="1:71" ht="12" customHeight="1" x14ac:dyDescent="0.2">
      <c r="A171" s="55">
        <v>2016</v>
      </c>
      <c r="B171" s="55" t="s">
        <v>11</v>
      </c>
      <c r="C171" s="82">
        <v>0</v>
      </c>
      <c r="D171" s="82">
        <v>17282.99769</v>
      </c>
      <c r="E171" s="78">
        <v>3243.3264299999996</v>
      </c>
      <c r="F171" s="78">
        <v>14039.671260000001</v>
      </c>
      <c r="G171" s="82">
        <v>0</v>
      </c>
      <c r="H171" s="82"/>
      <c r="I171" s="82">
        <v>0</v>
      </c>
      <c r="J171" s="82">
        <v>0</v>
      </c>
      <c r="K171" s="82">
        <v>0</v>
      </c>
      <c r="L171" s="82"/>
      <c r="M171" s="82"/>
      <c r="N171" s="82">
        <v>3998.7399399999999</v>
      </c>
      <c r="O171" s="78">
        <v>3998.7399399999999</v>
      </c>
      <c r="P171" s="78">
        <v>0</v>
      </c>
      <c r="Q171" s="73">
        <v>21281.73763</v>
      </c>
      <c r="R171" s="78">
        <v>7242.0663699999996</v>
      </c>
      <c r="S171" s="78">
        <v>14039.671260000001</v>
      </c>
      <c r="T171" s="47"/>
      <c r="U171" s="57">
        <v>0</v>
      </c>
      <c r="V171" s="57">
        <v>0</v>
      </c>
      <c r="W171" s="57"/>
      <c r="X171" s="57"/>
      <c r="Y171" s="57">
        <v>1756.6513599999998</v>
      </c>
      <c r="Z171" s="57">
        <v>611.62189000000001</v>
      </c>
      <c r="AA171" s="57">
        <v>2368.2732499999997</v>
      </c>
      <c r="AB171" s="45"/>
      <c r="AC171" s="57">
        <v>0</v>
      </c>
      <c r="AD171" s="78">
        <v>0</v>
      </c>
      <c r="AE171" s="78">
        <v>0</v>
      </c>
      <c r="AF171" s="82">
        <v>649.07855999999992</v>
      </c>
      <c r="AG171" s="78">
        <v>0</v>
      </c>
      <c r="AH171" s="78">
        <v>649.07855999999992</v>
      </c>
      <c r="AI171" s="82">
        <v>0</v>
      </c>
      <c r="AJ171" s="82">
        <v>3569.3180300000004</v>
      </c>
      <c r="AK171" s="78">
        <v>912.93909999999994</v>
      </c>
      <c r="AL171" s="78">
        <v>2656.3789300000003</v>
      </c>
      <c r="AM171" s="82">
        <v>0</v>
      </c>
      <c r="AN171" s="78">
        <v>0</v>
      </c>
      <c r="AO171" s="79">
        <v>0</v>
      </c>
      <c r="AP171" s="82">
        <v>0</v>
      </c>
      <c r="AQ171" s="78">
        <v>0</v>
      </c>
      <c r="AR171" s="52">
        <v>0</v>
      </c>
      <c r="AS171" s="48"/>
      <c r="AT171" s="78"/>
      <c r="AU171" s="52">
        <v>0</v>
      </c>
      <c r="AV171" s="48">
        <v>0</v>
      </c>
      <c r="AW171" s="52">
        <v>0</v>
      </c>
      <c r="AX171" s="52">
        <v>0</v>
      </c>
      <c r="AY171" s="87">
        <v>4218.3965900000003</v>
      </c>
      <c r="AZ171" s="52">
        <v>912.93909999999994</v>
      </c>
      <c r="BA171" s="52">
        <v>3305.4574900000002</v>
      </c>
      <c r="BB171" s="48"/>
      <c r="BC171" s="57">
        <v>0</v>
      </c>
      <c r="BD171" s="57">
        <v>0</v>
      </c>
      <c r="BE171" s="57">
        <v>905.40291999999999</v>
      </c>
      <c r="BF171" s="57">
        <v>0</v>
      </c>
      <c r="BG171" s="57">
        <v>905.40291999999999</v>
      </c>
      <c r="BH171" s="46"/>
      <c r="BI171" s="57">
        <v>0</v>
      </c>
      <c r="BJ171" s="57">
        <v>0</v>
      </c>
      <c r="BK171" s="57"/>
      <c r="BL171" s="57"/>
      <c r="BM171" s="57">
        <v>0</v>
      </c>
      <c r="BN171" s="57"/>
      <c r="BO171" s="57">
        <v>0</v>
      </c>
      <c r="BP171" s="46"/>
      <c r="BQ171" s="87">
        <v>28773.810389999999</v>
      </c>
      <c r="BR171" s="52">
        <v>11428.681639999999</v>
      </c>
      <c r="BS171" s="52">
        <v>17345.12875</v>
      </c>
    </row>
    <row r="172" spans="1:71" ht="12" customHeight="1" x14ac:dyDescent="0.2">
      <c r="A172" s="55">
        <v>2016</v>
      </c>
      <c r="B172" s="55" t="s">
        <v>12</v>
      </c>
      <c r="C172" s="82">
        <v>0</v>
      </c>
      <c r="D172" s="82">
        <v>14989.59519</v>
      </c>
      <c r="E172" s="78">
        <v>995.95387000000005</v>
      </c>
      <c r="F172" s="78">
        <v>13993.641320000001</v>
      </c>
      <c r="G172" s="82">
        <v>0</v>
      </c>
      <c r="H172" s="82"/>
      <c r="I172" s="82">
        <v>0</v>
      </c>
      <c r="J172" s="82">
        <v>0</v>
      </c>
      <c r="K172" s="82">
        <v>0</v>
      </c>
      <c r="L172" s="82"/>
      <c r="M172" s="82"/>
      <c r="N172" s="82">
        <v>5128.7267899999988</v>
      </c>
      <c r="O172" s="78">
        <v>5128.7267899999988</v>
      </c>
      <c r="P172" s="78">
        <v>0</v>
      </c>
      <c r="Q172" s="73">
        <v>20118.321980000001</v>
      </c>
      <c r="R172" s="78">
        <v>6124.6806599999991</v>
      </c>
      <c r="S172" s="78">
        <v>13993.641320000001</v>
      </c>
      <c r="T172" s="47"/>
      <c r="U172" s="57">
        <v>0</v>
      </c>
      <c r="V172" s="57">
        <v>0</v>
      </c>
      <c r="W172" s="57"/>
      <c r="X172" s="57"/>
      <c r="Y172" s="57">
        <v>2904.7563700000001</v>
      </c>
      <c r="Z172" s="57">
        <v>0</v>
      </c>
      <c r="AA172" s="57">
        <v>2904.7563700000001</v>
      </c>
      <c r="AB172" s="45"/>
      <c r="AC172" s="57">
        <v>0</v>
      </c>
      <c r="AD172" s="78">
        <v>0</v>
      </c>
      <c r="AE172" s="78">
        <v>0</v>
      </c>
      <c r="AF172" s="82">
        <v>759.23289</v>
      </c>
      <c r="AG172" s="78">
        <v>0</v>
      </c>
      <c r="AH172" s="78">
        <v>759.23289</v>
      </c>
      <c r="AI172" s="82">
        <v>0</v>
      </c>
      <c r="AJ172" s="82">
        <v>3682.4102499999999</v>
      </c>
      <c r="AK172" s="78">
        <v>938.16112999999996</v>
      </c>
      <c r="AL172" s="78">
        <v>2744.2491199999999</v>
      </c>
      <c r="AM172" s="82">
        <v>0</v>
      </c>
      <c r="AN172" s="78">
        <v>0</v>
      </c>
      <c r="AO172" s="79">
        <v>0</v>
      </c>
      <c r="AP172" s="82">
        <v>0</v>
      </c>
      <c r="AQ172" s="78">
        <v>0</v>
      </c>
      <c r="AR172" s="52">
        <v>0</v>
      </c>
      <c r="AS172" s="48"/>
      <c r="AT172" s="78"/>
      <c r="AU172" s="52">
        <v>0</v>
      </c>
      <c r="AV172" s="48">
        <v>0</v>
      </c>
      <c r="AW172" s="52">
        <v>0</v>
      </c>
      <c r="AX172" s="52">
        <v>0</v>
      </c>
      <c r="AY172" s="87">
        <v>4441.6431400000001</v>
      </c>
      <c r="AZ172" s="52">
        <v>938.16112999999996</v>
      </c>
      <c r="BA172" s="52">
        <v>3503.4820099999997</v>
      </c>
      <c r="BB172" s="48"/>
      <c r="BC172" s="57">
        <v>0</v>
      </c>
      <c r="BD172" s="57">
        <v>0</v>
      </c>
      <c r="BE172" s="57">
        <v>1774.9793</v>
      </c>
      <c r="BF172" s="57">
        <v>0</v>
      </c>
      <c r="BG172" s="57">
        <v>1774.9793</v>
      </c>
      <c r="BH172" s="46"/>
      <c r="BI172" s="57">
        <v>0</v>
      </c>
      <c r="BJ172" s="57">
        <v>0</v>
      </c>
      <c r="BK172" s="57"/>
      <c r="BL172" s="57"/>
      <c r="BM172" s="57">
        <v>0</v>
      </c>
      <c r="BN172" s="57"/>
      <c r="BO172" s="57">
        <v>0</v>
      </c>
      <c r="BP172" s="46"/>
      <c r="BQ172" s="87">
        <v>29239.700789999999</v>
      </c>
      <c r="BR172" s="52">
        <v>11742.57746</v>
      </c>
      <c r="BS172" s="52">
        <v>17497.123330000002</v>
      </c>
    </row>
    <row r="173" spans="1:71" ht="12" customHeight="1" x14ac:dyDescent="0.2">
      <c r="A173" s="55">
        <v>2016</v>
      </c>
      <c r="B173" s="55" t="s">
        <v>13</v>
      </c>
      <c r="C173" s="82">
        <v>0</v>
      </c>
      <c r="D173" s="82">
        <v>19786.00606</v>
      </c>
      <c r="E173" s="78">
        <v>3502.20759</v>
      </c>
      <c r="F173" s="78">
        <v>16283.798469999998</v>
      </c>
      <c r="G173" s="82">
        <v>0</v>
      </c>
      <c r="H173" s="82"/>
      <c r="I173" s="82">
        <v>0</v>
      </c>
      <c r="J173" s="82">
        <v>0</v>
      </c>
      <c r="K173" s="82">
        <v>0</v>
      </c>
      <c r="L173" s="82"/>
      <c r="M173" s="82"/>
      <c r="N173" s="82">
        <v>3781.0365300000003</v>
      </c>
      <c r="O173" s="78">
        <v>3781.0365300000003</v>
      </c>
      <c r="P173" s="78">
        <v>0</v>
      </c>
      <c r="Q173" s="73">
        <v>23567.042589999997</v>
      </c>
      <c r="R173" s="78">
        <v>7283.2441200000003</v>
      </c>
      <c r="S173" s="78">
        <v>16283.798469999998</v>
      </c>
      <c r="T173" s="47"/>
      <c r="U173" s="57">
        <v>0</v>
      </c>
      <c r="V173" s="57">
        <v>0</v>
      </c>
      <c r="W173" s="57"/>
      <c r="X173" s="57"/>
      <c r="Y173" s="57">
        <v>3800.7530499999998</v>
      </c>
      <c r="Z173" s="57">
        <v>0</v>
      </c>
      <c r="AA173" s="57">
        <v>3800.7530499999998</v>
      </c>
      <c r="AB173" s="45"/>
      <c r="AC173" s="57">
        <v>0</v>
      </c>
      <c r="AD173" s="78">
        <v>0</v>
      </c>
      <c r="AE173" s="78">
        <v>0</v>
      </c>
      <c r="AF173" s="82">
        <v>770.77230000000009</v>
      </c>
      <c r="AG173" s="78">
        <v>0</v>
      </c>
      <c r="AH173" s="78">
        <v>770.77230000000009</v>
      </c>
      <c r="AI173" s="82">
        <v>0</v>
      </c>
      <c r="AJ173" s="82">
        <v>3393.3803399999997</v>
      </c>
      <c r="AK173" s="78">
        <v>919.93012999999996</v>
      </c>
      <c r="AL173" s="78">
        <v>2473.45021</v>
      </c>
      <c r="AM173" s="82">
        <v>0</v>
      </c>
      <c r="AN173" s="78">
        <v>0</v>
      </c>
      <c r="AO173" s="79">
        <v>0</v>
      </c>
      <c r="AP173" s="82">
        <v>0</v>
      </c>
      <c r="AQ173" s="78">
        <v>0</v>
      </c>
      <c r="AR173" s="52">
        <v>0</v>
      </c>
      <c r="AS173" s="48"/>
      <c r="AT173" s="78"/>
      <c r="AU173" s="52">
        <v>0</v>
      </c>
      <c r="AV173" s="48">
        <v>0</v>
      </c>
      <c r="AW173" s="52">
        <v>0</v>
      </c>
      <c r="AX173" s="52">
        <v>0</v>
      </c>
      <c r="AY173" s="87">
        <v>4164.1526400000002</v>
      </c>
      <c r="AZ173" s="52">
        <v>919.93012999999996</v>
      </c>
      <c r="BA173" s="52">
        <v>3244.2225100000001</v>
      </c>
      <c r="BB173" s="48"/>
      <c r="BC173" s="57">
        <v>0</v>
      </c>
      <c r="BD173" s="57">
        <v>0</v>
      </c>
      <c r="BE173" s="57">
        <v>1845.74395</v>
      </c>
      <c r="BF173" s="57">
        <v>0</v>
      </c>
      <c r="BG173" s="57">
        <v>1845.74395</v>
      </c>
      <c r="BH173" s="46"/>
      <c r="BI173" s="57">
        <v>0</v>
      </c>
      <c r="BJ173" s="57">
        <v>0</v>
      </c>
      <c r="BK173" s="57"/>
      <c r="BL173" s="57"/>
      <c r="BM173" s="57">
        <v>0</v>
      </c>
      <c r="BN173" s="57"/>
      <c r="BO173" s="57">
        <v>0</v>
      </c>
      <c r="BP173" s="46"/>
      <c r="BQ173" s="87">
        <v>33377.692230000001</v>
      </c>
      <c r="BR173" s="52">
        <v>13849.671250000001</v>
      </c>
      <c r="BS173" s="52">
        <v>19528.020979999998</v>
      </c>
    </row>
    <row r="174" spans="1:71" ht="12" customHeight="1" x14ac:dyDescent="0.2">
      <c r="A174" s="55">
        <v>2016</v>
      </c>
      <c r="B174" s="55" t="s">
        <v>14</v>
      </c>
      <c r="C174" s="82">
        <v>1039.58565</v>
      </c>
      <c r="D174" s="82">
        <v>19223.784079999998</v>
      </c>
      <c r="E174" s="78">
        <v>3495.9436299999998</v>
      </c>
      <c r="F174" s="78">
        <v>15727.84045</v>
      </c>
      <c r="G174" s="82">
        <v>0</v>
      </c>
      <c r="H174" s="82"/>
      <c r="I174" s="82">
        <v>0</v>
      </c>
      <c r="J174" s="82">
        <v>0</v>
      </c>
      <c r="K174" s="82">
        <v>0</v>
      </c>
      <c r="L174" s="82"/>
      <c r="M174" s="82"/>
      <c r="N174" s="82">
        <v>5926.7805099999996</v>
      </c>
      <c r="O174" s="78">
        <v>5926.7805099999996</v>
      </c>
      <c r="P174" s="78">
        <v>0</v>
      </c>
      <c r="Q174" s="73">
        <v>26190.150239999999</v>
      </c>
      <c r="R174" s="78">
        <v>10462.309789999999</v>
      </c>
      <c r="S174" s="78">
        <v>15727.84045</v>
      </c>
      <c r="T174" s="47"/>
      <c r="U174" s="57">
        <v>0</v>
      </c>
      <c r="V174" s="57">
        <v>0</v>
      </c>
      <c r="W174" s="57"/>
      <c r="X174" s="57"/>
      <c r="Y174" s="57">
        <v>5178.6427200000007</v>
      </c>
      <c r="Z174" s="57">
        <v>0</v>
      </c>
      <c r="AA174" s="57">
        <v>5178.6427200000007</v>
      </c>
      <c r="AB174" s="45"/>
      <c r="AC174" s="57">
        <v>0</v>
      </c>
      <c r="AD174" s="78">
        <v>0</v>
      </c>
      <c r="AE174" s="78">
        <v>0</v>
      </c>
      <c r="AF174" s="82">
        <v>1053.6282800000001</v>
      </c>
      <c r="AG174" s="78">
        <v>0</v>
      </c>
      <c r="AH174" s="78">
        <v>1053.6282800000001</v>
      </c>
      <c r="AI174" s="82">
        <v>0</v>
      </c>
      <c r="AJ174" s="82">
        <v>3992.99352</v>
      </c>
      <c r="AK174" s="78">
        <v>918.29697999999996</v>
      </c>
      <c r="AL174" s="78">
        <v>3074.6965399999999</v>
      </c>
      <c r="AM174" s="82">
        <v>0</v>
      </c>
      <c r="AN174" s="78">
        <v>0</v>
      </c>
      <c r="AO174" s="79">
        <v>0</v>
      </c>
      <c r="AP174" s="82">
        <v>8</v>
      </c>
      <c r="AQ174" s="78">
        <v>0</v>
      </c>
      <c r="AR174" s="52">
        <v>8</v>
      </c>
      <c r="AS174" s="48"/>
      <c r="AT174" s="78"/>
      <c r="AU174" s="52">
        <v>0</v>
      </c>
      <c r="AV174" s="48">
        <v>0</v>
      </c>
      <c r="AW174" s="52">
        <v>0</v>
      </c>
      <c r="AX174" s="52">
        <v>0</v>
      </c>
      <c r="AY174" s="87">
        <v>5054.6217999999999</v>
      </c>
      <c r="AZ174" s="52">
        <v>918.29697999999996</v>
      </c>
      <c r="BA174" s="52">
        <v>4136.3248199999998</v>
      </c>
      <c r="BB174" s="48"/>
      <c r="BC174" s="57">
        <v>0</v>
      </c>
      <c r="BD174" s="57">
        <v>0</v>
      </c>
      <c r="BE174" s="57">
        <v>3601.8640499999997</v>
      </c>
      <c r="BF174" s="57">
        <v>0</v>
      </c>
      <c r="BG174" s="57">
        <v>3601.8640499999997</v>
      </c>
      <c r="BH174" s="46"/>
      <c r="BI174" s="57">
        <v>0</v>
      </c>
      <c r="BJ174" s="57">
        <v>0</v>
      </c>
      <c r="BK174" s="57"/>
      <c r="BL174" s="57"/>
      <c r="BM174" s="57">
        <v>0</v>
      </c>
      <c r="BN174" s="57"/>
      <c r="BO174" s="57">
        <v>0</v>
      </c>
      <c r="BP174" s="46"/>
      <c r="BQ174" s="87">
        <v>40025.278809999996</v>
      </c>
      <c r="BR174" s="52">
        <v>20161.113539999998</v>
      </c>
      <c r="BS174" s="52">
        <v>19864.165269999998</v>
      </c>
    </row>
    <row r="175" spans="1:71" ht="12" customHeight="1" x14ac:dyDescent="0.2">
      <c r="A175" s="55">
        <v>2016</v>
      </c>
      <c r="B175" s="55" t="s">
        <v>15</v>
      </c>
      <c r="C175" s="82">
        <v>1039.58565</v>
      </c>
      <c r="D175" s="82">
        <v>207037.50283000001</v>
      </c>
      <c r="E175" s="78">
        <v>33498.82187</v>
      </c>
      <c r="F175" s="78">
        <v>173538.68096</v>
      </c>
      <c r="G175" s="82">
        <v>0</v>
      </c>
      <c r="H175" s="82"/>
      <c r="I175" s="82">
        <v>0</v>
      </c>
      <c r="J175" s="82">
        <v>0</v>
      </c>
      <c r="K175" s="82">
        <v>0</v>
      </c>
      <c r="L175" s="82"/>
      <c r="M175" s="82"/>
      <c r="N175" s="82">
        <v>52761.725809999996</v>
      </c>
      <c r="O175" s="78">
        <v>52761.725809999996</v>
      </c>
      <c r="P175" s="78">
        <v>0</v>
      </c>
      <c r="Q175" s="73">
        <v>260838.81428999998</v>
      </c>
      <c r="R175" s="78">
        <v>87300.133330000011</v>
      </c>
      <c r="S175" s="78">
        <v>173538.68096</v>
      </c>
      <c r="T175" s="47"/>
      <c r="U175" s="57">
        <v>0</v>
      </c>
      <c r="V175" s="57">
        <v>845.54129</v>
      </c>
      <c r="W175" s="57"/>
      <c r="X175" s="57"/>
      <c r="Y175" s="57">
        <v>20151.078399999999</v>
      </c>
      <c r="Z175" s="57">
        <v>7305.5222599999997</v>
      </c>
      <c r="AA175" s="57">
        <v>28302.141949999997</v>
      </c>
      <c r="AB175" s="45"/>
      <c r="AC175" s="57">
        <v>0</v>
      </c>
      <c r="AD175" s="78">
        <v>0</v>
      </c>
      <c r="AE175" s="78">
        <v>0</v>
      </c>
      <c r="AF175" s="82">
        <v>7817.7782099999995</v>
      </c>
      <c r="AG175" s="78">
        <v>0.57208999999999999</v>
      </c>
      <c r="AH175" s="78">
        <v>7817.2061199999998</v>
      </c>
      <c r="AI175" s="82">
        <v>0</v>
      </c>
      <c r="AJ175" s="82">
        <v>38415.6976</v>
      </c>
      <c r="AK175" s="78">
        <v>8667.4403399999992</v>
      </c>
      <c r="AL175" s="78">
        <v>29748.257259999998</v>
      </c>
      <c r="AM175" s="82">
        <v>0</v>
      </c>
      <c r="AN175" s="78">
        <v>0</v>
      </c>
      <c r="AO175" s="79">
        <v>0</v>
      </c>
      <c r="AP175" s="82">
        <v>8</v>
      </c>
      <c r="AQ175" s="78">
        <v>0</v>
      </c>
      <c r="AR175" s="52">
        <v>8</v>
      </c>
      <c r="AS175" s="48"/>
      <c r="AT175" s="78"/>
      <c r="AU175" s="52">
        <v>0</v>
      </c>
      <c r="AV175" s="48">
        <v>0</v>
      </c>
      <c r="AW175" s="52">
        <v>0</v>
      </c>
      <c r="AX175" s="52">
        <v>0</v>
      </c>
      <c r="AY175" s="87">
        <v>46241.475810000004</v>
      </c>
      <c r="AZ175" s="52">
        <v>8668.0124299999989</v>
      </c>
      <c r="BA175" s="52">
        <v>37573.463380000001</v>
      </c>
      <c r="BB175" s="48"/>
      <c r="BC175" s="57">
        <v>0</v>
      </c>
      <c r="BD175" s="57">
        <v>0</v>
      </c>
      <c r="BE175" s="57">
        <v>28942.716790000006</v>
      </c>
      <c r="BF175" s="57">
        <v>0</v>
      </c>
      <c r="BG175" s="57">
        <v>28942.716790000006</v>
      </c>
      <c r="BH175" s="46"/>
      <c r="BI175" s="57">
        <v>0</v>
      </c>
      <c r="BJ175" s="57">
        <v>0</v>
      </c>
      <c r="BK175" s="57"/>
      <c r="BL175" s="57"/>
      <c r="BM175" s="57">
        <v>0</v>
      </c>
      <c r="BN175" s="57"/>
      <c r="BO175" s="57">
        <v>0</v>
      </c>
      <c r="BP175" s="46"/>
      <c r="BQ175" s="87">
        <v>364325.14883999992</v>
      </c>
      <c r="BR175" s="52">
        <v>153213.00450000001</v>
      </c>
      <c r="BS175" s="52">
        <v>211112.14434</v>
      </c>
    </row>
    <row r="176" spans="1:71" ht="12" customHeight="1" x14ac:dyDescent="0.2">
      <c r="A176" s="55">
        <v>2017</v>
      </c>
      <c r="B176" s="55" t="s">
        <v>3</v>
      </c>
      <c r="C176" s="82">
        <v>0</v>
      </c>
      <c r="D176" s="82">
        <v>17313.521059999999</v>
      </c>
      <c r="E176" s="78">
        <v>505.17596999999995</v>
      </c>
      <c r="F176" s="78">
        <v>16808.345089999999</v>
      </c>
      <c r="G176" s="82">
        <v>0</v>
      </c>
      <c r="H176" s="82"/>
      <c r="I176" s="82">
        <v>0</v>
      </c>
      <c r="J176" s="82">
        <v>0</v>
      </c>
      <c r="K176" s="82">
        <v>0</v>
      </c>
      <c r="L176" s="82"/>
      <c r="M176" s="82"/>
      <c r="N176" s="82">
        <v>4789.4174499999999</v>
      </c>
      <c r="O176" s="78">
        <v>4789.4174499999999</v>
      </c>
      <c r="P176" s="78">
        <v>0</v>
      </c>
      <c r="Q176" s="73">
        <v>22102.93851</v>
      </c>
      <c r="R176" s="78">
        <v>5294.5934200000002</v>
      </c>
      <c r="S176" s="78">
        <v>16808.345089999999</v>
      </c>
      <c r="T176" s="47"/>
      <c r="U176" s="57">
        <v>0</v>
      </c>
      <c r="V176" s="57">
        <v>1933.16308</v>
      </c>
      <c r="W176" s="57"/>
      <c r="X176" s="57"/>
      <c r="Y176" s="57">
        <v>3746.8747899999998</v>
      </c>
      <c r="Z176" s="57">
        <v>844.17743000000007</v>
      </c>
      <c r="AA176" s="57">
        <v>6524.2152999999998</v>
      </c>
      <c r="AB176" s="45"/>
      <c r="AC176" s="57">
        <v>0</v>
      </c>
      <c r="AD176" s="78">
        <v>0</v>
      </c>
      <c r="AE176" s="78">
        <v>0</v>
      </c>
      <c r="AF176" s="82">
        <v>1968.5838399999993</v>
      </c>
      <c r="AG176" s="78">
        <v>0</v>
      </c>
      <c r="AH176" s="78">
        <v>1968.5838399999993</v>
      </c>
      <c r="AI176" s="82">
        <v>0</v>
      </c>
      <c r="AJ176" s="82">
        <v>3160.4183200000002</v>
      </c>
      <c r="AK176" s="78">
        <v>530.86404000000005</v>
      </c>
      <c r="AL176" s="78">
        <v>2629.5542800000003</v>
      </c>
      <c r="AM176" s="82">
        <v>313.10043000000002</v>
      </c>
      <c r="AN176" s="78">
        <v>313.10043000000002</v>
      </c>
      <c r="AO176" s="79">
        <v>0</v>
      </c>
      <c r="AP176" s="82">
        <v>4.9801000000000002</v>
      </c>
      <c r="AQ176" s="78">
        <v>4.9801000000000002</v>
      </c>
      <c r="AR176" s="52">
        <v>0</v>
      </c>
      <c r="AS176" s="48"/>
      <c r="AT176" s="78"/>
      <c r="AU176" s="52">
        <v>0</v>
      </c>
      <c r="AV176" s="48">
        <v>0</v>
      </c>
      <c r="AW176" s="52">
        <v>0</v>
      </c>
      <c r="AX176" s="52">
        <v>0</v>
      </c>
      <c r="AY176" s="87">
        <v>5447.0826899999993</v>
      </c>
      <c r="AZ176" s="52">
        <v>848.94457000000011</v>
      </c>
      <c r="BA176" s="52">
        <v>4598.1381199999996</v>
      </c>
      <c r="BB176" s="48"/>
      <c r="BC176" s="57">
        <v>0</v>
      </c>
      <c r="BD176" s="57">
        <v>0</v>
      </c>
      <c r="BE176" s="57">
        <v>1788.0844399999999</v>
      </c>
      <c r="BF176" s="57">
        <v>0</v>
      </c>
      <c r="BG176" s="57">
        <v>1788.0844399999999</v>
      </c>
      <c r="BH176" s="46"/>
      <c r="BI176" s="57">
        <v>0</v>
      </c>
      <c r="BJ176" s="57">
        <v>0</v>
      </c>
      <c r="BK176" s="57"/>
      <c r="BL176" s="57"/>
      <c r="BM176" s="57">
        <v>0</v>
      </c>
      <c r="BN176" s="57">
        <v>0</v>
      </c>
      <c r="BO176" s="57">
        <v>0</v>
      </c>
      <c r="BP176" s="46"/>
      <c r="BQ176" s="87">
        <v>35862.320939999998</v>
      </c>
      <c r="BR176" s="52">
        <v>14455.837730000001</v>
      </c>
      <c r="BS176" s="52">
        <v>21406.483209999999</v>
      </c>
    </row>
    <row r="177" spans="1:71" ht="12" customHeight="1" x14ac:dyDescent="0.2">
      <c r="A177" s="55">
        <v>2017</v>
      </c>
      <c r="B177" s="55" t="s">
        <v>4</v>
      </c>
      <c r="C177" s="82">
        <v>1046.2517499999999</v>
      </c>
      <c r="D177" s="82">
        <v>20124.410389999997</v>
      </c>
      <c r="E177" s="78">
        <v>4411.5555000000004</v>
      </c>
      <c r="F177" s="78">
        <v>15712.854889999999</v>
      </c>
      <c r="G177" s="82">
        <v>0</v>
      </c>
      <c r="H177" s="82"/>
      <c r="I177" s="82">
        <v>0</v>
      </c>
      <c r="J177" s="82">
        <v>0</v>
      </c>
      <c r="K177" s="82">
        <v>0</v>
      </c>
      <c r="L177" s="82"/>
      <c r="M177" s="82"/>
      <c r="N177" s="82">
        <v>3979.5128500000001</v>
      </c>
      <c r="O177" s="78">
        <v>3979.5128500000001</v>
      </c>
      <c r="P177" s="78">
        <v>0</v>
      </c>
      <c r="Q177" s="73">
        <v>25150.17499</v>
      </c>
      <c r="R177" s="78">
        <v>9437.3201000000008</v>
      </c>
      <c r="S177" s="78">
        <v>15712.854889999999</v>
      </c>
      <c r="T177" s="47"/>
      <c r="U177" s="57">
        <v>0</v>
      </c>
      <c r="V177" s="57">
        <v>1365.87796</v>
      </c>
      <c r="W177" s="57"/>
      <c r="X177" s="57"/>
      <c r="Y177" s="57">
        <v>3827.8853300000001</v>
      </c>
      <c r="Z177" s="57">
        <v>909.88274000000001</v>
      </c>
      <c r="AA177" s="57">
        <v>6103.6460299999999</v>
      </c>
      <c r="AB177" s="45"/>
      <c r="AC177" s="57">
        <v>0</v>
      </c>
      <c r="AD177" s="78">
        <v>0</v>
      </c>
      <c r="AE177" s="78">
        <v>0</v>
      </c>
      <c r="AF177" s="82">
        <v>1072.3587999999993</v>
      </c>
      <c r="AG177" s="78">
        <v>0</v>
      </c>
      <c r="AH177" s="78">
        <v>1072.3587999999993</v>
      </c>
      <c r="AI177" s="82">
        <v>0</v>
      </c>
      <c r="AJ177" s="82">
        <v>3709.9365600000001</v>
      </c>
      <c r="AK177" s="78">
        <v>1819.9141200000001</v>
      </c>
      <c r="AL177" s="78">
        <v>1890.02244</v>
      </c>
      <c r="AM177" s="82">
        <v>0</v>
      </c>
      <c r="AN177" s="78">
        <v>0</v>
      </c>
      <c r="AO177" s="79">
        <v>0</v>
      </c>
      <c r="AP177" s="82">
        <v>15.489070000000002</v>
      </c>
      <c r="AQ177" s="78">
        <v>0.63037999999999994</v>
      </c>
      <c r="AR177" s="52">
        <v>14.858690000000001</v>
      </c>
      <c r="AS177" s="48"/>
      <c r="AT177" s="78"/>
      <c r="AU177" s="52">
        <v>0</v>
      </c>
      <c r="AV177" s="48">
        <v>0</v>
      </c>
      <c r="AW177" s="52">
        <v>0</v>
      </c>
      <c r="AX177" s="52">
        <v>0</v>
      </c>
      <c r="AY177" s="87">
        <v>4797.7844299999997</v>
      </c>
      <c r="AZ177" s="52">
        <v>1820.5445000000002</v>
      </c>
      <c r="BA177" s="52">
        <v>2977.2399299999993</v>
      </c>
      <c r="BB177" s="48"/>
      <c r="BC177" s="57">
        <v>0</v>
      </c>
      <c r="BD177" s="57">
        <v>0</v>
      </c>
      <c r="BE177" s="57">
        <v>3585.4291600000001</v>
      </c>
      <c r="BF177" s="57">
        <v>0</v>
      </c>
      <c r="BG177" s="57">
        <v>3585.4291600000001</v>
      </c>
      <c r="BH177" s="46"/>
      <c r="BI177" s="57">
        <v>0</v>
      </c>
      <c r="BJ177" s="57">
        <v>0</v>
      </c>
      <c r="BK177" s="57"/>
      <c r="BL177" s="57"/>
      <c r="BM177" s="57">
        <v>0</v>
      </c>
      <c r="BN177" s="57">
        <v>0</v>
      </c>
      <c r="BO177" s="57">
        <v>0</v>
      </c>
      <c r="BP177" s="46"/>
      <c r="BQ177" s="87">
        <v>39637.034610000002</v>
      </c>
      <c r="BR177" s="52">
        <v>20946.93979</v>
      </c>
      <c r="BS177" s="52">
        <v>18690.094819999998</v>
      </c>
    </row>
    <row r="178" spans="1:71" ht="12" customHeight="1" x14ac:dyDescent="0.2">
      <c r="A178" s="55">
        <v>2017</v>
      </c>
      <c r="B178" s="55" t="s">
        <v>5</v>
      </c>
      <c r="C178" s="82">
        <v>0</v>
      </c>
      <c r="D178" s="82">
        <v>17944.975780000001</v>
      </c>
      <c r="E178" s="78">
        <v>2459.4859900000001</v>
      </c>
      <c r="F178" s="78">
        <v>15485.48979</v>
      </c>
      <c r="G178" s="82">
        <v>0</v>
      </c>
      <c r="H178" s="82"/>
      <c r="I178" s="82">
        <v>0</v>
      </c>
      <c r="J178" s="82">
        <v>0</v>
      </c>
      <c r="K178" s="82">
        <v>0</v>
      </c>
      <c r="L178" s="82"/>
      <c r="M178" s="82"/>
      <c r="N178" s="82">
        <v>5095.0595700000003</v>
      </c>
      <c r="O178" s="78">
        <v>5095.0595700000003</v>
      </c>
      <c r="P178" s="78">
        <v>0</v>
      </c>
      <c r="Q178" s="73">
        <v>23040.035349999998</v>
      </c>
      <c r="R178" s="78">
        <v>7554.5455600000005</v>
      </c>
      <c r="S178" s="78">
        <v>15485.48979</v>
      </c>
      <c r="T178" s="47"/>
      <c r="U178" s="57">
        <v>0</v>
      </c>
      <c r="V178" s="57">
        <v>0</v>
      </c>
      <c r="W178" s="57"/>
      <c r="X178" s="57"/>
      <c r="Y178" s="57">
        <v>2019.6090800000002</v>
      </c>
      <c r="Z178" s="57">
        <v>0</v>
      </c>
      <c r="AA178" s="57">
        <v>2019.6090800000002</v>
      </c>
      <c r="AB178" s="45"/>
      <c r="AC178" s="57">
        <v>0</v>
      </c>
      <c r="AD178" s="78">
        <v>0</v>
      </c>
      <c r="AE178" s="78">
        <v>0</v>
      </c>
      <c r="AF178" s="82">
        <v>684.91946999999993</v>
      </c>
      <c r="AG178" s="78">
        <v>0</v>
      </c>
      <c r="AH178" s="78">
        <v>684.91946999999993</v>
      </c>
      <c r="AI178" s="82">
        <v>0</v>
      </c>
      <c r="AJ178" s="82">
        <v>1304.4235399999998</v>
      </c>
      <c r="AK178" s="78">
        <v>0</v>
      </c>
      <c r="AL178" s="78">
        <v>1304.4235399999998</v>
      </c>
      <c r="AM178" s="82">
        <v>0</v>
      </c>
      <c r="AN178" s="78">
        <v>0</v>
      </c>
      <c r="AO178" s="79">
        <v>0</v>
      </c>
      <c r="AP178" s="82">
        <v>0</v>
      </c>
      <c r="AQ178" s="78">
        <v>0</v>
      </c>
      <c r="AR178" s="52">
        <v>0</v>
      </c>
      <c r="AS178" s="48"/>
      <c r="AT178" s="78"/>
      <c r="AU178" s="52">
        <v>0</v>
      </c>
      <c r="AV178" s="48">
        <v>0</v>
      </c>
      <c r="AW178" s="52">
        <v>0</v>
      </c>
      <c r="AX178" s="52">
        <v>0</v>
      </c>
      <c r="AY178" s="87">
        <v>1989.3430099999996</v>
      </c>
      <c r="AZ178" s="52">
        <v>0</v>
      </c>
      <c r="BA178" s="52">
        <v>1989.3430099999996</v>
      </c>
      <c r="BB178" s="48"/>
      <c r="BC178" s="57">
        <v>0</v>
      </c>
      <c r="BD178" s="57">
        <v>0</v>
      </c>
      <c r="BE178" s="57">
        <v>897.87617</v>
      </c>
      <c r="BF178" s="57">
        <v>0</v>
      </c>
      <c r="BG178" s="57">
        <v>897.87617</v>
      </c>
      <c r="BH178" s="46"/>
      <c r="BI178" s="57">
        <v>0</v>
      </c>
      <c r="BJ178" s="57">
        <v>0</v>
      </c>
      <c r="BK178" s="57"/>
      <c r="BL178" s="57"/>
      <c r="BM178" s="57">
        <v>0</v>
      </c>
      <c r="BN178" s="57">
        <v>0</v>
      </c>
      <c r="BO178" s="57">
        <v>0</v>
      </c>
      <c r="BP178" s="46"/>
      <c r="BQ178" s="87">
        <v>27946.86361</v>
      </c>
      <c r="BR178" s="52">
        <v>10472.03081</v>
      </c>
      <c r="BS178" s="52">
        <v>17474.8328</v>
      </c>
    </row>
    <row r="179" spans="1:71" ht="12" customHeight="1" x14ac:dyDescent="0.2">
      <c r="A179" s="55">
        <v>2017</v>
      </c>
      <c r="B179" s="55" t="s">
        <v>6</v>
      </c>
      <c r="C179" s="82">
        <v>0</v>
      </c>
      <c r="D179" s="82">
        <v>13259.322439999998</v>
      </c>
      <c r="E179" s="78">
        <v>992.06336999999996</v>
      </c>
      <c r="F179" s="78">
        <v>12267.259069999998</v>
      </c>
      <c r="G179" s="82">
        <v>0</v>
      </c>
      <c r="H179" s="82"/>
      <c r="I179" s="82">
        <v>0</v>
      </c>
      <c r="J179" s="82">
        <v>0</v>
      </c>
      <c r="K179" s="82">
        <v>0</v>
      </c>
      <c r="L179" s="82"/>
      <c r="M179" s="82"/>
      <c r="N179" s="82">
        <v>5782.1450799999993</v>
      </c>
      <c r="O179" s="78">
        <v>5782.1450799999993</v>
      </c>
      <c r="P179" s="78">
        <v>0</v>
      </c>
      <c r="Q179" s="73">
        <v>19041.467519999998</v>
      </c>
      <c r="R179" s="78">
        <v>6774.2084499999992</v>
      </c>
      <c r="S179" s="78">
        <v>12267.259069999998</v>
      </c>
      <c r="T179" s="47"/>
      <c r="U179" s="57">
        <v>0</v>
      </c>
      <c r="V179" s="57">
        <v>0</v>
      </c>
      <c r="W179" s="57"/>
      <c r="X179" s="57"/>
      <c r="Y179" s="57">
        <v>1767.70119</v>
      </c>
      <c r="Z179" s="57">
        <v>0</v>
      </c>
      <c r="AA179" s="57">
        <v>1767.70119</v>
      </c>
      <c r="AB179" s="45"/>
      <c r="AC179" s="57">
        <v>0</v>
      </c>
      <c r="AD179" s="78">
        <v>0</v>
      </c>
      <c r="AE179" s="78">
        <v>0</v>
      </c>
      <c r="AF179" s="82">
        <v>897.30400000000145</v>
      </c>
      <c r="AG179" s="78">
        <v>0</v>
      </c>
      <c r="AH179" s="78">
        <v>897.30400000000145</v>
      </c>
      <c r="AI179" s="82">
        <v>0</v>
      </c>
      <c r="AJ179" s="82">
        <v>2297.2563899999996</v>
      </c>
      <c r="AK179" s="78">
        <v>0</v>
      </c>
      <c r="AL179" s="78">
        <v>2297.2563899999996</v>
      </c>
      <c r="AM179" s="82">
        <v>0</v>
      </c>
      <c r="AN179" s="78">
        <v>0</v>
      </c>
      <c r="AO179" s="79">
        <v>0</v>
      </c>
      <c r="AP179" s="82">
        <v>0</v>
      </c>
      <c r="AQ179" s="78">
        <v>0</v>
      </c>
      <c r="AR179" s="52">
        <v>0</v>
      </c>
      <c r="AS179" s="48"/>
      <c r="AT179" s="78"/>
      <c r="AU179" s="52">
        <v>0</v>
      </c>
      <c r="AV179" s="48">
        <v>0</v>
      </c>
      <c r="AW179" s="52">
        <v>0</v>
      </c>
      <c r="AX179" s="52">
        <v>0</v>
      </c>
      <c r="AY179" s="87">
        <v>3194.560390000001</v>
      </c>
      <c r="AZ179" s="52">
        <v>0</v>
      </c>
      <c r="BA179" s="52">
        <v>3194.560390000001</v>
      </c>
      <c r="BB179" s="48"/>
      <c r="BC179" s="57">
        <v>0</v>
      </c>
      <c r="BD179" s="57">
        <v>0</v>
      </c>
      <c r="BE179" s="57">
        <v>1840.9191000000001</v>
      </c>
      <c r="BF179" s="57">
        <v>0</v>
      </c>
      <c r="BG179" s="57">
        <v>1840.9191000000001</v>
      </c>
      <c r="BH179" s="46"/>
      <c r="BI179" s="57">
        <v>0</v>
      </c>
      <c r="BJ179" s="57">
        <v>0</v>
      </c>
      <c r="BK179" s="57"/>
      <c r="BL179" s="57"/>
      <c r="BM179" s="57">
        <v>0</v>
      </c>
      <c r="BN179" s="57">
        <v>0</v>
      </c>
      <c r="BO179" s="57">
        <v>0</v>
      </c>
      <c r="BP179" s="46"/>
      <c r="BQ179" s="87">
        <v>25844.6482</v>
      </c>
      <c r="BR179" s="52">
        <v>10382.828740000001</v>
      </c>
      <c r="BS179" s="52">
        <v>15461.819459999999</v>
      </c>
    </row>
    <row r="180" spans="1:71" ht="12" customHeight="1" x14ac:dyDescent="0.2">
      <c r="A180" s="55">
        <v>2017</v>
      </c>
      <c r="B180" s="55" t="s">
        <v>7</v>
      </c>
      <c r="C180" s="82">
        <v>0</v>
      </c>
      <c r="D180" s="82">
        <v>15414.46623</v>
      </c>
      <c r="E180" s="78">
        <v>3023.5256300000001</v>
      </c>
      <c r="F180" s="78">
        <v>12390.9406</v>
      </c>
      <c r="G180" s="82">
        <v>0</v>
      </c>
      <c r="H180" s="82"/>
      <c r="I180" s="82">
        <v>0</v>
      </c>
      <c r="J180" s="82">
        <v>0</v>
      </c>
      <c r="K180" s="82">
        <v>0</v>
      </c>
      <c r="L180" s="82"/>
      <c r="M180" s="82"/>
      <c r="N180" s="82">
        <v>3236.1388899999997</v>
      </c>
      <c r="O180" s="78">
        <v>3236.1388899999997</v>
      </c>
      <c r="P180" s="78">
        <v>0</v>
      </c>
      <c r="Q180" s="73">
        <v>18650.60512</v>
      </c>
      <c r="R180" s="78">
        <v>6259.6645200000003</v>
      </c>
      <c r="S180" s="78">
        <v>12390.9406</v>
      </c>
      <c r="T180" s="47"/>
      <c r="U180" s="57">
        <v>0</v>
      </c>
      <c r="V180" s="57">
        <v>0</v>
      </c>
      <c r="W180" s="57"/>
      <c r="X180" s="57"/>
      <c r="Y180" s="57">
        <v>2722.7252200000003</v>
      </c>
      <c r="Z180" s="57">
        <v>0</v>
      </c>
      <c r="AA180" s="57">
        <v>2722.7252200000003</v>
      </c>
      <c r="AB180" s="45"/>
      <c r="AC180" s="57">
        <v>0</v>
      </c>
      <c r="AD180" s="78">
        <v>0</v>
      </c>
      <c r="AE180" s="78">
        <v>0</v>
      </c>
      <c r="AF180" s="82">
        <v>1295.31692</v>
      </c>
      <c r="AG180" s="78">
        <v>0</v>
      </c>
      <c r="AH180" s="78">
        <v>1295.31692</v>
      </c>
      <c r="AI180" s="82">
        <v>0</v>
      </c>
      <c r="AJ180" s="82">
        <v>2608.55717</v>
      </c>
      <c r="AK180" s="78">
        <v>0</v>
      </c>
      <c r="AL180" s="78">
        <v>2608.55717</v>
      </c>
      <c r="AM180" s="82">
        <v>0</v>
      </c>
      <c r="AN180" s="78">
        <v>0</v>
      </c>
      <c r="AO180" s="79">
        <v>0</v>
      </c>
      <c r="AP180" s="82">
        <v>0</v>
      </c>
      <c r="AQ180" s="78">
        <v>0</v>
      </c>
      <c r="AR180" s="52">
        <v>0</v>
      </c>
      <c r="AS180" s="48"/>
      <c r="AT180" s="78"/>
      <c r="AU180" s="52">
        <v>0</v>
      </c>
      <c r="AV180" s="48">
        <v>0</v>
      </c>
      <c r="AW180" s="52">
        <v>0</v>
      </c>
      <c r="AX180" s="52">
        <v>0</v>
      </c>
      <c r="AY180" s="87">
        <v>3903.8740900000003</v>
      </c>
      <c r="AZ180" s="52">
        <v>0</v>
      </c>
      <c r="BA180" s="52">
        <v>3903.8740900000003</v>
      </c>
      <c r="BB180" s="48"/>
      <c r="BC180" s="57">
        <v>0</v>
      </c>
      <c r="BD180" s="57">
        <v>0</v>
      </c>
      <c r="BE180" s="57">
        <v>4111.9586900000004</v>
      </c>
      <c r="BF180" s="57">
        <v>0</v>
      </c>
      <c r="BG180" s="57">
        <v>4111.9586900000004</v>
      </c>
      <c r="BH180" s="46"/>
      <c r="BI180" s="57">
        <v>0</v>
      </c>
      <c r="BJ180" s="57">
        <v>0</v>
      </c>
      <c r="BK180" s="57"/>
      <c r="BL180" s="57"/>
      <c r="BM180" s="57">
        <v>0</v>
      </c>
      <c r="BN180" s="57">
        <v>0</v>
      </c>
      <c r="BO180" s="57">
        <v>0</v>
      </c>
      <c r="BP180" s="46"/>
      <c r="BQ180" s="87">
        <v>29389.163120000001</v>
      </c>
      <c r="BR180" s="52">
        <v>13094.348430000002</v>
      </c>
      <c r="BS180" s="52">
        <v>16294.814689999999</v>
      </c>
    </row>
    <row r="181" spans="1:71" ht="12" customHeight="1" x14ac:dyDescent="0.2">
      <c r="A181" s="55">
        <v>2017</v>
      </c>
      <c r="B181" s="55" t="s">
        <v>8</v>
      </c>
      <c r="C181" s="82">
        <v>1014.27273</v>
      </c>
      <c r="D181" s="82">
        <v>12176.747579999999</v>
      </c>
      <c r="E181" s="78">
        <v>1987.7371900000001</v>
      </c>
      <c r="F181" s="78">
        <v>10189.010389999999</v>
      </c>
      <c r="G181" s="82">
        <v>0</v>
      </c>
      <c r="H181" s="82"/>
      <c r="I181" s="82">
        <v>0</v>
      </c>
      <c r="J181" s="82">
        <v>0</v>
      </c>
      <c r="K181" s="82">
        <v>0</v>
      </c>
      <c r="L181" s="82"/>
      <c r="M181" s="82"/>
      <c r="N181" s="82">
        <v>7550.8432400000002</v>
      </c>
      <c r="O181" s="78">
        <v>7550.8432400000002</v>
      </c>
      <c r="P181" s="78">
        <v>0</v>
      </c>
      <c r="Q181" s="73">
        <v>20741.863550000002</v>
      </c>
      <c r="R181" s="78">
        <v>10552.853160000001</v>
      </c>
      <c r="S181" s="78">
        <v>10189.010389999999</v>
      </c>
      <c r="T181" s="47"/>
      <c r="U181" s="57">
        <v>0</v>
      </c>
      <c r="V181" s="57">
        <v>0</v>
      </c>
      <c r="W181" s="57"/>
      <c r="X181" s="57"/>
      <c r="Y181" s="57">
        <v>3581.3648499999995</v>
      </c>
      <c r="Z181" s="57">
        <v>0</v>
      </c>
      <c r="AA181" s="57">
        <v>3581.3648499999995</v>
      </c>
      <c r="AB181" s="45"/>
      <c r="AC181" s="57">
        <v>0</v>
      </c>
      <c r="AD181" s="78">
        <v>0</v>
      </c>
      <c r="AE181" s="78">
        <v>0</v>
      </c>
      <c r="AF181" s="82">
        <v>1491.879219999998</v>
      </c>
      <c r="AG181" s="78">
        <v>0</v>
      </c>
      <c r="AH181" s="78">
        <v>1491.879219999998</v>
      </c>
      <c r="AI181" s="82">
        <v>0</v>
      </c>
      <c r="AJ181" s="82">
        <v>2631.0199699999998</v>
      </c>
      <c r="AK181" s="78">
        <v>0</v>
      </c>
      <c r="AL181" s="78">
        <v>2631.0199699999998</v>
      </c>
      <c r="AM181" s="82">
        <v>0</v>
      </c>
      <c r="AN181" s="78">
        <v>0</v>
      </c>
      <c r="AO181" s="79">
        <v>0</v>
      </c>
      <c r="AP181" s="82">
        <v>0</v>
      </c>
      <c r="AQ181" s="78">
        <v>0</v>
      </c>
      <c r="AR181" s="52">
        <v>0</v>
      </c>
      <c r="AS181" s="48"/>
      <c r="AT181" s="78"/>
      <c r="AU181" s="52">
        <v>0</v>
      </c>
      <c r="AV181" s="48">
        <v>0</v>
      </c>
      <c r="AW181" s="52">
        <v>0</v>
      </c>
      <c r="AX181" s="52">
        <v>0</v>
      </c>
      <c r="AY181" s="87">
        <v>4122.8991899999983</v>
      </c>
      <c r="AZ181" s="52">
        <v>0</v>
      </c>
      <c r="BA181" s="52">
        <v>4122.8991899999983</v>
      </c>
      <c r="BB181" s="48"/>
      <c r="BC181" s="57">
        <v>0</v>
      </c>
      <c r="BD181" s="57">
        <v>0</v>
      </c>
      <c r="BE181" s="57">
        <v>923.30458999999996</v>
      </c>
      <c r="BF181" s="57">
        <v>0</v>
      </c>
      <c r="BG181" s="57">
        <v>923.30458999999996</v>
      </c>
      <c r="BH181" s="46"/>
      <c r="BI181" s="57">
        <v>0</v>
      </c>
      <c r="BJ181" s="57">
        <v>0</v>
      </c>
      <c r="BK181" s="57"/>
      <c r="BL181" s="57"/>
      <c r="BM181" s="57">
        <v>0</v>
      </c>
      <c r="BN181" s="57">
        <v>0</v>
      </c>
      <c r="BO181" s="57">
        <v>0</v>
      </c>
      <c r="BP181" s="46"/>
      <c r="BQ181" s="87">
        <v>29369.432179999996</v>
      </c>
      <c r="BR181" s="52">
        <v>15057.5226</v>
      </c>
      <c r="BS181" s="52">
        <v>14311.909579999998</v>
      </c>
    </row>
    <row r="182" spans="1:71" ht="12" customHeight="1" x14ac:dyDescent="0.2">
      <c r="A182" s="55">
        <v>2017</v>
      </c>
      <c r="B182" s="55" t="s">
        <v>9</v>
      </c>
      <c r="C182" s="82">
        <v>0</v>
      </c>
      <c r="D182" s="82">
        <v>10100.853230000001</v>
      </c>
      <c r="E182" s="78">
        <v>497.64550000000003</v>
      </c>
      <c r="F182" s="78">
        <v>9603.2077300000001</v>
      </c>
      <c r="G182" s="82">
        <v>0</v>
      </c>
      <c r="H182" s="82"/>
      <c r="I182" s="82">
        <v>1127.37976</v>
      </c>
      <c r="J182" s="82">
        <v>0</v>
      </c>
      <c r="K182" s="82">
        <v>0</v>
      </c>
      <c r="L182" s="82"/>
      <c r="M182" s="82"/>
      <c r="N182" s="82">
        <v>3815.3426799999997</v>
      </c>
      <c r="O182" s="78">
        <v>3815.3426799999997</v>
      </c>
      <c r="P182" s="78">
        <v>0</v>
      </c>
      <c r="Q182" s="73">
        <v>15043.57567</v>
      </c>
      <c r="R182" s="78">
        <v>5440.3679400000001</v>
      </c>
      <c r="S182" s="78">
        <v>9603.2077300000001</v>
      </c>
      <c r="T182" s="47"/>
      <c r="U182" s="57">
        <v>0</v>
      </c>
      <c r="V182" s="57">
        <v>66.264020000000002</v>
      </c>
      <c r="W182" s="57"/>
      <c r="X182" s="57"/>
      <c r="Y182" s="57">
        <v>2701.40751</v>
      </c>
      <c r="Z182" s="57">
        <v>0</v>
      </c>
      <c r="AA182" s="57">
        <v>2767.6715300000001</v>
      </c>
      <c r="AB182" s="45"/>
      <c r="AC182" s="57">
        <v>0</v>
      </c>
      <c r="AD182" s="78">
        <v>0</v>
      </c>
      <c r="AE182" s="78">
        <v>0</v>
      </c>
      <c r="AF182" s="82">
        <v>1745.7826200000002</v>
      </c>
      <c r="AG182" s="78">
        <v>0</v>
      </c>
      <c r="AH182" s="78">
        <v>1745.7826200000002</v>
      </c>
      <c r="AI182" s="82">
        <v>0</v>
      </c>
      <c r="AJ182" s="82">
        <v>4720.5834599999998</v>
      </c>
      <c r="AK182" s="78">
        <v>2029.1816200000001</v>
      </c>
      <c r="AL182" s="78">
        <v>2691.40184</v>
      </c>
      <c r="AM182" s="82">
        <v>820.38215000000002</v>
      </c>
      <c r="AN182" s="78">
        <v>820.38215000000002</v>
      </c>
      <c r="AO182" s="79">
        <v>0</v>
      </c>
      <c r="AP182" s="82">
        <v>0</v>
      </c>
      <c r="AQ182" s="78">
        <v>0</v>
      </c>
      <c r="AR182" s="52">
        <v>0</v>
      </c>
      <c r="AS182" s="48"/>
      <c r="AT182" s="78"/>
      <c r="AU182" s="52">
        <v>0</v>
      </c>
      <c r="AV182" s="48">
        <v>0</v>
      </c>
      <c r="AW182" s="52">
        <v>0</v>
      </c>
      <c r="AX182" s="52">
        <v>0</v>
      </c>
      <c r="AY182" s="87">
        <v>7286.7482300000011</v>
      </c>
      <c r="AZ182" s="52">
        <v>2849.5637700000002</v>
      </c>
      <c r="BA182" s="52">
        <v>4437.1844600000004</v>
      </c>
      <c r="BB182" s="48"/>
      <c r="BC182" s="57">
        <v>0</v>
      </c>
      <c r="BD182" s="57">
        <v>0</v>
      </c>
      <c r="BE182" s="57">
        <v>4566.436850000001</v>
      </c>
      <c r="BF182" s="57">
        <v>0</v>
      </c>
      <c r="BG182" s="57">
        <v>4566.436850000001</v>
      </c>
      <c r="BH182" s="46"/>
      <c r="BI182" s="57">
        <v>0</v>
      </c>
      <c r="BJ182" s="57">
        <v>0</v>
      </c>
      <c r="BK182" s="57"/>
      <c r="BL182" s="57"/>
      <c r="BM182" s="57">
        <v>0</v>
      </c>
      <c r="BN182" s="57">
        <v>0</v>
      </c>
      <c r="BO182" s="57">
        <v>0</v>
      </c>
      <c r="BP182" s="46"/>
      <c r="BQ182" s="87">
        <v>29664.432280000005</v>
      </c>
      <c r="BR182" s="52">
        <v>15624.040090000002</v>
      </c>
      <c r="BS182" s="52">
        <v>14040.39219</v>
      </c>
    </row>
    <row r="183" spans="1:71" s="68" customFormat="1" ht="12" customHeight="1" x14ac:dyDescent="0.2">
      <c r="A183" s="55">
        <v>2017</v>
      </c>
      <c r="B183" s="55" t="s">
        <v>10</v>
      </c>
      <c r="C183" s="82">
        <v>0</v>
      </c>
      <c r="D183" s="82">
        <v>8493.2750500000002</v>
      </c>
      <c r="E183" s="78">
        <v>495.20221999999995</v>
      </c>
      <c r="F183" s="78">
        <v>7998.0728300000001</v>
      </c>
      <c r="G183" s="82">
        <v>0</v>
      </c>
      <c r="H183" s="82"/>
      <c r="I183" s="82">
        <v>0</v>
      </c>
      <c r="J183" s="82">
        <v>0</v>
      </c>
      <c r="K183" s="82">
        <v>0</v>
      </c>
      <c r="L183" s="82"/>
      <c r="M183" s="82"/>
      <c r="N183" s="82">
        <v>3832.1712499999999</v>
      </c>
      <c r="O183" s="78">
        <v>3832.1712499999999</v>
      </c>
      <c r="P183" s="78">
        <v>0</v>
      </c>
      <c r="Q183" s="73">
        <v>12325.4463</v>
      </c>
      <c r="R183" s="78">
        <v>4327.3734699999995</v>
      </c>
      <c r="S183" s="78">
        <v>7998.0728300000001</v>
      </c>
      <c r="T183" s="47"/>
      <c r="U183" s="57">
        <v>0</v>
      </c>
      <c r="V183" s="57">
        <v>1105.5756699999999</v>
      </c>
      <c r="W183" s="57"/>
      <c r="X183" s="57"/>
      <c r="Y183" s="57">
        <v>2802.6830499999996</v>
      </c>
      <c r="Z183" s="57">
        <v>0</v>
      </c>
      <c r="AA183" s="57">
        <v>3908.2587199999998</v>
      </c>
      <c r="AB183" s="45"/>
      <c r="AC183" s="57">
        <v>0</v>
      </c>
      <c r="AD183" s="78">
        <v>0</v>
      </c>
      <c r="AE183" s="78">
        <v>0</v>
      </c>
      <c r="AF183" s="82">
        <v>1785.3462800000002</v>
      </c>
      <c r="AG183" s="78">
        <v>0</v>
      </c>
      <c r="AH183" s="78">
        <v>1785.3462800000002</v>
      </c>
      <c r="AI183" s="82">
        <v>0</v>
      </c>
      <c r="AJ183" s="82">
        <v>4497.118629999999</v>
      </c>
      <c r="AK183" s="78">
        <v>1865.1412399999997</v>
      </c>
      <c r="AL183" s="78">
        <v>2631.9773899999996</v>
      </c>
      <c r="AM183" s="82">
        <v>0</v>
      </c>
      <c r="AN183" s="78">
        <v>0</v>
      </c>
      <c r="AO183" s="79">
        <v>0</v>
      </c>
      <c r="AP183" s="82">
        <v>0</v>
      </c>
      <c r="AQ183" s="78">
        <v>0</v>
      </c>
      <c r="AR183" s="52">
        <v>0</v>
      </c>
      <c r="AS183" s="48"/>
      <c r="AT183" s="78"/>
      <c r="AU183" s="52">
        <v>0</v>
      </c>
      <c r="AV183" s="48">
        <v>0</v>
      </c>
      <c r="AW183" s="52">
        <v>0</v>
      </c>
      <c r="AX183" s="52">
        <v>0</v>
      </c>
      <c r="AY183" s="87">
        <v>6282.4649099999997</v>
      </c>
      <c r="AZ183" s="52">
        <v>1865.1412399999997</v>
      </c>
      <c r="BA183" s="52">
        <v>4417.3236699999998</v>
      </c>
      <c r="BB183" s="48"/>
      <c r="BC183" s="57">
        <v>0</v>
      </c>
      <c r="BD183" s="57">
        <v>0</v>
      </c>
      <c r="BE183" s="57">
        <v>9055.4970499999999</v>
      </c>
      <c r="BF183" s="57">
        <v>0</v>
      </c>
      <c r="BG183" s="57">
        <v>9055.4970499999999</v>
      </c>
      <c r="BH183" s="46"/>
      <c r="BI183" s="57">
        <v>0</v>
      </c>
      <c r="BJ183" s="57">
        <v>0</v>
      </c>
      <c r="BK183" s="57"/>
      <c r="BL183" s="57"/>
      <c r="BM183" s="57">
        <v>0</v>
      </c>
      <c r="BN183" s="57">
        <v>0</v>
      </c>
      <c r="BO183" s="57">
        <v>0</v>
      </c>
      <c r="BP183" s="46"/>
      <c r="BQ183" s="87">
        <v>31571.666980000002</v>
      </c>
      <c r="BR183" s="52">
        <v>19156.270479999999</v>
      </c>
      <c r="BS183" s="52">
        <v>12415.396499999999</v>
      </c>
    </row>
    <row r="184" spans="1:71" s="68" customFormat="1" ht="12" customHeight="1" x14ac:dyDescent="0.2">
      <c r="A184" s="55">
        <v>2017</v>
      </c>
      <c r="B184" s="55" t="s">
        <v>11</v>
      </c>
      <c r="C184" s="82">
        <v>0</v>
      </c>
      <c r="D184" s="82">
        <v>14006.608239999998</v>
      </c>
      <c r="E184" s="78">
        <v>2586.0448799999999</v>
      </c>
      <c r="F184" s="78">
        <v>11420.563359999998</v>
      </c>
      <c r="G184" s="82">
        <v>0</v>
      </c>
      <c r="H184" s="82"/>
      <c r="I184" s="82">
        <v>0</v>
      </c>
      <c r="J184" s="82">
        <v>0</v>
      </c>
      <c r="K184" s="82">
        <v>0</v>
      </c>
      <c r="L184" s="82"/>
      <c r="M184" s="82"/>
      <c r="N184" s="82">
        <v>2969.1419900000001</v>
      </c>
      <c r="O184" s="78">
        <v>2969.1419900000001</v>
      </c>
      <c r="P184" s="78">
        <v>0</v>
      </c>
      <c r="Q184" s="73">
        <v>16975.750229999998</v>
      </c>
      <c r="R184" s="78">
        <v>5555.1868699999995</v>
      </c>
      <c r="S184" s="78">
        <v>11420.563359999998</v>
      </c>
      <c r="T184" s="47"/>
      <c r="U184" s="57">
        <v>0</v>
      </c>
      <c r="V184" s="57">
        <v>1091.9657099999999</v>
      </c>
      <c r="W184" s="57"/>
      <c r="X184" s="57"/>
      <c r="Y184" s="57">
        <v>3577.2314699999997</v>
      </c>
      <c r="Z184" s="57">
        <v>0</v>
      </c>
      <c r="AA184" s="57">
        <v>4669.1971799999992</v>
      </c>
      <c r="AB184" s="45"/>
      <c r="AC184" s="57">
        <v>0</v>
      </c>
      <c r="AD184" s="78">
        <v>0</v>
      </c>
      <c r="AE184" s="78">
        <v>0</v>
      </c>
      <c r="AF184" s="82">
        <v>1037.5033600000002</v>
      </c>
      <c r="AG184" s="78">
        <v>0</v>
      </c>
      <c r="AH184" s="78">
        <v>1037.5033600000002</v>
      </c>
      <c r="AI184" s="82">
        <v>0</v>
      </c>
      <c r="AJ184" s="82">
        <v>2537.2745399999999</v>
      </c>
      <c r="AK184" s="78">
        <v>0</v>
      </c>
      <c r="AL184" s="78">
        <v>2537.2745399999999</v>
      </c>
      <c r="AM184" s="82">
        <v>0</v>
      </c>
      <c r="AN184" s="78">
        <v>0</v>
      </c>
      <c r="AO184" s="79">
        <v>0</v>
      </c>
      <c r="AP184" s="82">
        <v>0</v>
      </c>
      <c r="AQ184" s="78">
        <v>0</v>
      </c>
      <c r="AR184" s="52">
        <v>0</v>
      </c>
      <c r="AS184" s="48"/>
      <c r="AT184" s="78"/>
      <c r="AU184" s="52">
        <v>0</v>
      </c>
      <c r="AV184" s="48">
        <v>0</v>
      </c>
      <c r="AW184" s="52">
        <v>0</v>
      </c>
      <c r="AX184" s="52">
        <v>0</v>
      </c>
      <c r="AY184" s="87">
        <v>3574.7779</v>
      </c>
      <c r="AZ184" s="52">
        <v>0</v>
      </c>
      <c r="BA184" s="52">
        <v>3574.7779</v>
      </c>
      <c r="BB184" s="48"/>
      <c r="BC184" s="57">
        <v>0</v>
      </c>
      <c r="BD184" s="57">
        <v>0</v>
      </c>
      <c r="BE184" s="57">
        <v>1772.6406899999999</v>
      </c>
      <c r="BF184" s="57">
        <v>0</v>
      </c>
      <c r="BG184" s="57">
        <v>1772.6406899999999</v>
      </c>
      <c r="BH184" s="46"/>
      <c r="BI184" s="57">
        <v>0</v>
      </c>
      <c r="BJ184" s="57">
        <v>0</v>
      </c>
      <c r="BK184" s="57"/>
      <c r="BL184" s="57"/>
      <c r="BM184" s="57">
        <v>0</v>
      </c>
      <c r="BN184" s="57">
        <v>0</v>
      </c>
      <c r="BO184" s="57">
        <v>0</v>
      </c>
      <c r="BP184" s="46"/>
      <c r="BQ184" s="87">
        <v>26992.365999999998</v>
      </c>
      <c r="BR184" s="52">
        <v>11997.024739999999</v>
      </c>
      <c r="BS184" s="52">
        <v>14995.341259999997</v>
      </c>
    </row>
    <row r="185" spans="1:71" s="68" customFormat="1" ht="12" customHeight="1" x14ac:dyDescent="0.2">
      <c r="A185" s="55">
        <v>2017</v>
      </c>
      <c r="B185" s="55" t="s">
        <v>12</v>
      </c>
      <c r="C185" s="82">
        <v>878.23623999999995</v>
      </c>
      <c r="D185" s="82">
        <v>20003.130780000003</v>
      </c>
      <c r="E185" s="78">
        <v>3522.5322300000003</v>
      </c>
      <c r="F185" s="78">
        <v>16480.598550000002</v>
      </c>
      <c r="G185" s="82">
        <v>0</v>
      </c>
      <c r="H185" s="82"/>
      <c r="I185" s="82">
        <v>0</v>
      </c>
      <c r="J185" s="82">
        <v>0</v>
      </c>
      <c r="K185" s="82">
        <v>0</v>
      </c>
      <c r="L185" s="82"/>
      <c r="M185" s="82"/>
      <c r="N185" s="82">
        <v>3697.3175000000006</v>
      </c>
      <c r="O185" s="78">
        <v>3697.3175000000006</v>
      </c>
      <c r="P185" s="78">
        <v>0</v>
      </c>
      <c r="Q185" s="73">
        <v>24578.684520000003</v>
      </c>
      <c r="R185" s="78">
        <v>8098.085970000001</v>
      </c>
      <c r="S185" s="78">
        <v>16480.598550000002</v>
      </c>
      <c r="T185" s="47"/>
      <c r="U185" s="57">
        <v>0</v>
      </c>
      <c r="V185" s="57">
        <v>0</v>
      </c>
      <c r="W185" s="57"/>
      <c r="X185" s="57"/>
      <c r="Y185" s="57">
        <v>2782.0729100000003</v>
      </c>
      <c r="Z185" s="57">
        <v>2536.3621400000002</v>
      </c>
      <c r="AA185" s="57">
        <v>5318.43505</v>
      </c>
      <c r="AB185" s="45"/>
      <c r="AC185" s="57">
        <v>0</v>
      </c>
      <c r="AD185" s="78">
        <v>0</v>
      </c>
      <c r="AE185" s="78">
        <v>0</v>
      </c>
      <c r="AF185" s="82">
        <v>1720.53592</v>
      </c>
      <c r="AG185" s="78">
        <v>0</v>
      </c>
      <c r="AH185" s="78">
        <v>1720.53592</v>
      </c>
      <c r="AI185" s="82">
        <v>0</v>
      </c>
      <c r="AJ185" s="82">
        <v>4362.1108199999999</v>
      </c>
      <c r="AK185" s="78">
        <v>1872.2799600000001</v>
      </c>
      <c r="AL185" s="78">
        <v>2489.83086</v>
      </c>
      <c r="AM185" s="82">
        <v>0</v>
      </c>
      <c r="AN185" s="78">
        <v>0</v>
      </c>
      <c r="AO185" s="79">
        <v>0</v>
      </c>
      <c r="AP185" s="82">
        <v>0</v>
      </c>
      <c r="AQ185" s="78">
        <v>0</v>
      </c>
      <c r="AR185" s="52">
        <v>0</v>
      </c>
      <c r="AS185" s="48"/>
      <c r="AT185" s="78"/>
      <c r="AU185" s="52">
        <v>0</v>
      </c>
      <c r="AV185" s="48">
        <v>0</v>
      </c>
      <c r="AW185" s="52">
        <v>0</v>
      </c>
      <c r="AX185" s="52">
        <v>0</v>
      </c>
      <c r="AY185" s="87">
        <v>6082.6467400000001</v>
      </c>
      <c r="AZ185" s="52">
        <v>1872.2799600000001</v>
      </c>
      <c r="BA185" s="52">
        <v>4210.3667800000003</v>
      </c>
      <c r="BB185" s="48"/>
      <c r="BC185" s="57">
        <v>0</v>
      </c>
      <c r="BD185" s="57">
        <v>0</v>
      </c>
      <c r="BE185" s="57">
        <v>1795.2280899999998</v>
      </c>
      <c r="BF185" s="57">
        <v>0</v>
      </c>
      <c r="BG185" s="57">
        <v>1795.2280899999998</v>
      </c>
      <c r="BH185" s="46"/>
      <c r="BI185" s="57">
        <v>0</v>
      </c>
      <c r="BJ185" s="57">
        <v>0</v>
      </c>
      <c r="BK185" s="57"/>
      <c r="BL185" s="57"/>
      <c r="BM185" s="57">
        <v>0</v>
      </c>
      <c r="BN185" s="57">
        <v>0</v>
      </c>
      <c r="BO185" s="57">
        <v>0</v>
      </c>
      <c r="BP185" s="46"/>
      <c r="BQ185" s="87">
        <v>37774.994400000003</v>
      </c>
      <c r="BR185" s="52">
        <v>17084.029070000001</v>
      </c>
      <c r="BS185" s="52">
        <v>20690.965330000003</v>
      </c>
    </row>
    <row r="186" spans="1:71" s="68" customFormat="1" ht="12" customHeight="1" x14ac:dyDescent="0.2">
      <c r="A186" s="55">
        <v>2017</v>
      </c>
      <c r="B186" s="55" t="s">
        <v>13</v>
      </c>
      <c r="C186" s="82">
        <v>172.30432000000002</v>
      </c>
      <c r="D186" s="82">
        <v>19139.936609999997</v>
      </c>
      <c r="E186" s="78">
        <v>2978.9488799999999</v>
      </c>
      <c r="F186" s="78">
        <v>16160.987729999999</v>
      </c>
      <c r="G186" s="82">
        <v>0</v>
      </c>
      <c r="H186" s="82"/>
      <c r="I186" s="82">
        <v>0</v>
      </c>
      <c r="J186" s="82">
        <v>0</v>
      </c>
      <c r="K186" s="82">
        <v>0</v>
      </c>
      <c r="L186" s="82"/>
      <c r="M186" s="82"/>
      <c r="N186" s="82">
        <v>2947.6516699999997</v>
      </c>
      <c r="O186" s="78">
        <v>2947.6516699999997</v>
      </c>
      <c r="P186" s="78">
        <v>0</v>
      </c>
      <c r="Q186" s="73">
        <v>22259.892599999999</v>
      </c>
      <c r="R186" s="78">
        <v>6098.9048699999994</v>
      </c>
      <c r="S186" s="78">
        <v>16160.987729999999</v>
      </c>
      <c r="T186" s="47"/>
      <c r="U186" s="57">
        <v>0</v>
      </c>
      <c r="V186" s="57">
        <v>1962.6716999999999</v>
      </c>
      <c r="W186" s="57"/>
      <c r="X186" s="57"/>
      <c r="Y186" s="57">
        <v>5265.1673100000007</v>
      </c>
      <c r="Z186" s="57">
        <v>868.81810999999993</v>
      </c>
      <c r="AA186" s="57">
        <v>8096.6571200000008</v>
      </c>
      <c r="AB186" s="45"/>
      <c r="AC186" s="57">
        <v>0</v>
      </c>
      <c r="AD186" s="78">
        <v>0</v>
      </c>
      <c r="AE186" s="78">
        <v>0</v>
      </c>
      <c r="AF186" s="82">
        <v>713.69565000000011</v>
      </c>
      <c r="AG186" s="78">
        <v>0</v>
      </c>
      <c r="AH186" s="78">
        <v>713.69565000000011</v>
      </c>
      <c r="AI186" s="82">
        <v>0</v>
      </c>
      <c r="AJ186" s="82">
        <v>3298.8945000000003</v>
      </c>
      <c r="AK186" s="78">
        <v>1033.61646</v>
      </c>
      <c r="AL186" s="78">
        <v>2265.2780400000001</v>
      </c>
      <c r="AM186" s="82">
        <v>0</v>
      </c>
      <c r="AN186" s="78">
        <v>0</v>
      </c>
      <c r="AO186" s="79">
        <v>0</v>
      </c>
      <c r="AP186" s="82">
        <v>0</v>
      </c>
      <c r="AQ186" s="78">
        <v>0</v>
      </c>
      <c r="AR186" s="52">
        <v>0</v>
      </c>
      <c r="AS186" s="48"/>
      <c r="AT186" s="78"/>
      <c r="AU186" s="52">
        <v>0</v>
      </c>
      <c r="AV186" s="48">
        <v>0</v>
      </c>
      <c r="AW186" s="52">
        <v>0</v>
      </c>
      <c r="AX186" s="52">
        <v>0</v>
      </c>
      <c r="AY186" s="87">
        <v>4012.59015</v>
      </c>
      <c r="AZ186" s="52">
        <v>1033.61646</v>
      </c>
      <c r="BA186" s="52">
        <v>2978.9736900000003</v>
      </c>
      <c r="BB186" s="48"/>
      <c r="BC186" s="57">
        <v>0</v>
      </c>
      <c r="BD186" s="57">
        <v>0</v>
      </c>
      <c r="BE186" s="57">
        <v>3632.7443199999998</v>
      </c>
      <c r="BF186" s="57">
        <v>0</v>
      </c>
      <c r="BG186" s="57">
        <v>3632.7443199999998</v>
      </c>
      <c r="BH186" s="46"/>
      <c r="BI186" s="57">
        <v>0</v>
      </c>
      <c r="BJ186" s="57">
        <v>0</v>
      </c>
      <c r="BK186" s="57"/>
      <c r="BL186" s="57"/>
      <c r="BM186" s="57">
        <v>0</v>
      </c>
      <c r="BN186" s="57">
        <v>0</v>
      </c>
      <c r="BO186" s="57">
        <v>0</v>
      </c>
      <c r="BP186" s="46"/>
      <c r="BQ186" s="87">
        <v>38001.884189999997</v>
      </c>
      <c r="BR186" s="52">
        <v>18861.922769999997</v>
      </c>
      <c r="BS186" s="52">
        <v>19139.96142</v>
      </c>
    </row>
    <row r="187" spans="1:71" ht="12" customHeight="1" x14ac:dyDescent="0.2">
      <c r="A187" s="55">
        <v>2017</v>
      </c>
      <c r="B187" s="55" t="s">
        <v>14</v>
      </c>
      <c r="C187" s="82">
        <v>0</v>
      </c>
      <c r="D187" s="82">
        <v>20032.301219999994</v>
      </c>
      <c r="E187" s="78">
        <v>3306.7742499999999</v>
      </c>
      <c r="F187" s="78">
        <v>16725.526969999995</v>
      </c>
      <c r="G187" s="82">
        <v>0</v>
      </c>
      <c r="H187" s="82"/>
      <c r="I187" s="82">
        <v>0</v>
      </c>
      <c r="J187" s="82">
        <v>0</v>
      </c>
      <c r="K187" s="82">
        <v>0</v>
      </c>
      <c r="L187" s="82"/>
      <c r="M187" s="82"/>
      <c r="N187" s="82">
        <v>1855.0936499999998</v>
      </c>
      <c r="O187" s="78">
        <v>1855.0936499999998</v>
      </c>
      <c r="P187" s="78">
        <v>0</v>
      </c>
      <c r="Q187" s="73">
        <v>21887.394869999996</v>
      </c>
      <c r="R187" s="78">
        <v>5161.8678999999993</v>
      </c>
      <c r="S187" s="78">
        <v>16725.526969999995</v>
      </c>
      <c r="T187" s="47"/>
      <c r="U187" s="57">
        <v>0</v>
      </c>
      <c r="V187" s="57">
        <v>1017.0852199999999</v>
      </c>
      <c r="W187" s="57"/>
      <c r="X187" s="57"/>
      <c r="Y187" s="57">
        <v>4710.6201899999996</v>
      </c>
      <c r="Z187" s="57">
        <v>0</v>
      </c>
      <c r="AA187" s="57">
        <v>5727.7054099999996</v>
      </c>
      <c r="AB187" s="45"/>
      <c r="AC187" s="57">
        <v>0</v>
      </c>
      <c r="AD187" s="78">
        <v>0</v>
      </c>
      <c r="AE187" s="78">
        <v>0</v>
      </c>
      <c r="AF187" s="82">
        <v>1144.0862400000001</v>
      </c>
      <c r="AG187" s="78">
        <v>0</v>
      </c>
      <c r="AH187" s="78">
        <v>1144.0862400000001</v>
      </c>
      <c r="AI187" s="82">
        <v>0</v>
      </c>
      <c r="AJ187" s="82">
        <v>3470.2852900000003</v>
      </c>
      <c r="AK187" s="78">
        <v>918.79021</v>
      </c>
      <c r="AL187" s="78">
        <v>2551.4950800000001</v>
      </c>
      <c r="AM187" s="82">
        <v>0</v>
      </c>
      <c r="AN187" s="78">
        <v>0</v>
      </c>
      <c r="AO187" s="79">
        <v>0</v>
      </c>
      <c r="AP187" s="82">
        <v>0</v>
      </c>
      <c r="AQ187" s="78">
        <v>0</v>
      </c>
      <c r="AR187" s="52">
        <v>0</v>
      </c>
      <c r="AS187" s="48"/>
      <c r="AT187" s="78"/>
      <c r="AU187" s="52">
        <v>0</v>
      </c>
      <c r="AV187" s="48">
        <v>0</v>
      </c>
      <c r="AW187" s="52">
        <v>0</v>
      </c>
      <c r="AX187" s="52">
        <v>0</v>
      </c>
      <c r="AY187" s="87">
        <v>4614.3715300000003</v>
      </c>
      <c r="AZ187" s="52">
        <v>918.79021</v>
      </c>
      <c r="BA187" s="52">
        <v>3695.5813200000002</v>
      </c>
      <c r="BB187" s="48"/>
      <c r="BC187" s="57">
        <v>0</v>
      </c>
      <c r="BD187" s="57">
        <v>0</v>
      </c>
      <c r="BE187" s="57">
        <v>5007.0875900000001</v>
      </c>
      <c r="BF187" s="57">
        <v>0</v>
      </c>
      <c r="BG187" s="57">
        <v>5007.0875900000001</v>
      </c>
      <c r="BH187" s="46"/>
      <c r="BI187" s="57">
        <v>0</v>
      </c>
      <c r="BJ187" s="57">
        <v>0</v>
      </c>
      <c r="BK187" s="57"/>
      <c r="BL187" s="57"/>
      <c r="BM187" s="57">
        <v>0</v>
      </c>
      <c r="BN187" s="57">
        <v>0</v>
      </c>
      <c r="BO187" s="57">
        <v>0</v>
      </c>
      <c r="BP187" s="46"/>
      <c r="BQ187" s="87">
        <v>37236.559399999998</v>
      </c>
      <c r="BR187" s="52">
        <v>16815.451109999998</v>
      </c>
      <c r="BS187" s="52">
        <v>20421.108289999996</v>
      </c>
    </row>
    <row r="188" spans="1:71" ht="12" customHeight="1" x14ac:dyDescent="0.2">
      <c r="A188" s="55">
        <v>2017</v>
      </c>
      <c r="B188" s="55" t="s">
        <v>15</v>
      </c>
      <c r="C188" s="82">
        <v>3111.0650400000004</v>
      </c>
      <c r="D188" s="82">
        <v>188009.54861</v>
      </c>
      <c r="E188" s="78">
        <v>26766.691610000002</v>
      </c>
      <c r="F188" s="78">
        <v>161242.85699999999</v>
      </c>
      <c r="G188" s="82">
        <v>0</v>
      </c>
      <c r="H188" s="82"/>
      <c r="I188" s="82">
        <v>1127.37976</v>
      </c>
      <c r="J188" s="82">
        <v>0</v>
      </c>
      <c r="K188" s="82">
        <v>0</v>
      </c>
      <c r="L188" s="82"/>
      <c r="M188" s="82"/>
      <c r="N188" s="82">
        <v>49549.83582</v>
      </c>
      <c r="O188" s="78">
        <v>49549.83582</v>
      </c>
      <c r="P188" s="78">
        <v>0</v>
      </c>
      <c r="Q188" s="73">
        <v>241797.82923</v>
      </c>
      <c r="R188" s="78">
        <v>80554.972229999985</v>
      </c>
      <c r="S188" s="78">
        <v>161242.85699999999</v>
      </c>
      <c r="T188" s="47"/>
      <c r="U188" s="57">
        <v>0</v>
      </c>
      <c r="V188" s="57">
        <v>8542.6033599999992</v>
      </c>
      <c r="W188" s="57"/>
      <c r="X188" s="57"/>
      <c r="Y188" s="57">
        <v>39505.342900000003</v>
      </c>
      <c r="Z188" s="57">
        <v>5159.2404200000001</v>
      </c>
      <c r="AA188" s="57">
        <v>53207.186680000006</v>
      </c>
      <c r="AB188" s="45"/>
      <c r="AC188" s="57">
        <v>0</v>
      </c>
      <c r="AD188" s="78">
        <v>0</v>
      </c>
      <c r="AE188" s="78">
        <v>0</v>
      </c>
      <c r="AF188" s="82">
        <v>15557.312319999999</v>
      </c>
      <c r="AG188" s="78">
        <v>0</v>
      </c>
      <c r="AH188" s="78">
        <v>15557.312319999999</v>
      </c>
      <c r="AI188" s="82">
        <v>0</v>
      </c>
      <c r="AJ188" s="82">
        <v>38597.87919</v>
      </c>
      <c r="AK188" s="78">
        <v>10069.787649999998</v>
      </c>
      <c r="AL188" s="78">
        <v>28528.091539999998</v>
      </c>
      <c r="AM188" s="82">
        <v>1133.4825800000001</v>
      </c>
      <c r="AN188" s="78">
        <v>1133.4825800000001</v>
      </c>
      <c r="AO188" s="79">
        <v>0</v>
      </c>
      <c r="AP188" s="82">
        <v>20.469170000000002</v>
      </c>
      <c r="AQ188" s="78">
        <v>5.6104799999999999</v>
      </c>
      <c r="AR188" s="52">
        <v>14.858690000000001</v>
      </c>
      <c r="AS188" s="48"/>
      <c r="AT188" s="78"/>
      <c r="AU188" s="52">
        <v>0</v>
      </c>
      <c r="AV188" s="48">
        <v>0</v>
      </c>
      <c r="AW188" s="52">
        <v>0</v>
      </c>
      <c r="AX188" s="52">
        <v>0</v>
      </c>
      <c r="AY188" s="87">
        <v>55309.143260000012</v>
      </c>
      <c r="AZ188" s="52">
        <v>11208.880709999999</v>
      </c>
      <c r="BA188" s="52">
        <v>44100.262549999999</v>
      </c>
      <c r="BB188" s="48"/>
      <c r="BC188" s="57">
        <v>0</v>
      </c>
      <c r="BD188" s="57">
        <v>0</v>
      </c>
      <c r="BE188" s="57">
        <v>38977.206740000009</v>
      </c>
      <c r="BF188" s="57">
        <v>0</v>
      </c>
      <c r="BG188" s="57">
        <v>38977.206740000009</v>
      </c>
      <c r="BH188" s="46"/>
      <c r="BI188" s="57">
        <v>0</v>
      </c>
      <c r="BJ188" s="57">
        <v>0</v>
      </c>
      <c r="BK188" s="57"/>
      <c r="BL188" s="57"/>
      <c r="BM188" s="57">
        <v>0</v>
      </c>
      <c r="BN188" s="57">
        <v>0</v>
      </c>
      <c r="BO188" s="57">
        <v>0</v>
      </c>
      <c r="BP188" s="46"/>
      <c r="BQ188" s="87">
        <v>389291.36590999999</v>
      </c>
      <c r="BR188" s="52">
        <v>183948.24635999999</v>
      </c>
      <c r="BS188" s="52">
        <v>205343.11955</v>
      </c>
    </row>
    <row r="189" spans="1:71" ht="12" customHeight="1" x14ac:dyDescent="0.2">
      <c r="A189" s="55">
        <v>2018</v>
      </c>
      <c r="B189" s="55" t="s">
        <v>3</v>
      </c>
      <c r="C189" s="82">
        <v>0</v>
      </c>
      <c r="D189" s="82">
        <v>21847.198149999997</v>
      </c>
      <c r="E189" s="78">
        <v>3641.8944999999999</v>
      </c>
      <c r="F189" s="78">
        <v>18205.303649999998</v>
      </c>
      <c r="G189" s="82">
        <v>0</v>
      </c>
      <c r="H189" s="82"/>
      <c r="I189" s="82">
        <v>0</v>
      </c>
      <c r="J189" s="82">
        <v>0</v>
      </c>
      <c r="K189" s="82">
        <v>0</v>
      </c>
      <c r="L189" s="82"/>
      <c r="M189" s="82">
        <v>0</v>
      </c>
      <c r="N189" s="82">
        <v>6792.8551400000006</v>
      </c>
      <c r="O189" s="78">
        <v>6792.8551400000006</v>
      </c>
      <c r="P189" s="78">
        <v>0</v>
      </c>
      <c r="Q189" s="73">
        <v>28640.053289999996</v>
      </c>
      <c r="R189" s="78">
        <v>10434.74964</v>
      </c>
      <c r="S189" s="78">
        <v>18205.303649999998</v>
      </c>
      <c r="T189" s="47"/>
      <c r="U189" s="57">
        <v>0</v>
      </c>
      <c r="V189" s="57">
        <v>0</v>
      </c>
      <c r="W189" s="57"/>
      <c r="X189" s="57"/>
      <c r="Y189" s="57">
        <v>1699.5676000000001</v>
      </c>
      <c r="Z189" s="57">
        <v>886.70218</v>
      </c>
      <c r="AA189" s="57">
        <v>2586.2697800000001</v>
      </c>
      <c r="AB189" s="45"/>
      <c r="AC189" s="57">
        <v>0</v>
      </c>
      <c r="AD189" s="78">
        <v>0</v>
      </c>
      <c r="AE189" s="78">
        <v>0</v>
      </c>
      <c r="AF189" s="82">
        <v>1187.3476900000003</v>
      </c>
      <c r="AG189" s="78">
        <v>0</v>
      </c>
      <c r="AH189" s="78">
        <v>1187.3476900000003</v>
      </c>
      <c r="AI189" s="82">
        <v>0</v>
      </c>
      <c r="AJ189" s="82">
        <v>2623.58754</v>
      </c>
      <c r="AK189" s="78">
        <v>0</v>
      </c>
      <c r="AL189" s="78">
        <v>2623.58754</v>
      </c>
      <c r="AM189" s="82">
        <v>0</v>
      </c>
      <c r="AN189" s="78">
        <v>0</v>
      </c>
      <c r="AO189" s="79">
        <v>0</v>
      </c>
      <c r="AP189" s="82">
        <v>0</v>
      </c>
      <c r="AQ189" s="78">
        <v>0</v>
      </c>
      <c r="AR189" s="52">
        <v>0</v>
      </c>
      <c r="AS189" s="48"/>
      <c r="AT189" s="78"/>
      <c r="AU189" s="52">
        <v>0</v>
      </c>
      <c r="AV189" s="48">
        <v>1029.9064799999999</v>
      </c>
      <c r="AW189" s="52">
        <v>1029.9064799999999</v>
      </c>
      <c r="AX189" s="52">
        <v>0</v>
      </c>
      <c r="AY189" s="87">
        <v>4840.8417099999997</v>
      </c>
      <c r="AZ189" s="52">
        <v>1029.9064799999999</v>
      </c>
      <c r="BA189" s="52">
        <v>3810.93523</v>
      </c>
      <c r="BB189" s="48"/>
      <c r="BC189" s="57">
        <v>0</v>
      </c>
      <c r="BD189" s="57">
        <v>0</v>
      </c>
      <c r="BE189" s="57">
        <v>1775.5540800000001</v>
      </c>
      <c r="BF189" s="57">
        <v>0</v>
      </c>
      <c r="BG189" s="57">
        <v>1775.5540800000001</v>
      </c>
      <c r="BH189" s="46"/>
      <c r="BI189" s="57">
        <v>0</v>
      </c>
      <c r="BJ189" s="57">
        <v>0</v>
      </c>
      <c r="BK189" s="57"/>
      <c r="BL189" s="57">
        <v>0</v>
      </c>
      <c r="BM189" s="57">
        <v>0</v>
      </c>
      <c r="BN189" s="57">
        <v>0</v>
      </c>
      <c r="BO189" s="57">
        <v>0</v>
      </c>
      <c r="BP189" s="46"/>
      <c r="BQ189" s="87">
        <v>37842.718859999994</v>
      </c>
      <c r="BR189" s="52">
        <v>15826.47998</v>
      </c>
      <c r="BS189" s="52">
        <v>22016.238879999997</v>
      </c>
    </row>
    <row r="190" spans="1:71" ht="12" customHeight="1" x14ac:dyDescent="0.2">
      <c r="A190" s="55">
        <v>2018</v>
      </c>
      <c r="B190" s="55" t="s">
        <v>4</v>
      </c>
      <c r="C190" s="82">
        <v>0</v>
      </c>
      <c r="D190" s="82">
        <v>19581.547229999996</v>
      </c>
      <c r="E190" s="78">
        <v>2811.93498</v>
      </c>
      <c r="F190" s="78">
        <v>16769.612249999998</v>
      </c>
      <c r="G190" s="82">
        <v>0</v>
      </c>
      <c r="H190" s="82"/>
      <c r="I190" s="82">
        <v>0</v>
      </c>
      <c r="J190" s="82">
        <v>0</v>
      </c>
      <c r="K190" s="82">
        <v>0</v>
      </c>
      <c r="L190" s="82"/>
      <c r="M190" s="82">
        <v>0</v>
      </c>
      <c r="N190" s="82">
        <v>2541.5414299999998</v>
      </c>
      <c r="O190" s="78">
        <v>2541.5414299999998</v>
      </c>
      <c r="P190" s="78">
        <v>0</v>
      </c>
      <c r="Q190" s="73">
        <v>22123.088659999998</v>
      </c>
      <c r="R190" s="78">
        <v>5353.4764099999993</v>
      </c>
      <c r="S190" s="78">
        <v>16769.612249999998</v>
      </c>
      <c r="T190" s="47"/>
      <c r="U190" s="57">
        <v>0</v>
      </c>
      <c r="V190" s="57">
        <v>0</v>
      </c>
      <c r="W190" s="57"/>
      <c r="X190" s="57"/>
      <c r="Y190" s="57">
        <v>1785.9250400000001</v>
      </c>
      <c r="Z190" s="57">
        <v>0</v>
      </c>
      <c r="AA190" s="57">
        <v>1785.9250400000001</v>
      </c>
      <c r="AB190" s="45"/>
      <c r="AC190" s="57">
        <v>0</v>
      </c>
      <c r="AD190" s="78">
        <v>0</v>
      </c>
      <c r="AE190" s="78">
        <v>0</v>
      </c>
      <c r="AF190" s="82">
        <v>1124.9423100000001</v>
      </c>
      <c r="AG190" s="78">
        <v>0</v>
      </c>
      <c r="AH190" s="78">
        <v>1124.9423100000001</v>
      </c>
      <c r="AI190" s="82">
        <v>0</v>
      </c>
      <c r="AJ190" s="82">
        <v>3829.4036599999999</v>
      </c>
      <c r="AK190" s="78">
        <v>974.64465000000007</v>
      </c>
      <c r="AL190" s="78">
        <v>2854.7590099999998</v>
      </c>
      <c r="AM190" s="82">
        <v>0</v>
      </c>
      <c r="AN190" s="78">
        <v>0</v>
      </c>
      <c r="AO190" s="79">
        <v>0</v>
      </c>
      <c r="AP190" s="82">
        <v>10.026</v>
      </c>
      <c r="AQ190" s="78">
        <v>0</v>
      </c>
      <c r="AR190" s="52">
        <v>10.026</v>
      </c>
      <c r="AS190" s="48"/>
      <c r="AT190" s="78"/>
      <c r="AU190" s="52">
        <v>0</v>
      </c>
      <c r="AV190" s="48">
        <v>0</v>
      </c>
      <c r="AW190" s="52">
        <v>0</v>
      </c>
      <c r="AX190" s="52">
        <v>0</v>
      </c>
      <c r="AY190" s="87">
        <v>4964.3719700000001</v>
      </c>
      <c r="AZ190" s="52">
        <v>974.64465000000007</v>
      </c>
      <c r="BA190" s="52">
        <v>3989.72732</v>
      </c>
      <c r="BB190" s="48"/>
      <c r="BC190" s="57">
        <v>0</v>
      </c>
      <c r="BD190" s="57">
        <v>0</v>
      </c>
      <c r="BE190" s="57">
        <v>2703.7692900000002</v>
      </c>
      <c r="BF190" s="57">
        <v>0</v>
      </c>
      <c r="BG190" s="57">
        <v>2703.7692900000002</v>
      </c>
      <c r="BH190" s="46"/>
      <c r="BI190" s="57">
        <v>0</v>
      </c>
      <c r="BJ190" s="57">
        <v>0</v>
      </c>
      <c r="BK190" s="57"/>
      <c r="BL190" s="57">
        <v>0</v>
      </c>
      <c r="BM190" s="57">
        <v>0</v>
      </c>
      <c r="BN190" s="57">
        <v>0</v>
      </c>
      <c r="BO190" s="57">
        <v>0</v>
      </c>
      <c r="BP190" s="46"/>
      <c r="BQ190" s="87">
        <v>31577.154959999996</v>
      </c>
      <c r="BR190" s="52">
        <v>10817.81539</v>
      </c>
      <c r="BS190" s="52">
        <v>20759.339569999996</v>
      </c>
    </row>
    <row r="191" spans="1:71" ht="12" customHeight="1" x14ac:dyDescent="0.2">
      <c r="A191" s="55">
        <v>2018</v>
      </c>
      <c r="B191" s="55" t="s">
        <v>5</v>
      </c>
      <c r="C191" s="82">
        <v>0</v>
      </c>
      <c r="D191" s="82">
        <v>19583.140599999999</v>
      </c>
      <c r="E191" s="78">
        <v>1479.1601799999999</v>
      </c>
      <c r="F191" s="78">
        <v>18103.98042</v>
      </c>
      <c r="G191" s="82">
        <v>0</v>
      </c>
      <c r="H191" s="82"/>
      <c r="I191" s="82">
        <v>0</v>
      </c>
      <c r="J191" s="82">
        <v>0</v>
      </c>
      <c r="K191" s="82">
        <v>0</v>
      </c>
      <c r="L191" s="82"/>
      <c r="M191" s="82">
        <v>0</v>
      </c>
      <c r="N191" s="82">
        <v>3419.4663299999997</v>
      </c>
      <c r="O191" s="78">
        <v>3419.4663299999997</v>
      </c>
      <c r="P191" s="78">
        <v>0</v>
      </c>
      <c r="Q191" s="73">
        <v>23002.606930000002</v>
      </c>
      <c r="R191" s="78">
        <v>4898.6265100000001</v>
      </c>
      <c r="S191" s="78">
        <v>18103.98042</v>
      </c>
      <c r="T191" s="47"/>
      <c r="U191" s="57">
        <v>0</v>
      </c>
      <c r="V191" s="57">
        <v>0</v>
      </c>
      <c r="W191" s="57"/>
      <c r="X191" s="57"/>
      <c r="Y191" s="57">
        <v>714.01989000000003</v>
      </c>
      <c r="Z191" s="57">
        <v>1812.5737799999999</v>
      </c>
      <c r="AA191" s="57">
        <v>2526.5936700000002</v>
      </c>
      <c r="AB191" s="45"/>
      <c r="AC191" s="57">
        <v>0</v>
      </c>
      <c r="AD191" s="78">
        <v>0</v>
      </c>
      <c r="AE191" s="78">
        <v>0</v>
      </c>
      <c r="AF191" s="82">
        <v>1367.35079</v>
      </c>
      <c r="AG191" s="78">
        <v>486.80970000000002</v>
      </c>
      <c r="AH191" s="78">
        <v>880.54109000000005</v>
      </c>
      <c r="AI191" s="82">
        <v>0</v>
      </c>
      <c r="AJ191" s="82">
        <v>2621.3008</v>
      </c>
      <c r="AK191" s="78">
        <v>0</v>
      </c>
      <c r="AL191" s="78">
        <v>2621.3008</v>
      </c>
      <c r="AM191" s="82">
        <v>0</v>
      </c>
      <c r="AN191" s="78">
        <v>0</v>
      </c>
      <c r="AO191" s="79">
        <v>0</v>
      </c>
      <c r="AP191" s="82">
        <v>0</v>
      </c>
      <c r="AQ191" s="78">
        <v>0</v>
      </c>
      <c r="AR191" s="52">
        <v>0</v>
      </c>
      <c r="AS191" s="48"/>
      <c r="AT191" s="78"/>
      <c r="AU191" s="52">
        <v>0</v>
      </c>
      <c r="AV191" s="48">
        <v>0</v>
      </c>
      <c r="AW191" s="52">
        <v>0</v>
      </c>
      <c r="AX191" s="52">
        <v>0</v>
      </c>
      <c r="AY191" s="87">
        <v>3988.6515900000004</v>
      </c>
      <c r="AZ191" s="52">
        <v>486.80970000000002</v>
      </c>
      <c r="BA191" s="52">
        <v>3501.8418900000001</v>
      </c>
      <c r="BB191" s="48"/>
      <c r="BC191" s="57">
        <v>0</v>
      </c>
      <c r="BD191" s="57">
        <v>0</v>
      </c>
      <c r="BE191" s="57">
        <v>2694.5844999999999</v>
      </c>
      <c r="BF191" s="57">
        <v>0</v>
      </c>
      <c r="BG191" s="57">
        <v>2694.5844999999999</v>
      </c>
      <c r="BH191" s="46"/>
      <c r="BI191" s="57">
        <v>0</v>
      </c>
      <c r="BJ191" s="57">
        <v>0</v>
      </c>
      <c r="BK191" s="57"/>
      <c r="BL191" s="57">
        <v>0</v>
      </c>
      <c r="BM191" s="57">
        <v>0</v>
      </c>
      <c r="BN191" s="57">
        <v>0</v>
      </c>
      <c r="BO191" s="57">
        <v>0</v>
      </c>
      <c r="BP191" s="46"/>
      <c r="BQ191" s="87">
        <v>32212.436690000006</v>
      </c>
      <c r="BR191" s="52">
        <v>10606.614379999999</v>
      </c>
      <c r="BS191" s="52">
        <v>21605.82231</v>
      </c>
    </row>
    <row r="192" spans="1:71" ht="12" customHeight="1" x14ac:dyDescent="0.2">
      <c r="A192" s="55">
        <v>2018</v>
      </c>
      <c r="B192" s="55" t="s">
        <v>6</v>
      </c>
      <c r="C192" s="82">
        <v>1016.2677199999999</v>
      </c>
      <c r="D192" s="82">
        <v>17116.018879999996</v>
      </c>
      <c r="E192" s="78">
        <v>491.64997</v>
      </c>
      <c r="F192" s="78">
        <v>16624.368909999997</v>
      </c>
      <c r="G192" s="82">
        <v>0</v>
      </c>
      <c r="H192" s="82"/>
      <c r="I192" s="82">
        <v>0</v>
      </c>
      <c r="J192" s="82">
        <v>0</v>
      </c>
      <c r="K192" s="82">
        <v>0</v>
      </c>
      <c r="L192" s="82"/>
      <c r="M192" s="82">
        <v>0</v>
      </c>
      <c r="N192" s="82">
        <v>3014.3635800000002</v>
      </c>
      <c r="O192" s="78">
        <v>3014.3635800000002</v>
      </c>
      <c r="P192" s="78">
        <v>0</v>
      </c>
      <c r="Q192" s="73">
        <v>21146.650179999997</v>
      </c>
      <c r="R192" s="78">
        <v>4522.2812700000004</v>
      </c>
      <c r="S192" s="78">
        <v>16624.368909999997</v>
      </c>
      <c r="T192" s="47"/>
      <c r="U192" s="57">
        <v>0</v>
      </c>
      <c r="V192" s="57">
        <v>0</v>
      </c>
      <c r="W192" s="57"/>
      <c r="X192" s="57"/>
      <c r="Y192" s="57">
        <v>0</v>
      </c>
      <c r="Z192" s="57">
        <v>2670.1704799999998</v>
      </c>
      <c r="AA192" s="57">
        <v>2670.1704799999998</v>
      </c>
      <c r="AB192" s="45"/>
      <c r="AC192" s="57">
        <v>0</v>
      </c>
      <c r="AD192" s="78">
        <v>0</v>
      </c>
      <c r="AE192" s="78">
        <v>0</v>
      </c>
      <c r="AF192" s="82">
        <v>401.00554</v>
      </c>
      <c r="AG192" s="78">
        <v>0</v>
      </c>
      <c r="AH192" s="78">
        <v>401.00554</v>
      </c>
      <c r="AI192" s="82">
        <v>0</v>
      </c>
      <c r="AJ192" s="82">
        <v>2638.1057800000003</v>
      </c>
      <c r="AK192" s="78">
        <v>892.58091000000002</v>
      </c>
      <c r="AL192" s="78">
        <v>1745.5248700000002</v>
      </c>
      <c r="AM192" s="82">
        <v>0</v>
      </c>
      <c r="AN192" s="78">
        <v>0</v>
      </c>
      <c r="AO192" s="79">
        <v>0</v>
      </c>
      <c r="AP192" s="82">
        <v>17.0442</v>
      </c>
      <c r="AQ192" s="78">
        <v>0</v>
      </c>
      <c r="AR192" s="52">
        <v>17.0442</v>
      </c>
      <c r="AS192" s="48"/>
      <c r="AT192" s="78"/>
      <c r="AU192" s="52">
        <v>0</v>
      </c>
      <c r="AV192" s="48">
        <v>1102.193</v>
      </c>
      <c r="AW192" s="52">
        <v>1102.193</v>
      </c>
      <c r="AX192" s="52">
        <v>0</v>
      </c>
      <c r="AY192" s="87">
        <v>4158.3485199999996</v>
      </c>
      <c r="AZ192" s="52">
        <v>1994.7739099999999</v>
      </c>
      <c r="BA192" s="52">
        <v>2163.5746100000001</v>
      </c>
      <c r="BB192" s="48"/>
      <c r="BC192" s="57">
        <v>0</v>
      </c>
      <c r="BD192" s="57">
        <v>0</v>
      </c>
      <c r="BE192" s="57">
        <v>4581.33554</v>
      </c>
      <c r="BF192" s="57">
        <v>0</v>
      </c>
      <c r="BG192" s="57">
        <v>4581.33554</v>
      </c>
      <c r="BH192" s="46"/>
      <c r="BI192" s="57">
        <v>0</v>
      </c>
      <c r="BJ192" s="57">
        <v>0</v>
      </c>
      <c r="BK192" s="57"/>
      <c r="BL192" s="57">
        <v>0</v>
      </c>
      <c r="BM192" s="57">
        <v>0</v>
      </c>
      <c r="BN192" s="57">
        <v>0</v>
      </c>
      <c r="BO192" s="57">
        <v>0</v>
      </c>
      <c r="BP192" s="46"/>
      <c r="BQ192" s="87">
        <v>32556.504719999997</v>
      </c>
      <c r="BR192" s="52">
        <v>13768.5612</v>
      </c>
      <c r="BS192" s="52">
        <v>18787.943519999997</v>
      </c>
    </row>
    <row r="193" spans="1:71" ht="12" customHeight="1" x14ac:dyDescent="0.2">
      <c r="A193" s="55">
        <v>2018</v>
      </c>
      <c r="B193" s="55" t="s">
        <v>7</v>
      </c>
      <c r="C193" s="82">
        <v>16.890310000000003</v>
      </c>
      <c r="D193" s="82">
        <v>16417.369589999998</v>
      </c>
      <c r="E193" s="78">
        <v>499.90699999999998</v>
      </c>
      <c r="F193" s="78">
        <v>15917.462589999999</v>
      </c>
      <c r="G193" s="82">
        <v>0</v>
      </c>
      <c r="H193" s="82"/>
      <c r="I193" s="82">
        <v>0</v>
      </c>
      <c r="J193" s="82">
        <v>0</v>
      </c>
      <c r="K193" s="82">
        <v>0</v>
      </c>
      <c r="L193" s="82"/>
      <c r="M193" s="82">
        <v>0</v>
      </c>
      <c r="N193" s="82">
        <v>3698.0644300000008</v>
      </c>
      <c r="O193" s="78">
        <v>3698.0644300000008</v>
      </c>
      <c r="P193" s="78">
        <v>0</v>
      </c>
      <c r="Q193" s="73">
        <v>20132.324329999999</v>
      </c>
      <c r="R193" s="78">
        <v>4214.8617400000003</v>
      </c>
      <c r="S193" s="78">
        <v>15917.462589999999</v>
      </c>
      <c r="T193" s="47"/>
      <c r="U193" s="57">
        <v>0</v>
      </c>
      <c r="V193" s="57">
        <v>0</v>
      </c>
      <c r="W193" s="57"/>
      <c r="X193" s="57"/>
      <c r="Y193" s="57">
        <v>0</v>
      </c>
      <c r="Z193" s="57">
        <v>2734.6108600000002</v>
      </c>
      <c r="AA193" s="57">
        <v>2734.6108600000002</v>
      </c>
      <c r="AB193" s="45"/>
      <c r="AC193" s="57">
        <v>0</v>
      </c>
      <c r="AD193" s="78">
        <v>0</v>
      </c>
      <c r="AE193" s="78">
        <v>0</v>
      </c>
      <c r="AF193" s="82">
        <v>291.78001</v>
      </c>
      <c r="AG193" s="78">
        <v>0</v>
      </c>
      <c r="AH193" s="78">
        <v>291.78001</v>
      </c>
      <c r="AI193" s="82">
        <v>0</v>
      </c>
      <c r="AJ193" s="82">
        <v>1854.7191</v>
      </c>
      <c r="AK193" s="78">
        <v>0</v>
      </c>
      <c r="AL193" s="78">
        <v>1854.7191</v>
      </c>
      <c r="AM193" s="82">
        <v>0</v>
      </c>
      <c r="AN193" s="78">
        <v>0</v>
      </c>
      <c r="AO193" s="79">
        <v>0</v>
      </c>
      <c r="AP193" s="82">
        <v>0</v>
      </c>
      <c r="AQ193" s="78">
        <v>0</v>
      </c>
      <c r="AR193" s="52">
        <v>0</v>
      </c>
      <c r="AS193" s="48"/>
      <c r="AT193" s="78"/>
      <c r="AU193" s="52">
        <v>0</v>
      </c>
      <c r="AV193" s="48">
        <v>0</v>
      </c>
      <c r="AW193" s="52">
        <v>0</v>
      </c>
      <c r="AX193" s="52">
        <v>0</v>
      </c>
      <c r="AY193" s="87">
        <v>2146.4991100000002</v>
      </c>
      <c r="AZ193" s="52">
        <v>0</v>
      </c>
      <c r="BA193" s="52">
        <v>2146.4991100000002</v>
      </c>
      <c r="BB193" s="48"/>
      <c r="BC193" s="57">
        <v>0</v>
      </c>
      <c r="BD193" s="57">
        <v>0</v>
      </c>
      <c r="BE193" s="57">
        <v>5054.7746399999996</v>
      </c>
      <c r="BF193" s="57">
        <v>0</v>
      </c>
      <c r="BG193" s="57">
        <v>5054.7746399999996</v>
      </c>
      <c r="BH193" s="46"/>
      <c r="BI193" s="57">
        <v>0</v>
      </c>
      <c r="BJ193" s="57">
        <v>0</v>
      </c>
      <c r="BK193" s="57"/>
      <c r="BL193" s="57">
        <v>0</v>
      </c>
      <c r="BM193" s="57">
        <v>0</v>
      </c>
      <c r="BN193" s="57">
        <v>0</v>
      </c>
      <c r="BO193" s="57">
        <v>0</v>
      </c>
      <c r="BP193" s="46"/>
      <c r="BQ193" s="87">
        <v>30068.20894</v>
      </c>
      <c r="BR193" s="52">
        <v>12004.247240000001</v>
      </c>
      <c r="BS193" s="52">
        <v>18063.9617</v>
      </c>
    </row>
    <row r="194" spans="1:71" ht="12" customHeight="1" x14ac:dyDescent="0.2">
      <c r="A194" s="55">
        <v>2018</v>
      </c>
      <c r="B194" s="55" t="s">
        <v>8</v>
      </c>
      <c r="C194" s="82">
        <v>0</v>
      </c>
      <c r="D194" s="82">
        <v>17979.078239999999</v>
      </c>
      <c r="E194" s="78">
        <v>1982.5943400000001</v>
      </c>
      <c r="F194" s="78">
        <v>15996.483899999999</v>
      </c>
      <c r="G194" s="82">
        <v>0</v>
      </c>
      <c r="H194" s="82"/>
      <c r="I194" s="82">
        <v>0</v>
      </c>
      <c r="J194" s="82">
        <v>0</v>
      </c>
      <c r="K194" s="82">
        <v>0</v>
      </c>
      <c r="L194" s="82"/>
      <c r="M194" s="82">
        <v>0</v>
      </c>
      <c r="N194" s="82">
        <v>3736.9047500000001</v>
      </c>
      <c r="O194" s="78">
        <v>3736.9047500000001</v>
      </c>
      <c r="P194" s="78">
        <v>0</v>
      </c>
      <c r="Q194" s="73">
        <v>21715.98299</v>
      </c>
      <c r="R194" s="78">
        <v>5719.4990900000003</v>
      </c>
      <c r="S194" s="78">
        <v>15996.483899999999</v>
      </c>
      <c r="T194" s="47"/>
      <c r="U194" s="57">
        <v>0</v>
      </c>
      <c r="V194" s="57">
        <v>0</v>
      </c>
      <c r="W194" s="57"/>
      <c r="X194" s="57"/>
      <c r="Y194" s="57">
        <v>876.31362999999999</v>
      </c>
      <c r="Z194" s="57">
        <v>3394.4140799999996</v>
      </c>
      <c r="AA194" s="57">
        <v>4270.7277099999992</v>
      </c>
      <c r="AB194" s="45"/>
      <c r="AC194" s="57">
        <v>0</v>
      </c>
      <c r="AD194" s="78">
        <v>0</v>
      </c>
      <c r="AE194" s="78">
        <v>0</v>
      </c>
      <c r="AF194" s="82">
        <v>51.042970000000004</v>
      </c>
      <c r="AG194" s="78">
        <v>0</v>
      </c>
      <c r="AH194" s="78">
        <v>51.042970000000004</v>
      </c>
      <c r="AI194" s="82">
        <v>0</v>
      </c>
      <c r="AJ194" s="82">
        <v>2979.34501</v>
      </c>
      <c r="AK194" s="78">
        <v>960.47029000000009</v>
      </c>
      <c r="AL194" s="78">
        <v>2018.87472</v>
      </c>
      <c r="AM194" s="82">
        <v>0</v>
      </c>
      <c r="AN194" s="78">
        <v>0</v>
      </c>
      <c r="AO194" s="79">
        <v>0</v>
      </c>
      <c r="AP194" s="82">
        <v>0</v>
      </c>
      <c r="AQ194" s="78">
        <v>0</v>
      </c>
      <c r="AR194" s="52">
        <v>0</v>
      </c>
      <c r="AS194" s="48"/>
      <c r="AT194" s="78"/>
      <c r="AU194" s="52">
        <v>0</v>
      </c>
      <c r="AV194" s="48">
        <v>1112.3385600000001</v>
      </c>
      <c r="AW194" s="52">
        <v>1112.3385600000001</v>
      </c>
      <c r="AX194" s="52">
        <v>0</v>
      </c>
      <c r="AY194" s="87">
        <v>4142.7265400000006</v>
      </c>
      <c r="AZ194" s="52">
        <v>2072.8088500000003</v>
      </c>
      <c r="BA194" s="52">
        <v>2069.9176900000002</v>
      </c>
      <c r="BB194" s="48"/>
      <c r="BC194" s="57">
        <v>0</v>
      </c>
      <c r="BD194" s="57">
        <v>0</v>
      </c>
      <c r="BE194" s="57">
        <v>1815.71819</v>
      </c>
      <c r="BF194" s="57">
        <v>0</v>
      </c>
      <c r="BG194" s="57">
        <v>1815.71819</v>
      </c>
      <c r="BH194" s="46"/>
      <c r="BI194" s="57">
        <v>0</v>
      </c>
      <c r="BJ194" s="57">
        <v>0</v>
      </c>
      <c r="BK194" s="57"/>
      <c r="BL194" s="57">
        <v>0</v>
      </c>
      <c r="BM194" s="57">
        <v>0</v>
      </c>
      <c r="BN194" s="57">
        <v>0</v>
      </c>
      <c r="BO194" s="57">
        <v>0</v>
      </c>
      <c r="BP194" s="46"/>
      <c r="BQ194" s="87">
        <v>31945.155429999999</v>
      </c>
      <c r="BR194" s="52">
        <v>13878.753840000001</v>
      </c>
      <c r="BS194" s="52">
        <v>18066.401590000001</v>
      </c>
    </row>
    <row r="195" spans="1:71" ht="12" customHeight="1" x14ac:dyDescent="0.2">
      <c r="A195" s="55">
        <v>2018</v>
      </c>
      <c r="B195" s="55" t="s">
        <v>9</v>
      </c>
      <c r="C195" s="82">
        <v>0</v>
      </c>
      <c r="D195" s="82">
        <v>14480.34909</v>
      </c>
      <c r="E195" s="78">
        <v>979.38164000000006</v>
      </c>
      <c r="F195" s="78">
        <v>13500.96745</v>
      </c>
      <c r="G195" s="82">
        <v>0</v>
      </c>
      <c r="H195" s="82"/>
      <c r="I195" s="82">
        <v>0</v>
      </c>
      <c r="J195" s="82">
        <v>0</v>
      </c>
      <c r="K195" s="82">
        <v>0</v>
      </c>
      <c r="L195" s="82"/>
      <c r="M195" s="82">
        <v>0</v>
      </c>
      <c r="N195" s="82">
        <v>2907.00704</v>
      </c>
      <c r="O195" s="78">
        <v>2907.00704</v>
      </c>
      <c r="P195" s="78">
        <v>0</v>
      </c>
      <c r="Q195" s="73">
        <v>17387.35613</v>
      </c>
      <c r="R195" s="78">
        <v>3886.38868</v>
      </c>
      <c r="S195" s="78">
        <v>13500.96745</v>
      </c>
      <c r="T195" s="47"/>
      <c r="U195" s="57">
        <v>0</v>
      </c>
      <c r="V195" s="57">
        <v>0</v>
      </c>
      <c r="W195" s="57"/>
      <c r="X195" s="57"/>
      <c r="Y195" s="57">
        <v>4057.8710999999998</v>
      </c>
      <c r="Z195" s="57">
        <v>1699.0767499999999</v>
      </c>
      <c r="AA195" s="57">
        <v>5756.9478499999996</v>
      </c>
      <c r="AB195" s="45"/>
      <c r="AC195" s="57">
        <v>0</v>
      </c>
      <c r="AD195" s="78">
        <v>0</v>
      </c>
      <c r="AE195" s="78">
        <v>0</v>
      </c>
      <c r="AF195" s="82">
        <v>118.2428</v>
      </c>
      <c r="AG195" s="78">
        <v>0</v>
      </c>
      <c r="AH195" s="78">
        <v>118.2428</v>
      </c>
      <c r="AI195" s="82">
        <v>0</v>
      </c>
      <c r="AJ195" s="82">
        <v>2086.1705400000001</v>
      </c>
      <c r="AK195" s="78">
        <v>0</v>
      </c>
      <c r="AL195" s="78">
        <v>2086.1705400000001</v>
      </c>
      <c r="AM195" s="82">
        <v>0</v>
      </c>
      <c r="AN195" s="78">
        <v>0</v>
      </c>
      <c r="AO195" s="79">
        <v>0</v>
      </c>
      <c r="AP195" s="82">
        <v>19.049409999999998</v>
      </c>
      <c r="AQ195" s="78">
        <v>0</v>
      </c>
      <c r="AR195" s="52">
        <v>19.049409999999998</v>
      </c>
      <c r="AS195" s="48"/>
      <c r="AT195" s="78"/>
      <c r="AU195" s="52">
        <v>0</v>
      </c>
      <c r="AV195" s="48">
        <v>1109.35193</v>
      </c>
      <c r="AW195" s="52">
        <v>1109.35193</v>
      </c>
      <c r="AX195" s="52">
        <v>0</v>
      </c>
      <c r="AY195" s="87">
        <v>3332.8146800000004</v>
      </c>
      <c r="AZ195" s="52">
        <v>1109.35193</v>
      </c>
      <c r="BA195" s="52">
        <v>2223.4627500000001</v>
      </c>
      <c r="BB195" s="48"/>
      <c r="BC195" s="57">
        <v>0</v>
      </c>
      <c r="BD195" s="57">
        <v>0</v>
      </c>
      <c r="BE195" s="57">
        <v>2699.2071900000001</v>
      </c>
      <c r="BF195" s="57">
        <v>0</v>
      </c>
      <c r="BG195" s="57">
        <v>2699.2071900000001</v>
      </c>
      <c r="BH195" s="46"/>
      <c r="BI195" s="57">
        <v>0</v>
      </c>
      <c r="BJ195" s="57">
        <v>0</v>
      </c>
      <c r="BK195" s="57"/>
      <c r="BL195" s="57">
        <v>0</v>
      </c>
      <c r="BM195" s="57">
        <v>0</v>
      </c>
      <c r="BN195" s="57">
        <v>0</v>
      </c>
      <c r="BO195" s="57">
        <v>0</v>
      </c>
      <c r="BP195" s="46"/>
      <c r="BQ195" s="87">
        <v>29176.325850000001</v>
      </c>
      <c r="BR195" s="52">
        <v>13451.895650000002</v>
      </c>
      <c r="BS195" s="52">
        <v>15724.430200000001</v>
      </c>
    </row>
    <row r="196" spans="1:71" ht="12" customHeight="1" x14ac:dyDescent="0.2">
      <c r="A196" s="55">
        <v>2018</v>
      </c>
      <c r="B196" s="55" t="s">
        <v>10</v>
      </c>
      <c r="C196" s="82">
        <v>0</v>
      </c>
      <c r="D196" s="82">
        <v>14788.335510000003</v>
      </c>
      <c r="E196" s="78">
        <v>990.529</v>
      </c>
      <c r="F196" s="78">
        <v>13797.806510000002</v>
      </c>
      <c r="G196" s="82">
        <v>0</v>
      </c>
      <c r="H196" s="82"/>
      <c r="I196" s="82">
        <v>0</v>
      </c>
      <c r="J196" s="82">
        <v>0</v>
      </c>
      <c r="K196" s="82">
        <v>0</v>
      </c>
      <c r="L196" s="82"/>
      <c r="M196" s="82">
        <v>0</v>
      </c>
      <c r="N196" s="82">
        <v>1828.36915</v>
      </c>
      <c r="O196" s="78">
        <v>1828.36915</v>
      </c>
      <c r="P196" s="78">
        <v>0</v>
      </c>
      <c r="Q196" s="73">
        <v>16616.704660000003</v>
      </c>
      <c r="R196" s="78">
        <v>2818.89815</v>
      </c>
      <c r="S196" s="78">
        <v>13797.806510000002</v>
      </c>
      <c r="T196" s="47"/>
      <c r="U196" s="57">
        <v>0</v>
      </c>
      <c r="V196" s="57">
        <v>949.67852000000005</v>
      </c>
      <c r="W196" s="57"/>
      <c r="X196" s="57"/>
      <c r="Y196" s="57">
        <v>1775.6590900000001</v>
      </c>
      <c r="Z196" s="57">
        <v>2559.9290599999999</v>
      </c>
      <c r="AA196" s="57">
        <v>5285.26667</v>
      </c>
      <c r="AB196" s="45"/>
      <c r="AC196" s="57">
        <v>895.97693000000004</v>
      </c>
      <c r="AD196" s="78">
        <v>895.97693000000004</v>
      </c>
      <c r="AE196" s="78">
        <v>0</v>
      </c>
      <c r="AF196" s="82">
        <v>207.70760999999999</v>
      </c>
      <c r="AG196" s="78">
        <v>0</v>
      </c>
      <c r="AH196" s="78">
        <v>207.70760999999999</v>
      </c>
      <c r="AI196" s="82">
        <v>0</v>
      </c>
      <c r="AJ196" s="82">
        <v>3958.3693499999999</v>
      </c>
      <c r="AK196" s="78">
        <v>1872.1988100000001</v>
      </c>
      <c r="AL196" s="78">
        <v>2086.1705400000001</v>
      </c>
      <c r="AM196" s="82">
        <v>0</v>
      </c>
      <c r="AN196" s="78">
        <v>0</v>
      </c>
      <c r="AO196" s="79">
        <v>0</v>
      </c>
      <c r="AP196" s="82">
        <v>0.60263</v>
      </c>
      <c r="AQ196" s="78">
        <v>0.60263</v>
      </c>
      <c r="AR196" s="52">
        <v>0</v>
      </c>
      <c r="AS196" s="48"/>
      <c r="AT196" s="78"/>
      <c r="AU196" s="52">
        <v>0</v>
      </c>
      <c r="AV196" s="48">
        <v>0</v>
      </c>
      <c r="AW196" s="52">
        <v>0</v>
      </c>
      <c r="AX196" s="52">
        <v>0</v>
      </c>
      <c r="AY196" s="87">
        <v>5062.6565200000005</v>
      </c>
      <c r="AZ196" s="52">
        <v>2768.77837</v>
      </c>
      <c r="BA196" s="52">
        <v>2293.87815</v>
      </c>
      <c r="BB196" s="48"/>
      <c r="BC196" s="57">
        <v>0</v>
      </c>
      <c r="BD196" s="57">
        <v>0</v>
      </c>
      <c r="BE196" s="57">
        <v>3181.8080500000001</v>
      </c>
      <c r="BF196" s="57">
        <v>0</v>
      </c>
      <c r="BG196" s="57">
        <v>3181.8080500000001</v>
      </c>
      <c r="BH196" s="46"/>
      <c r="BI196" s="57">
        <v>0</v>
      </c>
      <c r="BJ196" s="57">
        <v>0</v>
      </c>
      <c r="BK196" s="57"/>
      <c r="BL196" s="57">
        <v>0</v>
      </c>
      <c r="BM196" s="57">
        <v>0</v>
      </c>
      <c r="BN196" s="57">
        <v>0</v>
      </c>
      <c r="BO196" s="57">
        <v>0</v>
      </c>
      <c r="BP196" s="46"/>
      <c r="BQ196" s="87">
        <v>30146.435900000004</v>
      </c>
      <c r="BR196" s="52">
        <v>14054.75124</v>
      </c>
      <c r="BS196" s="52">
        <v>16091.684660000003</v>
      </c>
    </row>
    <row r="197" spans="1:71" ht="12" customHeight="1" x14ac:dyDescent="0.2">
      <c r="A197" s="55">
        <v>2018</v>
      </c>
      <c r="B197" s="55" t="s">
        <v>11</v>
      </c>
      <c r="C197" s="82">
        <v>0</v>
      </c>
      <c r="D197" s="82">
        <v>13763.282399999998</v>
      </c>
      <c r="E197" s="78">
        <v>0</v>
      </c>
      <c r="F197" s="78">
        <v>13763.282399999998</v>
      </c>
      <c r="G197" s="82">
        <v>0</v>
      </c>
      <c r="H197" s="82"/>
      <c r="I197" s="82">
        <v>0</v>
      </c>
      <c r="J197" s="82">
        <v>0</v>
      </c>
      <c r="K197" s="82">
        <v>0</v>
      </c>
      <c r="L197" s="82"/>
      <c r="M197" s="82">
        <v>0</v>
      </c>
      <c r="N197" s="82">
        <v>3725.0866099999998</v>
      </c>
      <c r="O197" s="78">
        <v>3725.0866099999998</v>
      </c>
      <c r="P197" s="78">
        <v>0</v>
      </c>
      <c r="Q197" s="73">
        <v>17488.369009999999</v>
      </c>
      <c r="R197" s="78">
        <v>3725.0866099999998</v>
      </c>
      <c r="S197" s="78">
        <v>13763.282399999998</v>
      </c>
      <c r="T197" s="47"/>
      <c r="U197" s="57">
        <v>0</v>
      </c>
      <c r="V197" s="57">
        <v>0</v>
      </c>
      <c r="W197" s="57"/>
      <c r="X197" s="57"/>
      <c r="Y197" s="57">
        <v>858.12533999999994</v>
      </c>
      <c r="Z197" s="57">
        <v>1675.9352900000001</v>
      </c>
      <c r="AA197" s="57">
        <v>2534.0606299999999</v>
      </c>
      <c r="AB197" s="45"/>
      <c r="AC197" s="57">
        <v>0.45400000000000001</v>
      </c>
      <c r="AD197" s="78">
        <v>0</v>
      </c>
      <c r="AE197" s="78">
        <v>0.45400000000000001</v>
      </c>
      <c r="AF197" s="82">
        <v>1225.9549399999999</v>
      </c>
      <c r="AG197" s="78">
        <v>0</v>
      </c>
      <c r="AH197" s="78">
        <v>1225.9549399999999</v>
      </c>
      <c r="AI197" s="82">
        <v>0</v>
      </c>
      <c r="AJ197" s="82">
        <v>2146.5228999999999</v>
      </c>
      <c r="AK197" s="78">
        <v>0</v>
      </c>
      <c r="AL197" s="78">
        <v>2146.5228999999999</v>
      </c>
      <c r="AM197" s="82">
        <v>0</v>
      </c>
      <c r="AN197" s="78">
        <v>0</v>
      </c>
      <c r="AO197" s="79">
        <v>0</v>
      </c>
      <c r="AP197" s="82">
        <v>0</v>
      </c>
      <c r="AQ197" s="78">
        <v>0</v>
      </c>
      <c r="AR197" s="52">
        <v>0</v>
      </c>
      <c r="AS197" s="48"/>
      <c r="AT197" s="78"/>
      <c r="AU197" s="52">
        <v>0</v>
      </c>
      <c r="AV197" s="48">
        <v>997.11266999999998</v>
      </c>
      <c r="AW197" s="52">
        <v>997.11266999999998</v>
      </c>
      <c r="AX197" s="52">
        <v>0</v>
      </c>
      <c r="AY197" s="87">
        <v>4370.0445099999997</v>
      </c>
      <c r="AZ197" s="52">
        <v>997.11266999999998</v>
      </c>
      <c r="BA197" s="52">
        <v>3372.9318399999997</v>
      </c>
      <c r="BB197" s="48"/>
      <c r="BC197" s="57">
        <v>0</v>
      </c>
      <c r="BD197" s="57">
        <v>0</v>
      </c>
      <c r="BE197" s="57">
        <v>5028.3926500000007</v>
      </c>
      <c r="BF197" s="57">
        <v>0</v>
      </c>
      <c r="BG197" s="57">
        <v>5028.3926500000007</v>
      </c>
      <c r="BH197" s="46"/>
      <c r="BI197" s="57">
        <v>0</v>
      </c>
      <c r="BJ197" s="57">
        <v>0</v>
      </c>
      <c r="BK197" s="57"/>
      <c r="BL197" s="57">
        <v>0</v>
      </c>
      <c r="BM197" s="57">
        <v>0</v>
      </c>
      <c r="BN197" s="57">
        <v>0</v>
      </c>
      <c r="BO197" s="57">
        <v>0</v>
      </c>
      <c r="BP197" s="46"/>
      <c r="BQ197" s="87">
        <v>29420.8668</v>
      </c>
      <c r="BR197" s="52">
        <v>12284.652560000002</v>
      </c>
      <c r="BS197" s="52">
        <v>17136.214239999998</v>
      </c>
    </row>
    <row r="198" spans="1:71" ht="12" customHeight="1" x14ac:dyDescent="0.2">
      <c r="A198" s="55">
        <v>2018</v>
      </c>
      <c r="B198" s="55" t="s">
        <v>12</v>
      </c>
      <c r="C198" s="82">
        <v>0</v>
      </c>
      <c r="D198" s="82">
        <v>13397.26692</v>
      </c>
      <c r="E198" s="78">
        <v>993.79993999999999</v>
      </c>
      <c r="F198" s="78">
        <v>12403.466979999999</v>
      </c>
      <c r="G198" s="82">
        <v>0</v>
      </c>
      <c r="H198" s="82"/>
      <c r="I198" s="82">
        <v>0</v>
      </c>
      <c r="J198" s="82">
        <v>0</v>
      </c>
      <c r="K198" s="82">
        <v>0</v>
      </c>
      <c r="L198" s="82"/>
      <c r="M198" s="82">
        <v>0</v>
      </c>
      <c r="N198" s="82">
        <v>3909.9229399999995</v>
      </c>
      <c r="O198" s="78">
        <v>3909.9229399999995</v>
      </c>
      <c r="P198" s="78">
        <v>0</v>
      </c>
      <c r="Q198" s="73">
        <v>17307.189859999999</v>
      </c>
      <c r="R198" s="78">
        <v>4903.7228799999993</v>
      </c>
      <c r="S198" s="78">
        <v>12403.466979999999</v>
      </c>
      <c r="T198" s="47"/>
      <c r="U198" s="57">
        <v>0</v>
      </c>
      <c r="V198" s="57">
        <v>1407.1734799999999</v>
      </c>
      <c r="W198" s="57"/>
      <c r="X198" s="57"/>
      <c r="Y198" s="57">
        <v>2802.9742700000002</v>
      </c>
      <c r="Z198" s="57">
        <v>1683.48876</v>
      </c>
      <c r="AA198" s="57">
        <v>5893.6365100000003</v>
      </c>
      <c r="AB198" s="45"/>
      <c r="AC198" s="57">
        <v>0</v>
      </c>
      <c r="AD198" s="78">
        <v>0</v>
      </c>
      <c r="AE198" s="78">
        <v>0</v>
      </c>
      <c r="AF198" s="82">
        <v>1629.6190699999995</v>
      </c>
      <c r="AG198" s="78">
        <v>0</v>
      </c>
      <c r="AH198" s="78">
        <v>1629.6190699999995</v>
      </c>
      <c r="AI198" s="82">
        <v>0</v>
      </c>
      <c r="AJ198" s="82">
        <v>3682.1477999999997</v>
      </c>
      <c r="AK198" s="78">
        <v>919.90141000000006</v>
      </c>
      <c r="AL198" s="78">
        <v>2762.2463899999998</v>
      </c>
      <c r="AM198" s="82">
        <v>0</v>
      </c>
      <c r="AN198" s="78">
        <v>0</v>
      </c>
      <c r="AO198" s="79">
        <v>0</v>
      </c>
      <c r="AP198" s="82">
        <v>47.639040000000001</v>
      </c>
      <c r="AQ198" s="78">
        <v>0</v>
      </c>
      <c r="AR198" s="52">
        <v>47.639040000000001</v>
      </c>
      <c r="AS198" s="48"/>
      <c r="AT198" s="78"/>
      <c r="AU198" s="52">
        <v>0</v>
      </c>
      <c r="AV198" s="48">
        <v>2225.8121399999995</v>
      </c>
      <c r="AW198" s="52">
        <v>2225.8121399999995</v>
      </c>
      <c r="AX198" s="52">
        <v>0</v>
      </c>
      <c r="AY198" s="87">
        <v>7585.2180499999986</v>
      </c>
      <c r="AZ198" s="52">
        <v>3145.7135499999995</v>
      </c>
      <c r="BA198" s="52">
        <v>4439.5044999999991</v>
      </c>
      <c r="BB198" s="48"/>
      <c r="BC198" s="57">
        <v>0</v>
      </c>
      <c r="BD198" s="57">
        <v>0</v>
      </c>
      <c r="BE198" s="57">
        <v>3668.4227800000003</v>
      </c>
      <c r="BF198" s="57">
        <v>0</v>
      </c>
      <c r="BG198" s="57">
        <v>3668.4227800000003</v>
      </c>
      <c r="BH198" s="46"/>
      <c r="BI198" s="57">
        <v>0</v>
      </c>
      <c r="BJ198" s="57">
        <v>0</v>
      </c>
      <c r="BK198" s="57"/>
      <c r="BL198" s="57">
        <v>0</v>
      </c>
      <c r="BM198" s="57">
        <v>0</v>
      </c>
      <c r="BN198" s="57">
        <v>0</v>
      </c>
      <c r="BO198" s="57">
        <v>0</v>
      </c>
      <c r="BP198" s="46"/>
      <c r="BQ198" s="87">
        <v>34454.467199999999</v>
      </c>
      <c r="BR198" s="52">
        <v>17611.495719999999</v>
      </c>
      <c r="BS198" s="52">
        <v>16842.97148</v>
      </c>
    </row>
    <row r="199" spans="1:71" ht="12" customHeight="1" x14ac:dyDescent="0.2">
      <c r="A199" s="55">
        <v>2018</v>
      </c>
      <c r="B199" s="55" t="s">
        <v>13</v>
      </c>
      <c r="C199" s="82">
        <v>0</v>
      </c>
      <c r="D199" s="82">
        <v>15323.67016</v>
      </c>
      <c r="E199" s="78">
        <v>991.73692000000005</v>
      </c>
      <c r="F199" s="78">
        <v>14331.93324</v>
      </c>
      <c r="G199" s="82">
        <v>0</v>
      </c>
      <c r="H199" s="82"/>
      <c r="I199" s="82">
        <v>0</v>
      </c>
      <c r="J199" s="82">
        <v>0</v>
      </c>
      <c r="K199" s="82">
        <v>0</v>
      </c>
      <c r="L199" s="82"/>
      <c r="M199" s="82">
        <v>0</v>
      </c>
      <c r="N199" s="82">
        <v>5307.5603800000008</v>
      </c>
      <c r="O199" s="78">
        <v>5307.5603800000008</v>
      </c>
      <c r="P199" s="78">
        <v>0</v>
      </c>
      <c r="Q199" s="73">
        <v>20631.23054</v>
      </c>
      <c r="R199" s="78">
        <v>6299.2973000000011</v>
      </c>
      <c r="S199" s="78">
        <v>14331.93324</v>
      </c>
      <c r="T199" s="47"/>
      <c r="U199" s="57">
        <v>0</v>
      </c>
      <c r="V199" s="57">
        <v>0</v>
      </c>
      <c r="W199" s="57"/>
      <c r="X199" s="57"/>
      <c r="Y199" s="57">
        <v>1940.9881600000001</v>
      </c>
      <c r="Z199" s="57">
        <v>2558.8255399999998</v>
      </c>
      <c r="AA199" s="57">
        <v>4499.8136999999997</v>
      </c>
      <c r="AB199" s="45"/>
      <c r="AC199" s="57">
        <v>0</v>
      </c>
      <c r="AD199" s="78">
        <v>0</v>
      </c>
      <c r="AE199" s="78">
        <v>0</v>
      </c>
      <c r="AF199" s="82">
        <v>1655.7802599999998</v>
      </c>
      <c r="AG199" s="78">
        <v>0</v>
      </c>
      <c r="AH199" s="78">
        <v>1655.7802599999998</v>
      </c>
      <c r="AI199" s="82">
        <v>0</v>
      </c>
      <c r="AJ199" s="82">
        <v>3241.5580499999996</v>
      </c>
      <c r="AK199" s="78">
        <v>0</v>
      </c>
      <c r="AL199" s="78">
        <v>3241.5580499999996</v>
      </c>
      <c r="AM199" s="82">
        <v>0</v>
      </c>
      <c r="AN199" s="78">
        <v>0</v>
      </c>
      <c r="AO199" s="79">
        <v>0</v>
      </c>
      <c r="AP199" s="82">
        <v>12.0312</v>
      </c>
      <c r="AQ199" s="78">
        <v>0</v>
      </c>
      <c r="AR199" s="52">
        <v>12.0312</v>
      </c>
      <c r="AS199" s="48"/>
      <c r="AT199" s="78"/>
      <c r="AU199" s="52">
        <v>0</v>
      </c>
      <c r="AV199" s="48">
        <v>1091.5911000000001</v>
      </c>
      <c r="AW199" s="52">
        <v>1091.5911000000001</v>
      </c>
      <c r="AX199" s="52">
        <v>0</v>
      </c>
      <c r="AY199" s="87">
        <v>6000.9606100000001</v>
      </c>
      <c r="AZ199" s="52">
        <v>1091.5911000000001</v>
      </c>
      <c r="BA199" s="52">
        <v>4909.3695099999995</v>
      </c>
      <c r="BB199" s="48"/>
      <c r="BC199" s="57">
        <v>0</v>
      </c>
      <c r="BD199" s="57">
        <v>0</v>
      </c>
      <c r="BE199" s="57">
        <v>1756.2041200000001</v>
      </c>
      <c r="BF199" s="57">
        <v>0</v>
      </c>
      <c r="BG199" s="57">
        <v>1756.2041200000001</v>
      </c>
      <c r="BH199" s="46"/>
      <c r="BI199" s="57">
        <v>0</v>
      </c>
      <c r="BJ199" s="57">
        <v>0</v>
      </c>
      <c r="BK199" s="57"/>
      <c r="BL199" s="57">
        <v>0</v>
      </c>
      <c r="BM199" s="57">
        <v>0</v>
      </c>
      <c r="BN199" s="57">
        <v>0</v>
      </c>
      <c r="BO199" s="57">
        <v>0</v>
      </c>
      <c r="BP199" s="46"/>
      <c r="BQ199" s="87">
        <v>32888.20897</v>
      </c>
      <c r="BR199" s="52">
        <v>13646.906220000001</v>
      </c>
      <c r="BS199" s="52">
        <v>19241.302749999999</v>
      </c>
    </row>
    <row r="200" spans="1:71" ht="12" customHeight="1" x14ac:dyDescent="0.2">
      <c r="A200" s="55">
        <v>2018</v>
      </c>
      <c r="B200" s="55" t="s">
        <v>14</v>
      </c>
      <c r="C200" s="82">
        <v>0</v>
      </c>
      <c r="D200" s="82">
        <v>16671.691169999998</v>
      </c>
      <c r="E200" s="78">
        <v>1987.42082</v>
      </c>
      <c r="F200" s="78">
        <v>14684.270349999999</v>
      </c>
      <c r="G200" s="82">
        <v>863.24386000000004</v>
      </c>
      <c r="H200" s="82"/>
      <c r="I200" s="82">
        <v>0</v>
      </c>
      <c r="J200" s="82">
        <v>0</v>
      </c>
      <c r="K200" s="82">
        <v>0</v>
      </c>
      <c r="L200" s="82"/>
      <c r="M200" s="82">
        <v>0</v>
      </c>
      <c r="N200" s="82">
        <v>5086.46432</v>
      </c>
      <c r="O200" s="78">
        <v>5086.46432</v>
      </c>
      <c r="P200" s="78">
        <v>0</v>
      </c>
      <c r="Q200" s="73">
        <v>22621.39935</v>
      </c>
      <c r="R200" s="78">
        <v>7937.1290000000008</v>
      </c>
      <c r="S200" s="78">
        <v>14684.270349999999</v>
      </c>
      <c r="T200" s="47"/>
      <c r="U200" s="57">
        <v>0</v>
      </c>
      <c r="V200" s="57">
        <v>1001.42804</v>
      </c>
      <c r="W200" s="57"/>
      <c r="X200" s="57"/>
      <c r="Y200" s="57">
        <v>2783.1620099999996</v>
      </c>
      <c r="Z200" s="57">
        <v>2565.8072199999997</v>
      </c>
      <c r="AA200" s="57">
        <v>6350.3972699999995</v>
      </c>
      <c r="AB200" s="45"/>
      <c r="AC200" s="57">
        <v>0</v>
      </c>
      <c r="AD200" s="78">
        <v>0</v>
      </c>
      <c r="AE200" s="78">
        <v>0</v>
      </c>
      <c r="AF200" s="82">
        <v>2195.8713899999998</v>
      </c>
      <c r="AG200" s="78">
        <v>0</v>
      </c>
      <c r="AH200" s="78">
        <v>2195.8713899999998</v>
      </c>
      <c r="AI200" s="82">
        <v>15.023</v>
      </c>
      <c r="AJ200" s="82">
        <v>4149.1048799999999</v>
      </c>
      <c r="AK200" s="78">
        <v>942.34477000000004</v>
      </c>
      <c r="AL200" s="78">
        <v>3206.7601099999997</v>
      </c>
      <c r="AM200" s="82">
        <v>0</v>
      </c>
      <c r="AN200" s="78">
        <v>0</v>
      </c>
      <c r="AO200" s="79">
        <v>0</v>
      </c>
      <c r="AP200" s="82">
        <v>0</v>
      </c>
      <c r="AQ200" s="78">
        <v>0</v>
      </c>
      <c r="AR200" s="52">
        <v>0</v>
      </c>
      <c r="AS200" s="48"/>
      <c r="AT200" s="78"/>
      <c r="AU200" s="52">
        <v>0</v>
      </c>
      <c r="AV200" s="48">
        <v>1092.20966</v>
      </c>
      <c r="AW200" s="52">
        <v>1092.20966</v>
      </c>
      <c r="AX200" s="52">
        <v>0</v>
      </c>
      <c r="AY200" s="87">
        <v>7452.2089299999998</v>
      </c>
      <c r="AZ200" s="52">
        <v>2049.5774300000003</v>
      </c>
      <c r="BA200" s="52">
        <v>5402.6314999999995</v>
      </c>
      <c r="BB200" s="48"/>
      <c r="BC200" s="57">
        <v>0</v>
      </c>
      <c r="BD200" s="57">
        <v>0</v>
      </c>
      <c r="BE200" s="57">
        <v>2726.8158100000001</v>
      </c>
      <c r="BF200" s="57">
        <v>0</v>
      </c>
      <c r="BG200" s="57">
        <v>2726.8158100000001</v>
      </c>
      <c r="BH200" s="46"/>
      <c r="BI200" s="57">
        <v>0</v>
      </c>
      <c r="BJ200" s="57">
        <v>0</v>
      </c>
      <c r="BK200" s="57"/>
      <c r="BL200" s="57">
        <v>0</v>
      </c>
      <c r="BM200" s="57">
        <v>0</v>
      </c>
      <c r="BN200" s="57">
        <v>0</v>
      </c>
      <c r="BO200" s="57">
        <v>0</v>
      </c>
      <c r="BP200" s="46"/>
      <c r="BQ200" s="87">
        <v>39150.821360000002</v>
      </c>
      <c r="BR200" s="52">
        <v>19063.91951</v>
      </c>
      <c r="BS200" s="52">
        <v>20086.901849999998</v>
      </c>
    </row>
    <row r="201" spans="1:71" ht="12" customHeight="1" x14ac:dyDescent="0.2">
      <c r="A201" s="55">
        <v>2018</v>
      </c>
      <c r="B201" s="55" t="s">
        <v>15</v>
      </c>
      <c r="C201" s="82">
        <v>1033.1580300000001</v>
      </c>
      <c r="D201" s="82">
        <v>200948.94793999998</v>
      </c>
      <c r="E201" s="78">
        <v>16850.009289999998</v>
      </c>
      <c r="F201" s="78">
        <v>184098.93865</v>
      </c>
      <c r="G201" s="82">
        <v>863.24386000000004</v>
      </c>
      <c r="H201" s="82"/>
      <c r="I201" s="82">
        <v>0</v>
      </c>
      <c r="J201" s="82">
        <v>0</v>
      </c>
      <c r="K201" s="82">
        <v>0</v>
      </c>
      <c r="L201" s="82"/>
      <c r="M201" s="82">
        <v>0</v>
      </c>
      <c r="N201" s="82">
        <v>45967.606100000005</v>
      </c>
      <c r="O201" s="78">
        <v>45967.606100000005</v>
      </c>
      <c r="P201" s="78">
        <v>0</v>
      </c>
      <c r="Q201" s="73">
        <v>248812.95593</v>
      </c>
      <c r="R201" s="78">
        <v>64714.017280000007</v>
      </c>
      <c r="S201" s="78">
        <v>184098.93865</v>
      </c>
      <c r="T201" s="47"/>
      <c r="U201" s="57">
        <v>0</v>
      </c>
      <c r="V201" s="57">
        <v>3358.2800399999996</v>
      </c>
      <c r="W201" s="57"/>
      <c r="X201" s="57"/>
      <c r="Y201" s="57">
        <v>19294.60613</v>
      </c>
      <c r="Z201" s="57">
        <v>24241.533999999996</v>
      </c>
      <c r="AA201" s="57">
        <v>46894.420169999998</v>
      </c>
      <c r="AB201" s="45"/>
      <c r="AC201" s="57">
        <v>896.43092999999999</v>
      </c>
      <c r="AD201" s="78">
        <v>895.97693000000004</v>
      </c>
      <c r="AE201" s="78">
        <v>0.45400000000000001</v>
      </c>
      <c r="AF201" s="82">
        <v>11456.645380000002</v>
      </c>
      <c r="AG201" s="78">
        <v>486.80970000000002</v>
      </c>
      <c r="AH201" s="78">
        <v>10969.83568</v>
      </c>
      <c r="AI201" s="82">
        <v>15.023</v>
      </c>
      <c r="AJ201" s="82">
        <v>35810.33541</v>
      </c>
      <c r="AK201" s="78">
        <v>6562.14084</v>
      </c>
      <c r="AL201" s="78">
        <v>29248.19457</v>
      </c>
      <c r="AM201" s="82">
        <v>0</v>
      </c>
      <c r="AN201" s="78">
        <v>0</v>
      </c>
      <c r="AO201" s="79">
        <v>0</v>
      </c>
      <c r="AP201" s="82">
        <v>106.39247999999999</v>
      </c>
      <c r="AQ201" s="78">
        <v>0.60263</v>
      </c>
      <c r="AR201" s="52">
        <v>105.78984999999999</v>
      </c>
      <c r="AS201" s="48"/>
      <c r="AT201" s="78"/>
      <c r="AU201" s="52">
        <v>0</v>
      </c>
      <c r="AV201" s="48">
        <v>9760.5155400000003</v>
      </c>
      <c r="AW201" s="52">
        <v>9760.5155400000003</v>
      </c>
      <c r="AX201" s="52">
        <v>0</v>
      </c>
      <c r="AY201" s="87">
        <v>58045.34274</v>
      </c>
      <c r="AZ201" s="52">
        <v>17721.068639999998</v>
      </c>
      <c r="BA201" s="52">
        <v>40324.274099999995</v>
      </c>
      <c r="BB201" s="48"/>
      <c r="BC201" s="57">
        <v>0</v>
      </c>
      <c r="BD201" s="57">
        <v>0</v>
      </c>
      <c r="BE201" s="57">
        <v>37686.586840000004</v>
      </c>
      <c r="BF201" s="57">
        <v>0</v>
      </c>
      <c r="BG201" s="57">
        <v>37686.586840000004</v>
      </c>
      <c r="BH201" s="46"/>
      <c r="BI201" s="57">
        <v>0</v>
      </c>
      <c r="BJ201" s="57">
        <v>0</v>
      </c>
      <c r="BK201" s="57"/>
      <c r="BL201" s="57">
        <v>0</v>
      </c>
      <c r="BM201" s="57">
        <v>0</v>
      </c>
      <c r="BN201" s="57">
        <v>0</v>
      </c>
      <c r="BO201" s="57">
        <v>0</v>
      </c>
      <c r="BP201" s="46"/>
      <c r="BQ201" s="87">
        <v>391439.30567999999</v>
      </c>
      <c r="BR201" s="52">
        <v>167016.09292999998</v>
      </c>
      <c r="BS201" s="52">
        <v>224423.21275000001</v>
      </c>
    </row>
    <row r="202" spans="1:71" ht="12" customHeight="1" x14ac:dyDescent="0.2">
      <c r="A202" s="55">
        <v>2019</v>
      </c>
      <c r="B202" s="55" t="s">
        <v>3</v>
      </c>
      <c r="C202" s="82">
        <v>0</v>
      </c>
      <c r="D202" s="82">
        <v>17738.255530000002</v>
      </c>
      <c r="E202" s="78">
        <v>1491.32727</v>
      </c>
      <c r="F202" s="78">
        <v>16246.928260000002</v>
      </c>
      <c r="G202" s="82">
        <v>0</v>
      </c>
      <c r="H202" s="82"/>
      <c r="I202" s="82">
        <v>0</v>
      </c>
      <c r="J202" s="82">
        <v>0</v>
      </c>
      <c r="K202" s="82">
        <v>0</v>
      </c>
      <c r="L202" s="82"/>
      <c r="M202" s="82">
        <v>0</v>
      </c>
      <c r="N202" s="82">
        <v>4703.1017400000001</v>
      </c>
      <c r="O202" s="78">
        <v>4703.1017400000001</v>
      </c>
      <c r="P202" s="78">
        <v>0</v>
      </c>
      <c r="Q202" s="73">
        <v>22441.35727</v>
      </c>
      <c r="R202" s="78">
        <v>6194.4290099999998</v>
      </c>
      <c r="S202" s="78">
        <v>16246.928260000002</v>
      </c>
      <c r="T202" s="47"/>
      <c r="U202" s="57">
        <v>0</v>
      </c>
      <c r="V202" s="57">
        <v>1988.1583700000001</v>
      </c>
      <c r="W202" s="57"/>
      <c r="X202" s="57"/>
      <c r="Y202" s="57">
        <v>0</v>
      </c>
      <c r="Z202" s="57">
        <v>2663.2198100000001</v>
      </c>
      <c r="AA202" s="57">
        <v>4651.3781799999997</v>
      </c>
      <c r="AB202" s="45"/>
      <c r="AC202" s="57">
        <v>0</v>
      </c>
      <c r="AD202" s="78">
        <v>0</v>
      </c>
      <c r="AE202" s="78">
        <v>0</v>
      </c>
      <c r="AF202" s="82">
        <v>3538.2592599999998</v>
      </c>
      <c r="AG202" s="78">
        <v>0</v>
      </c>
      <c r="AH202" s="78">
        <v>3538.2592599999998</v>
      </c>
      <c r="AI202" s="82">
        <v>36.994999999999997</v>
      </c>
      <c r="AJ202" s="82">
        <v>2704.2738100000001</v>
      </c>
      <c r="AK202" s="78">
        <v>0</v>
      </c>
      <c r="AL202" s="78">
        <v>2704.2738100000001</v>
      </c>
      <c r="AM202" s="82">
        <v>0</v>
      </c>
      <c r="AN202" s="78">
        <v>0</v>
      </c>
      <c r="AO202" s="79">
        <v>0</v>
      </c>
      <c r="AP202" s="82">
        <v>397.84109999999998</v>
      </c>
      <c r="AQ202" s="78">
        <v>0</v>
      </c>
      <c r="AR202" s="52">
        <v>397.84109999999998</v>
      </c>
      <c r="AS202" s="48"/>
      <c r="AT202" s="78"/>
      <c r="AU202" s="52">
        <v>0</v>
      </c>
      <c r="AV202" s="48">
        <v>1025.4694200000001</v>
      </c>
      <c r="AW202" s="52">
        <v>1025.4694200000001</v>
      </c>
      <c r="AX202" s="52">
        <v>0</v>
      </c>
      <c r="AY202" s="87">
        <v>7702.8385899999994</v>
      </c>
      <c r="AZ202" s="52">
        <v>1062.46442</v>
      </c>
      <c r="BA202" s="52">
        <v>6640.3741699999991</v>
      </c>
      <c r="BB202" s="48"/>
      <c r="BC202" s="57">
        <v>0</v>
      </c>
      <c r="BD202" s="57">
        <v>0</v>
      </c>
      <c r="BE202" s="57">
        <v>1798.8741699999998</v>
      </c>
      <c r="BF202" s="57">
        <v>0</v>
      </c>
      <c r="BG202" s="57">
        <v>1798.8741699999998</v>
      </c>
      <c r="BH202" s="46"/>
      <c r="BI202" s="57">
        <v>0</v>
      </c>
      <c r="BJ202" s="57">
        <v>0</v>
      </c>
      <c r="BK202" s="57">
        <v>0</v>
      </c>
      <c r="BL202" s="57">
        <v>0</v>
      </c>
      <c r="BM202" s="57">
        <v>0</v>
      </c>
      <c r="BN202" s="57">
        <v>0</v>
      </c>
      <c r="BO202" s="57">
        <v>0</v>
      </c>
      <c r="BP202" s="46"/>
      <c r="BQ202" s="87">
        <v>36594.448210000002</v>
      </c>
      <c r="BR202" s="52">
        <v>13707.145779999999</v>
      </c>
      <c r="BS202" s="52">
        <v>22887.302430000003</v>
      </c>
    </row>
    <row r="203" spans="1:71" ht="12" customHeight="1" x14ac:dyDescent="0.2">
      <c r="A203" s="55">
        <v>2019</v>
      </c>
      <c r="B203" s="55" t="s">
        <v>4</v>
      </c>
      <c r="C203" s="82">
        <v>1025.42229</v>
      </c>
      <c r="D203" s="82">
        <v>10769.54969</v>
      </c>
      <c r="E203" s="78">
        <v>0</v>
      </c>
      <c r="F203" s="78">
        <v>10769.54969</v>
      </c>
      <c r="G203" s="82">
        <v>0</v>
      </c>
      <c r="H203" s="82"/>
      <c r="I203" s="82">
        <v>0</v>
      </c>
      <c r="J203" s="82">
        <v>0</v>
      </c>
      <c r="K203" s="82">
        <v>0</v>
      </c>
      <c r="L203" s="82"/>
      <c r="M203" s="82">
        <v>0</v>
      </c>
      <c r="N203" s="82">
        <v>4665.7533500000009</v>
      </c>
      <c r="O203" s="78">
        <v>4665.7533500000009</v>
      </c>
      <c r="P203" s="78">
        <v>0</v>
      </c>
      <c r="Q203" s="73">
        <v>16460.725330000001</v>
      </c>
      <c r="R203" s="78">
        <v>5691.1756400000013</v>
      </c>
      <c r="S203" s="78">
        <v>10769.54969</v>
      </c>
      <c r="T203" s="47"/>
      <c r="U203" s="57">
        <v>0</v>
      </c>
      <c r="V203" s="57">
        <v>212.94216</v>
      </c>
      <c r="W203" s="57"/>
      <c r="X203" s="57"/>
      <c r="Y203" s="57">
        <v>0</v>
      </c>
      <c r="Z203" s="57">
        <v>2679.5619200000001</v>
      </c>
      <c r="AA203" s="57">
        <v>2892.5040800000002</v>
      </c>
      <c r="AB203" s="45"/>
      <c r="AC203" s="57">
        <v>0</v>
      </c>
      <c r="AD203" s="78">
        <v>0</v>
      </c>
      <c r="AE203" s="78">
        <v>0</v>
      </c>
      <c r="AF203" s="82">
        <v>3572.5549900000001</v>
      </c>
      <c r="AG203" s="78">
        <v>0</v>
      </c>
      <c r="AH203" s="78">
        <v>3572.5549900000001</v>
      </c>
      <c r="AI203" s="82">
        <v>24.459</v>
      </c>
      <c r="AJ203" s="82">
        <v>2954.0578300000002</v>
      </c>
      <c r="AK203" s="78">
        <v>923.28337999999997</v>
      </c>
      <c r="AL203" s="78">
        <v>2030.7744500000001</v>
      </c>
      <c r="AM203" s="82">
        <v>0</v>
      </c>
      <c r="AN203" s="78">
        <v>0</v>
      </c>
      <c r="AO203" s="79">
        <v>0</v>
      </c>
      <c r="AP203" s="82">
        <v>490.29861000000005</v>
      </c>
      <c r="AQ203" s="78">
        <v>0</v>
      </c>
      <c r="AR203" s="52">
        <v>490.29861000000005</v>
      </c>
      <c r="AS203" s="48"/>
      <c r="AT203" s="78"/>
      <c r="AU203" s="52">
        <v>0</v>
      </c>
      <c r="AV203" s="48">
        <v>1097.0319999999999</v>
      </c>
      <c r="AW203" s="52">
        <v>1097.0319999999999</v>
      </c>
      <c r="AX203" s="52">
        <v>0</v>
      </c>
      <c r="AY203" s="87">
        <v>8138.4024300000001</v>
      </c>
      <c r="AZ203" s="52">
        <v>2044.7743800000001</v>
      </c>
      <c r="BA203" s="52">
        <v>6093.6280500000003</v>
      </c>
      <c r="BB203" s="48"/>
      <c r="BC203" s="57">
        <v>0</v>
      </c>
      <c r="BD203" s="57">
        <v>0</v>
      </c>
      <c r="BE203" s="57">
        <v>1786.3921800000003</v>
      </c>
      <c r="BF203" s="57">
        <v>0</v>
      </c>
      <c r="BG203" s="57">
        <v>1786.3921800000003</v>
      </c>
      <c r="BH203" s="46"/>
      <c r="BI203" s="57">
        <v>0</v>
      </c>
      <c r="BJ203" s="57">
        <v>0</v>
      </c>
      <c r="BK203" s="57">
        <v>0</v>
      </c>
      <c r="BL203" s="57">
        <v>0</v>
      </c>
      <c r="BM203" s="57">
        <v>0</v>
      </c>
      <c r="BN203" s="57">
        <v>0</v>
      </c>
      <c r="BO203" s="57">
        <v>0</v>
      </c>
      <c r="BP203" s="46"/>
      <c r="BQ203" s="87">
        <v>29278.024020000001</v>
      </c>
      <c r="BR203" s="52">
        <v>12414.846280000003</v>
      </c>
      <c r="BS203" s="52">
        <v>16863.177739999999</v>
      </c>
    </row>
    <row r="204" spans="1:71" ht="12" customHeight="1" x14ac:dyDescent="0.2">
      <c r="A204" s="55">
        <v>2019</v>
      </c>
      <c r="B204" s="55" t="s">
        <v>5</v>
      </c>
      <c r="C204" s="82">
        <v>0</v>
      </c>
      <c r="D204" s="82">
        <v>6952.7243100000005</v>
      </c>
      <c r="E204" s="78">
        <v>0</v>
      </c>
      <c r="F204" s="78">
        <v>6952.7243100000005</v>
      </c>
      <c r="G204" s="82">
        <v>966.06295999999998</v>
      </c>
      <c r="H204" s="82"/>
      <c r="I204" s="82">
        <v>0</v>
      </c>
      <c r="J204" s="82">
        <v>0</v>
      </c>
      <c r="K204" s="82">
        <v>0</v>
      </c>
      <c r="L204" s="82"/>
      <c r="M204" s="82">
        <v>0</v>
      </c>
      <c r="N204" s="82">
        <v>3951.6480300000003</v>
      </c>
      <c r="O204" s="78">
        <v>3951.6480300000003</v>
      </c>
      <c r="P204" s="78">
        <v>0</v>
      </c>
      <c r="Q204" s="73">
        <v>11870.435300000001</v>
      </c>
      <c r="R204" s="78">
        <v>4917.7109900000005</v>
      </c>
      <c r="S204" s="78">
        <v>6952.7243100000005</v>
      </c>
      <c r="T204" s="47"/>
      <c r="U204" s="57">
        <v>0</v>
      </c>
      <c r="V204" s="57">
        <v>4894.929689999999</v>
      </c>
      <c r="W204" s="57"/>
      <c r="X204" s="57"/>
      <c r="Y204" s="57">
        <v>0</v>
      </c>
      <c r="Z204" s="57">
        <v>3793.29745</v>
      </c>
      <c r="AA204" s="57">
        <v>8688.2271399999991</v>
      </c>
      <c r="AB204" s="45"/>
      <c r="AC204" s="57">
        <v>0</v>
      </c>
      <c r="AD204" s="78">
        <v>0</v>
      </c>
      <c r="AE204" s="78">
        <v>0</v>
      </c>
      <c r="AF204" s="82">
        <v>3987.7409900000002</v>
      </c>
      <c r="AG204" s="78">
        <v>0</v>
      </c>
      <c r="AH204" s="78">
        <v>3987.7409900000002</v>
      </c>
      <c r="AI204" s="82">
        <v>25.28</v>
      </c>
      <c r="AJ204" s="82">
        <v>2169.6965</v>
      </c>
      <c r="AK204" s="78">
        <v>0</v>
      </c>
      <c r="AL204" s="78">
        <v>2169.6965</v>
      </c>
      <c r="AM204" s="82">
        <v>0</v>
      </c>
      <c r="AN204" s="78">
        <v>0</v>
      </c>
      <c r="AO204" s="79">
        <v>0</v>
      </c>
      <c r="AP204" s="82">
        <v>373.33878000000004</v>
      </c>
      <c r="AQ204" s="78">
        <v>0</v>
      </c>
      <c r="AR204" s="52">
        <v>373.33878000000004</v>
      </c>
      <c r="AS204" s="48"/>
      <c r="AT204" s="78"/>
      <c r="AU204" s="52">
        <v>0</v>
      </c>
      <c r="AV204" s="48">
        <v>0</v>
      </c>
      <c r="AW204" s="52">
        <v>0</v>
      </c>
      <c r="AX204" s="52">
        <v>0</v>
      </c>
      <c r="AY204" s="87">
        <v>6556.05627</v>
      </c>
      <c r="AZ204" s="52">
        <v>25.28</v>
      </c>
      <c r="BA204" s="52">
        <v>6530.7762700000003</v>
      </c>
      <c r="BB204" s="48"/>
      <c r="BC204" s="57">
        <v>0</v>
      </c>
      <c r="BD204" s="57">
        <v>0</v>
      </c>
      <c r="BE204" s="57">
        <v>2692.7581099999998</v>
      </c>
      <c r="BF204" s="57">
        <v>0</v>
      </c>
      <c r="BG204" s="57">
        <v>2692.7581099999998</v>
      </c>
      <c r="BH204" s="46"/>
      <c r="BI204" s="57">
        <v>0</v>
      </c>
      <c r="BJ204" s="57">
        <v>0</v>
      </c>
      <c r="BK204" s="57">
        <v>0</v>
      </c>
      <c r="BL204" s="57">
        <v>0</v>
      </c>
      <c r="BM204" s="57">
        <v>0</v>
      </c>
      <c r="BN204" s="57">
        <v>0</v>
      </c>
      <c r="BO204" s="57">
        <v>0</v>
      </c>
      <c r="BP204" s="46"/>
      <c r="BQ204" s="87">
        <v>29807.47682</v>
      </c>
      <c r="BR204" s="52">
        <v>16323.97624</v>
      </c>
      <c r="BS204" s="52">
        <v>13483.50058</v>
      </c>
    </row>
    <row r="205" spans="1:71" ht="12" customHeight="1" x14ac:dyDescent="0.2">
      <c r="A205" s="55">
        <v>2019</v>
      </c>
      <c r="B205" s="55" t="s">
        <v>6</v>
      </c>
      <c r="C205" s="82">
        <v>0</v>
      </c>
      <c r="D205" s="82">
        <v>12020.84116</v>
      </c>
      <c r="E205" s="78">
        <v>3227.8061400000001</v>
      </c>
      <c r="F205" s="78">
        <v>8793.0350199999993</v>
      </c>
      <c r="G205" s="82">
        <v>0</v>
      </c>
      <c r="H205" s="82"/>
      <c r="I205" s="82">
        <v>0</v>
      </c>
      <c r="J205" s="82">
        <v>0</v>
      </c>
      <c r="K205" s="82">
        <v>0</v>
      </c>
      <c r="L205" s="82"/>
      <c r="M205" s="82">
        <v>0</v>
      </c>
      <c r="N205" s="82">
        <v>4757.2656200000001</v>
      </c>
      <c r="O205" s="78">
        <v>4757.2656200000001</v>
      </c>
      <c r="P205" s="78">
        <v>0</v>
      </c>
      <c r="Q205" s="73">
        <v>16778.106780000002</v>
      </c>
      <c r="R205" s="78">
        <v>7985.0717600000007</v>
      </c>
      <c r="S205" s="78">
        <v>8793.0350199999993</v>
      </c>
      <c r="T205" s="47"/>
      <c r="U205" s="57">
        <v>0</v>
      </c>
      <c r="V205" s="57">
        <v>995.63467000000003</v>
      </c>
      <c r="W205" s="57"/>
      <c r="X205" s="57"/>
      <c r="Y205" s="57">
        <v>0</v>
      </c>
      <c r="Z205" s="57">
        <v>2678.2885200000001</v>
      </c>
      <c r="AA205" s="57">
        <v>3673.92319</v>
      </c>
      <c r="AB205" s="45"/>
      <c r="AC205" s="57">
        <v>0</v>
      </c>
      <c r="AD205" s="78">
        <v>0</v>
      </c>
      <c r="AE205" s="78">
        <v>0</v>
      </c>
      <c r="AF205" s="82">
        <v>2353.4067300000024</v>
      </c>
      <c r="AG205" s="78">
        <v>0</v>
      </c>
      <c r="AH205" s="78">
        <v>2353.4067300000024</v>
      </c>
      <c r="AI205" s="82">
        <v>30.765999999999998</v>
      </c>
      <c r="AJ205" s="82">
        <v>2931.3742400000001</v>
      </c>
      <c r="AK205" s="78">
        <v>926.53592000000003</v>
      </c>
      <c r="AL205" s="78">
        <v>2004.8383200000001</v>
      </c>
      <c r="AM205" s="82">
        <v>0</v>
      </c>
      <c r="AN205" s="78">
        <v>0</v>
      </c>
      <c r="AO205" s="79">
        <v>0</v>
      </c>
      <c r="AP205" s="82">
        <v>214.18929</v>
      </c>
      <c r="AQ205" s="78">
        <v>0</v>
      </c>
      <c r="AR205" s="52">
        <v>214.18929</v>
      </c>
      <c r="AS205" s="48"/>
      <c r="AT205" s="78"/>
      <c r="AU205" s="52">
        <v>0</v>
      </c>
      <c r="AV205" s="48">
        <v>1093.0632000000001</v>
      </c>
      <c r="AW205" s="52">
        <v>1093.0632000000001</v>
      </c>
      <c r="AX205" s="52">
        <v>0</v>
      </c>
      <c r="AY205" s="87">
        <v>6622.799460000002</v>
      </c>
      <c r="AZ205" s="52">
        <v>2050.3651199999999</v>
      </c>
      <c r="BA205" s="52">
        <v>4572.4343400000025</v>
      </c>
      <c r="BB205" s="48"/>
      <c r="BC205" s="57">
        <v>0</v>
      </c>
      <c r="BD205" s="57">
        <v>0</v>
      </c>
      <c r="BE205" s="57">
        <v>2733.07744</v>
      </c>
      <c r="BF205" s="57">
        <v>0</v>
      </c>
      <c r="BG205" s="57">
        <v>2733.07744</v>
      </c>
      <c r="BH205" s="46"/>
      <c r="BI205" s="57">
        <v>0</v>
      </c>
      <c r="BJ205" s="57">
        <v>0</v>
      </c>
      <c r="BK205" s="57">
        <v>0</v>
      </c>
      <c r="BL205" s="57">
        <v>0</v>
      </c>
      <c r="BM205" s="57">
        <v>0</v>
      </c>
      <c r="BN205" s="57">
        <v>0</v>
      </c>
      <c r="BO205" s="57">
        <v>0</v>
      </c>
      <c r="BP205" s="46"/>
      <c r="BQ205" s="87">
        <v>29807.906870000006</v>
      </c>
      <c r="BR205" s="52">
        <v>16442.43751</v>
      </c>
      <c r="BS205" s="52">
        <v>13365.469360000003</v>
      </c>
    </row>
    <row r="206" spans="1:71" ht="12" customHeight="1" x14ac:dyDescent="0.2">
      <c r="A206" s="55">
        <v>2019</v>
      </c>
      <c r="B206" s="55" t="s">
        <v>7</v>
      </c>
      <c r="C206" s="82">
        <v>1007.78889</v>
      </c>
      <c r="D206" s="82">
        <v>12082.320150000003</v>
      </c>
      <c r="E206" s="78">
        <v>2741.8542800000005</v>
      </c>
      <c r="F206" s="78">
        <v>9340.4658700000018</v>
      </c>
      <c r="G206" s="82">
        <v>0</v>
      </c>
      <c r="H206" s="82"/>
      <c r="I206" s="82">
        <v>0</v>
      </c>
      <c r="J206" s="82">
        <v>0</v>
      </c>
      <c r="K206" s="82">
        <v>0</v>
      </c>
      <c r="L206" s="82"/>
      <c r="M206" s="82">
        <v>0</v>
      </c>
      <c r="N206" s="82">
        <v>3921.4013</v>
      </c>
      <c r="O206" s="78">
        <v>3921.4013</v>
      </c>
      <c r="P206" s="78">
        <v>0</v>
      </c>
      <c r="Q206" s="73">
        <v>17011.510340000001</v>
      </c>
      <c r="R206" s="78">
        <v>7671.0444700000007</v>
      </c>
      <c r="S206" s="78">
        <v>9340.4658700000018</v>
      </c>
      <c r="T206" s="47"/>
      <c r="U206" s="57">
        <v>0</v>
      </c>
      <c r="V206" s="57">
        <v>3944.61978</v>
      </c>
      <c r="W206" s="57"/>
      <c r="X206" s="57"/>
      <c r="Y206" s="57">
        <v>0</v>
      </c>
      <c r="Z206" s="57">
        <v>2711.8567200000002</v>
      </c>
      <c r="AA206" s="57">
        <v>6656.4765000000007</v>
      </c>
      <c r="AB206" s="45"/>
      <c r="AC206" s="57">
        <v>0</v>
      </c>
      <c r="AD206" s="78">
        <v>0</v>
      </c>
      <c r="AE206" s="78">
        <v>0</v>
      </c>
      <c r="AF206" s="82">
        <v>1201.9541399999998</v>
      </c>
      <c r="AG206" s="78">
        <v>0</v>
      </c>
      <c r="AH206" s="78">
        <v>1201.9541399999998</v>
      </c>
      <c r="AI206" s="82">
        <v>38.805</v>
      </c>
      <c r="AJ206" s="82">
        <v>2770.7114200000001</v>
      </c>
      <c r="AK206" s="78">
        <v>0</v>
      </c>
      <c r="AL206" s="78">
        <v>2770.7114200000001</v>
      </c>
      <c r="AM206" s="82">
        <v>0</v>
      </c>
      <c r="AN206" s="78">
        <v>0</v>
      </c>
      <c r="AO206" s="79">
        <v>0</v>
      </c>
      <c r="AP206" s="82">
        <v>49.973959999999998</v>
      </c>
      <c r="AQ206" s="78">
        <v>0</v>
      </c>
      <c r="AR206" s="52">
        <v>49.973959999999998</v>
      </c>
      <c r="AS206" s="48"/>
      <c r="AT206" s="78"/>
      <c r="AU206" s="52">
        <v>0</v>
      </c>
      <c r="AV206" s="48">
        <v>2300.4841100000003</v>
      </c>
      <c r="AW206" s="52">
        <v>2300.4841100000003</v>
      </c>
      <c r="AX206" s="52">
        <v>0</v>
      </c>
      <c r="AY206" s="87">
        <v>6361.9286300000003</v>
      </c>
      <c r="AZ206" s="52">
        <v>2339.2891100000002</v>
      </c>
      <c r="BA206" s="52">
        <v>4022.6395199999997</v>
      </c>
      <c r="BB206" s="48"/>
      <c r="BC206" s="57">
        <v>0</v>
      </c>
      <c r="BD206" s="57">
        <v>0</v>
      </c>
      <c r="BE206" s="57">
        <v>4500.2843199999998</v>
      </c>
      <c r="BF206" s="57">
        <v>0</v>
      </c>
      <c r="BG206" s="57">
        <v>4500.2843199999998</v>
      </c>
      <c r="BH206" s="46"/>
      <c r="BI206" s="57">
        <v>0</v>
      </c>
      <c r="BJ206" s="57">
        <v>0</v>
      </c>
      <c r="BK206" s="57">
        <v>0</v>
      </c>
      <c r="BL206" s="57">
        <v>0</v>
      </c>
      <c r="BM206" s="57">
        <v>0</v>
      </c>
      <c r="BN206" s="57">
        <v>0</v>
      </c>
      <c r="BO206" s="57">
        <v>0</v>
      </c>
      <c r="BP206" s="46"/>
      <c r="BQ206" s="87">
        <v>34530.199789999999</v>
      </c>
      <c r="BR206" s="52">
        <v>21167.094400000002</v>
      </c>
      <c r="BS206" s="52">
        <v>13363.105390000001</v>
      </c>
    </row>
    <row r="207" spans="1:71" ht="12" customHeight="1" x14ac:dyDescent="0.2">
      <c r="A207" s="55">
        <v>2019</v>
      </c>
      <c r="B207" s="55" t="s">
        <v>8</v>
      </c>
      <c r="C207" s="82">
        <v>0</v>
      </c>
      <c r="D207" s="82">
        <v>8042.1704700000009</v>
      </c>
      <c r="E207" s="78">
        <v>0</v>
      </c>
      <c r="F207" s="78">
        <v>8042.1704700000009</v>
      </c>
      <c r="G207" s="82">
        <v>0</v>
      </c>
      <c r="H207" s="82"/>
      <c r="I207" s="82">
        <v>0</v>
      </c>
      <c r="J207" s="82">
        <v>0</v>
      </c>
      <c r="K207" s="82">
        <v>0</v>
      </c>
      <c r="L207" s="82"/>
      <c r="M207" s="82">
        <v>0</v>
      </c>
      <c r="N207" s="82">
        <v>2949.2957600000004</v>
      </c>
      <c r="O207" s="78">
        <v>2949.2957600000004</v>
      </c>
      <c r="P207" s="78">
        <v>0</v>
      </c>
      <c r="Q207" s="73">
        <v>10991.466230000002</v>
      </c>
      <c r="R207" s="78">
        <v>2949.2957600000004</v>
      </c>
      <c r="S207" s="78">
        <v>8042.1704700000009</v>
      </c>
      <c r="T207" s="47"/>
      <c r="U207" s="57">
        <v>0</v>
      </c>
      <c r="V207" s="57">
        <v>5250.4451600000002</v>
      </c>
      <c r="W207" s="57"/>
      <c r="X207" s="57"/>
      <c r="Y207" s="57">
        <v>984</v>
      </c>
      <c r="Z207" s="57">
        <v>2621.7798899999998</v>
      </c>
      <c r="AA207" s="57">
        <v>8856.2250500000009</v>
      </c>
      <c r="AB207" s="45"/>
      <c r="AC207" s="57">
        <v>0</v>
      </c>
      <c r="AD207" s="78">
        <v>0</v>
      </c>
      <c r="AE207" s="78">
        <v>0</v>
      </c>
      <c r="AF207" s="82">
        <v>2179.2813900000019</v>
      </c>
      <c r="AG207" s="78">
        <v>0</v>
      </c>
      <c r="AH207" s="78">
        <v>2179.2813900000019</v>
      </c>
      <c r="AI207" s="82">
        <v>29.175999999999998</v>
      </c>
      <c r="AJ207" s="82">
        <v>2865.2656900000002</v>
      </c>
      <c r="AK207" s="78">
        <v>1874.1796600000002</v>
      </c>
      <c r="AL207" s="78">
        <v>991.08602999999994</v>
      </c>
      <c r="AM207" s="82">
        <v>0</v>
      </c>
      <c r="AN207" s="78">
        <v>0</v>
      </c>
      <c r="AO207" s="79">
        <v>0</v>
      </c>
      <c r="AP207" s="82">
        <v>135.97193999999999</v>
      </c>
      <c r="AQ207" s="78">
        <v>0</v>
      </c>
      <c r="AR207" s="52">
        <v>135.97193999999999</v>
      </c>
      <c r="AS207" s="48"/>
      <c r="AT207" s="78"/>
      <c r="AU207" s="52">
        <v>0</v>
      </c>
      <c r="AV207" s="48">
        <v>2148.7182499999999</v>
      </c>
      <c r="AW207" s="52">
        <v>2148.7182499999999</v>
      </c>
      <c r="AX207" s="52">
        <v>0</v>
      </c>
      <c r="AY207" s="87">
        <v>7358.4132700000018</v>
      </c>
      <c r="AZ207" s="52">
        <v>4052.0739100000001</v>
      </c>
      <c r="BA207" s="52">
        <v>3306.3393600000018</v>
      </c>
      <c r="BB207" s="48"/>
      <c r="BC207" s="57">
        <v>0</v>
      </c>
      <c r="BD207" s="57">
        <v>0</v>
      </c>
      <c r="BE207" s="57">
        <v>4892.5967799999999</v>
      </c>
      <c r="BF207" s="57">
        <v>0</v>
      </c>
      <c r="BG207" s="57">
        <v>4892.5967799999999</v>
      </c>
      <c r="BH207" s="46"/>
      <c r="BI207" s="57">
        <v>0</v>
      </c>
      <c r="BJ207" s="57">
        <v>0</v>
      </c>
      <c r="BK207" s="57">
        <v>0</v>
      </c>
      <c r="BL207" s="57">
        <v>0</v>
      </c>
      <c r="BM207" s="57">
        <v>0</v>
      </c>
      <c r="BN207" s="57">
        <v>0</v>
      </c>
      <c r="BO207" s="57">
        <v>0</v>
      </c>
      <c r="BP207" s="46"/>
      <c r="BQ207" s="87">
        <v>32098.701330000004</v>
      </c>
      <c r="BR207" s="52">
        <v>20750.191500000001</v>
      </c>
      <c r="BS207" s="52">
        <v>11348.509830000003</v>
      </c>
    </row>
    <row r="208" spans="1:71" ht="12" customHeight="1" x14ac:dyDescent="0.2">
      <c r="A208" s="55">
        <v>2019</v>
      </c>
      <c r="B208" s="55" t="s">
        <v>9</v>
      </c>
      <c r="C208" s="82">
        <v>0</v>
      </c>
      <c r="D208" s="82">
        <v>8450.1837599999999</v>
      </c>
      <c r="E208" s="78">
        <v>0</v>
      </c>
      <c r="F208" s="78">
        <v>8450.1837599999999</v>
      </c>
      <c r="G208" s="82">
        <v>0</v>
      </c>
      <c r="H208" s="82"/>
      <c r="I208" s="82">
        <v>0</v>
      </c>
      <c r="J208" s="82">
        <v>0</v>
      </c>
      <c r="K208" s="82">
        <v>0</v>
      </c>
      <c r="L208" s="82"/>
      <c r="M208" s="82">
        <v>0</v>
      </c>
      <c r="N208" s="82">
        <v>4202.3330700000006</v>
      </c>
      <c r="O208" s="78">
        <v>4202.3330700000006</v>
      </c>
      <c r="P208" s="78">
        <v>0</v>
      </c>
      <c r="Q208" s="73">
        <v>12652.51683</v>
      </c>
      <c r="R208" s="78">
        <v>4202.3330700000006</v>
      </c>
      <c r="S208" s="78">
        <v>8450.1837599999999</v>
      </c>
      <c r="T208" s="47"/>
      <c r="U208" s="57">
        <v>0</v>
      </c>
      <c r="V208" s="57">
        <v>2064.2992200000003</v>
      </c>
      <c r="W208" s="57"/>
      <c r="X208" s="57"/>
      <c r="Y208" s="57">
        <v>0</v>
      </c>
      <c r="Z208" s="57">
        <v>4346.2849999999999</v>
      </c>
      <c r="AA208" s="57">
        <v>6410.5842200000006</v>
      </c>
      <c r="AB208" s="45"/>
      <c r="AC208" s="57">
        <v>0</v>
      </c>
      <c r="AD208" s="78">
        <v>0</v>
      </c>
      <c r="AE208" s="78">
        <v>0</v>
      </c>
      <c r="AF208" s="82">
        <v>2753.8223799999996</v>
      </c>
      <c r="AG208" s="78">
        <v>0</v>
      </c>
      <c r="AH208" s="78">
        <v>2753.8223799999996</v>
      </c>
      <c r="AI208" s="82">
        <v>31.347000000000001</v>
      </c>
      <c r="AJ208" s="82">
        <v>1988.7467399999998</v>
      </c>
      <c r="AK208" s="78">
        <v>925.83906999999999</v>
      </c>
      <c r="AL208" s="78">
        <v>1062.9076699999998</v>
      </c>
      <c r="AM208" s="82">
        <v>0</v>
      </c>
      <c r="AN208" s="78">
        <v>0</v>
      </c>
      <c r="AO208" s="79">
        <v>0</v>
      </c>
      <c r="AP208" s="82">
        <v>0</v>
      </c>
      <c r="AQ208" s="78">
        <v>0</v>
      </c>
      <c r="AR208" s="52">
        <v>0</v>
      </c>
      <c r="AS208" s="48"/>
      <c r="AT208" s="78"/>
      <c r="AU208" s="52">
        <v>0</v>
      </c>
      <c r="AV208" s="48">
        <v>6377.6372200000005</v>
      </c>
      <c r="AW208" s="52">
        <v>6377.6372200000005</v>
      </c>
      <c r="AX208" s="52">
        <v>0</v>
      </c>
      <c r="AY208" s="87">
        <v>11151.553339999999</v>
      </c>
      <c r="AZ208" s="52">
        <v>7334.8232900000003</v>
      </c>
      <c r="BA208" s="52">
        <v>3816.7300499999992</v>
      </c>
      <c r="BB208" s="48"/>
      <c r="BC208" s="57">
        <v>0</v>
      </c>
      <c r="BD208" s="57">
        <v>0</v>
      </c>
      <c r="BE208" s="57">
        <v>9643.6965600000003</v>
      </c>
      <c r="BF208" s="57">
        <v>0</v>
      </c>
      <c r="BG208" s="57">
        <v>9643.6965600000003</v>
      </c>
      <c r="BH208" s="46"/>
      <c r="BI208" s="57">
        <v>0</v>
      </c>
      <c r="BJ208" s="57">
        <v>0</v>
      </c>
      <c r="BK208" s="57">
        <v>0</v>
      </c>
      <c r="BL208" s="57">
        <v>0</v>
      </c>
      <c r="BM208" s="57">
        <v>0</v>
      </c>
      <c r="BN208" s="57">
        <v>0</v>
      </c>
      <c r="BO208" s="57">
        <v>0</v>
      </c>
      <c r="BP208" s="46"/>
      <c r="BQ208" s="87">
        <v>39858.35095</v>
      </c>
      <c r="BR208" s="52">
        <v>27591.437140000002</v>
      </c>
      <c r="BS208" s="52">
        <v>12266.913809999998</v>
      </c>
    </row>
    <row r="209" spans="1:71" ht="12" customHeight="1" x14ac:dyDescent="0.2">
      <c r="A209" s="55">
        <v>2019</v>
      </c>
      <c r="B209" s="55" t="s">
        <v>10</v>
      </c>
      <c r="C209" s="82">
        <v>1017.5939000000001</v>
      </c>
      <c r="D209" s="82">
        <v>8390.482030000001</v>
      </c>
      <c r="E209" s="78">
        <v>994.72478000000001</v>
      </c>
      <c r="F209" s="78">
        <v>7395.7572500000006</v>
      </c>
      <c r="G209" s="82">
        <v>0</v>
      </c>
      <c r="H209" s="82"/>
      <c r="I209" s="82">
        <v>0</v>
      </c>
      <c r="J209" s="82">
        <v>0</v>
      </c>
      <c r="K209" s="82">
        <v>0</v>
      </c>
      <c r="L209" s="82"/>
      <c r="M209" s="82">
        <v>0</v>
      </c>
      <c r="N209" s="82">
        <v>4911.5757100000001</v>
      </c>
      <c r="O209" s="78">
        <v>4911.5757100000001</v>
      </c>
      <c r="P209" s="78">
        <v>0</v>
      </c>
      <c r="Q209" s="73">
        <v>14319.65164</v>
      </c>
      <c r="R209" s="78">
        <v>6923.8943899999995</v>
      </c>
      <c r="S209" s="78">
        <v>7395.7572500000006</v>
      </c>
      <c r="T209" s="47"/>
      <c r="U209" s="57">
        <v>0</v>
      </c>
      <c r="V209" s="57">
        <v>979.17608999999993</v>
      </c>
      <c r="W209" s="57"/>
      <c r="X209" s="57"/>
      <c r="Y209" s="57">
        <v>0</v>
      </c>
      <c r="Z209" s="57">
        <v>2576.7480700000001</v>
      </c>
      <c r="AA209" s="57">
        <v>3555.92416</v>
      </c>
      <c r="AB209" s="45"/>
      <c r="AC209" s="57">
        <v>1038.3118400000001</v>
      </c>
      <c r="AD209" s="78">
        <v>1038.3118400000001</v>
      </c>
      <c r="AE209" s="78">
        <v>0</v>
      </c>
      <c r="AF209" s="82">
        <v>3452.9819700000025</v>
      </c>
      <c r="AG209" s="78">
        <v>0</v>
      </c>
      <c r="AH209" s="78">
        <v>3452.9819700000025</v>
      </c>
      <c r="AI209" s="82">
        <v>27.434999999999999</v>
      </c>
      <c r="AJ209" s="82">
        <v>1918.7500199999999</v>
      </c>
      <c r="AK209" s="78">
        <v>868.64906999999994</v>
      </c>
      <c r="AL209" s="78">
        <v>1050.10095</v>
      </c>
      <c r="AM209" s="82">
        <v>0</v>
      </c>
      <c r="AN209" s="78">
        <v>0</v>
      </c>
      <c r="AO209" s="79">
        <v>0</v>
      </c>
      <c r="AP209" s="82">
        <v>0</v>
      </c>
      <c r="AQ209" s="78">
        <v>0</v>
      </c>
      <c r="AR209" s="52">
        <v>0</v>
      </c>
      <c r="AS209" s="48"/>
      <c r="AT209" s="78"/>
      <c r="AU209" s="52">
        <v>0</v>
      </c>
      <c r="AV209" s="48">
        <v>6432.0653200000006</v>
      </c>
      <c r="AW209" s="52">
        <v>6432.0653200000006</v>
      </c>
      <c r="AX209" s="52">
        <v>0</v>
      </c>
      <c r="AY209" s="87">
        <v>12869.544150000003</v>
      </c>
      <c r="AZ209" s="52">
        <v>8366.4612300000008</v>
      </c>
      <c r="BA209" s="52">
        <v>4503.0829200000026</v>
      </c>
      <c r="BB209" s="48"/>
      <c r="BC209" s="57">
        <v>0</v>
      </c>
      <c r="BD209" s="57">
        <v>0</v>
      </c>
      <c r="BE209" s="57">
        <v>7278.5019900000007</v>
      </c>
      <c r="BF209" s="57">
        <v>0</v>
      </c>
      <c r="BG209" s="57">
        <v>7278.5019900000007</v>
      </c>
      <c r="BH209" s="46"/>
      <c r="BI209" s="57">
        <v>0</v>
      </c>
      <c r="BJ209" s="57">
        <v>0</v>
      </c>
      <c r="BK209" s="57">
        <v>0</v>
      </c>
      <c r="BL209" s="57">
        <v>0</v>
      </c>
      <c r="BM209" s="57">
        <v>0</v>
      </c>
      <c r="BN209" s="57">
        <v>0</v>
      </c>
      <c r="BO209" s="57">
        <v>0</v>
      </c>
      <c r="BP209" s="46"/>
      <c r="BQ209" s="87">
        <v>38023.621939999997</v>
      </c>
      <c r="BR209" s="52">
        <v>26124.781770000001</v>
      </c>
      <c r="BS209" s="52">
        <v>11898.840170000003</v>
      </c>
    </row>
    <row r="210" spans="1:71" ht="12" customHeight="1" x14ac:dyDescent="0.2">
      <c r="A210" s="55">
        <v>2019</v>
      </c>
      <c r="B210" s="55" t="s">
        <v>11</v>
      </c>
      <c r="C210" s="82">
        <v>0</v>
      </c>
      <c r="D210" s="82">
        <v>8786.3657199999998</v>
      </c>
      <c r="E210" s="78">
        <v>2010.92462</v>
      </c>
      <c r="F210" s="78">
        <v>6775.4411</v>
      </c>
      <c r="G210" s="82">
        <v>0</v>
      </c>
      <c r="H210" s="82"/>
      <c r="I210" s="82">
        <v>0</v>
      </c>
      <c r="J210" s="82">
        <v>0</v>
      </c>
      <c r="K210" s="82">
        <v>0</v>
      </c>
      <c r="L210" s="82"/>
      <c r="M210" s="82">
        <v>0</v>
      </c>
      <c r="N210" s="82">
        <v>3511.7937299999999</v>
      </c>
      <c r="O210" s="78">
        <v>3511.7937299999999</v>
      </c>
      <c r="P210" s="78">
        <v>0</v>
      </c>
      <c r="Q210" s="73">
        <v>12298.159449999999</v>
      </c>
      <c r="R210" s="78">
        <v>5522.7183500000001</v>
      </c>
      <c r="S210" s="78">
        <v>6775.4411</v>
      </c>
      <c r="T210" s="47"/>
      <c r="U210" s="57">
        <v>0</v>
      </c>
      <c r="V210" s="57">
        <v>6529.3124699999998</v>
      </c>
      <c r="W210" s="57"/>
      <c r="X210" s="57"/>
      <c r="Y210" s="57">
        <v>859.92505000000006</v>
      </c>
      <c r="Z210" s="57">
        <v>4052.8323999999998</v>
      </c>
      <c r="AA210" s="57">
        <v>11442.06992</v>
      </c>
      <c r="AB210" s="45"/>
      <c r="AC210" s="57">
        <v>1.4801500000000001</v>
      </c>
      <c r="AD210" s="78">
        <v>0</v>
      </c>
      <c r="AE210" s="78">
        <v>1.4801500000000001</v>
      </c>
      <c r="AF210" s="82">
        <v>2154.1871500000016</v>
      </c>
      <c r="AG210" s="78">
        <v>0</v>
      </c>
      <c r="AH210" s="78">
        <v>2154.1871500000016</v>
      </c>
      <c r="AI210" s="82">
        <v>29.274999999999999</v>
      </c>
      <c r="AJ210" s="82">
        <v>1997.5756100000001</v>
      </c>
      <c r="AK210" s="78">
        <v>0</v>
      </c>
      <c r="AL210" s="78">
        <v>1997.5756100000001</v>
      </c>
      <c r="AM210" s="82">
        <v>0</v>
      </c>
      <c r="AN210" s="78">
        <v>0</v>
      </c>
      <c r="AO210" s="79">
        <v>0</v>
      </c>
      <c r="AP210" s="82">
        <v>0</v>
      </c>
      <c r="AQ210" s="78">
        <v>0</v>
      </c>
      <c r="AR210" s="52">
        <v>0</v>
      </c>
      <c r="AS210" s="48"/>
      <c r="AT210" s="78"/>
      <c r="AU210" s="52">
        <v>0</v>
      </c>
      <c r="AV210" s="48">
        <v>7479.8333700000012</v>
      </c>
      <c r="AW210" s="52">
        <v>7479.8333700000012</v>
      </c>
      <c r="AX210" s="52">
        <v>0</v>
      </c>
      <c r="AY210" s="87">
        <v>11662.351280000003</v>
      </c>
      <c r="AZ210" s="52">
        <v>7509.1083700000008</v>
      </c>
      <c r="BA210" s="52">
        <v>4153.2429100000018</v>
      </c>
      <c r="BB210" s="48"/>
      <c r="BC210" s="57">
        <v>0</v>
      </c>
      <c r="BD210" s="57">
        <v>0</v>
      </c>
      <c r="BE210" s="57">
        <v>5060.7275599999994</v>
      </c>
      <c r="BF210" s="57">
        <v>0</v>
      </c>
      <c r="BG210" s="57">
        <v>5060.7275599999994</v>
      </c>
      <c r="BH210" s="46"/>
      <c r="BI210" s="57">
        <v>0</v>
      </c>
      <c r="BJ210" s="57">
        <v>0</v>
      </c>
      <c r="BK210" s="57">
        <v>0</v>
      </c>
      <c r="BL210" s="57">
        <v>0</v>
      </c>
      <c r="BM210" s="57">
        <v>0</v>
      </c>
      <c r="BN210" s="57">
        <v>0</v>
      </c>
      <c r="BO210" s="57">
        <v>0</v>
      </c>
      <c r="BP210" s="46"/>
      <c r="BQ210" s="87">
        <v>40463.308210000003</v>
      </c>
      <c r="BR210" s="52">
        <v>29534.624200000002</v>
      </c>
      <c r="BS210" s="52">
        <v>10928.684010000001</v>
      </c>
    </row>
    <row r="211" spans="1:71" ht="12" customHeight="1" x14ac:dyDescent="0.2">
      <c r="A211" s="55">
        <v>2019</v>
      </c>
      <c r="B211" s="55" t="s">
        <v>12</v>
      </c>
      <c r="C211" s="82">
        <v>0</v>
      </c>
      <c r="D211" s="82">
        <v>14635.78721</v>
      </c>
      <c r="E211" s="78">
        <v>1611.70082</v>
      </c>
      <c r="F211" s="78">
        <v>13024.08639</v>
      </c>
      <c r="G211" s="82">
        <v>0</v>
      </c>
      <c r="H211" s="82"/>
      <c r="I211" s="82">
        <v>0</v>
      </c>
      <c r="J211" s="82">
        <v>0</v>
      </c>
      <c r="K211" s="82">
        <v>0</v>
      </c>
      <c r="L211" s="82"/>
      <c r="M211" s="82">
        <v>0</v>
      </c>
      <c r="N211" s="82">
        <v>2962.0547499999998</v>
      </c>
      <c r="O211" s="78">
        <v>2962.0547499999998</v>
      </c>
      <c r="P211" s="78">
        <v>0</v>
      </c>
      <c r="Q211" s="73">
        <v>17597.841959999998</v>
      </c>
      <c r="R211" s="78">
        <v>4573.7555699999994</v>
      </c>
      <c r="S211" s="78">
        <v>13024.08639</v>
      </c>
      <c r="T211" s="47"/>
      <c r="U211" s="57">
        <v>0</v>
      </c>
      <c r="V211" s="57">
        <v>5265.3349100000005</v>
      </c>
      <c r="W211" s="57"/>
      <c r="X211" s="57"/>
      <c r="Y211" s="57">
        <v>3177.9865199999999</v>
      </c>
      <c r="Z211" s="57">
        <v>0</v>
      </c>
      <c r="AA211" s="57">
        <v>8443.32143</v>
      </c>
      <c r="AB211" s="45"/>
      <c r="AC211" s="57">
        <v>9.1871399999999994</v>
      </c>
      <c r="AD211" s="78">
        <v>0</v>
      </c>
      <c r="AE211" s="78">
        <v>9.1871399999999994</v>
      </c>
      <c r="AF211" s="82">
        <v>3793.8110100000004</v>
      </c>
      <c r="AG211" s="78">
        <v>0</v>
      </c>
      <c r="AH211" s="78">
        <v>3793.8110100000004</v>
      </c>
      <c r="AI211" s="82">
        <v>30.117000000000001</v>
      </c>
      <c r="AJ211" s="82">
        <v>2237.5831499999999</v>
      </c>
      <c r="AK211" s="78">
        <v>929.27051000000006</v>
      </c>
      <c r="AL211" s="78">
        <v>1308.3126399999999</v>
      </c>
      <c r="AM211" s="82">
        <v>0</v>
      </c>
      <c r="AN211" s="78">
        <v>0</v>
      </c>
      <c r="AO211" s="79">
        <v>0</v>
      </c>
      <c r="AP211" s="82">
        <v>0</v>
      </c>
      <c r="AQ211" s="78">
        <v>0</v>
      </c>
      <c r="AR211" s="52">
        <v>0</v>
      </c>
      <c r="AS211" s="48"/>
      <c r="AT211" s="78"/>
      <c r="AU211" s="52">
        <v>0</v>
      </c>
      <c r="AV211" s="48">
        <v>3247.2380800000001</v>
      </c>
      <c r="AW211" s="52">
        <v>3247.2380800000001</v>
      </c>
      <c r="AX211" s="52">
        <v>0</v>
      </c>
      <c r="AY211" s="87">
        <v>9317.936380000001</v>
      </c>
      <c r="AZ211" s="52">
        <v>4206.6255900000006</v>
      </c>
      <c r="BA211" s="52">
        <v>5111.3107900000005</v>
      </c>
      <c r="BB211" s="48"/>
      <c r="BC211" s="57">
        <v>0</v>
      </c>
      <c r="BD211" s="57">
        <v>0</v>
      </c>
      <c r="BE211" s="57">
        <v>2155.4549300000003</v>
      </c>
      <c r="BF211" s="57">
        <v>0</v>
      </c>
      <c r="BG211" s="57">
        <v>2155.4549300000003</v>
      </c>
      <c r="BH211" s="46"/>
      <c r="BI211" s="57">
        <v>0</v>
      </c>
      <c r="BJ211" s="57">
        <v>0</v>
      </c>
      <c r="BK211" s="57">
        <v>0</v>
      </c>
      <c r="BL211" s="57">
        <v>0</v>
      </c>
      <c r="BM211" s="57">
        <v>0</v>
      </c>
      <c r="BN211" s="57">
        <v>0</v>
      </c>
      <c r="BO211" s="57">
        <v>0</v>
      </c>
      <c r="BP211" s="46"/>
      <c r="BQ211" s="87">
        <v>37514.554700000001</v>
      </c>
      <c r="BR211" s="52">
        <v>19379.157520000001</v>
      </c>
      <c r="BS211" s="52">
        <v>18135.39718</v>
      </c>
    </row>
    <row r="212" spans="1:71" ht="12" customHeight="1" x14ac:dyDescent="0.2">
      <c r="A212" s="55">
        <v>2019</v>
      </c>
      <c r="B212" s="55" t="s">
        <v>13</v>
      </c>
      <c r="C212" s="82">
        <v>0</v>
      </c>
      <c r="D212" s="82">
        <v>14721.873539999999</v>
      </c>
      <c r="E212" s="78">
        <v>0</v>
      </c>
      <c r="F212" s="78">
        <v>14721.873539999999</v>
      </c>
      <c r="G212" s="82">
        <v>0</v>
      </c>
      <c r="H212" s="82"/>
      <c r="I212" s="82">
        <v>0</v>
      </c>
      <c r="J212" s="82">
        <v>0</v>
      </c>
      <c r="K212" s="82">
        <v>0</v>
      </c>
      <c r="L212" s="82"/>
      <c r="M212" s="82">
        <v>0</v>
      </c>
      <c r="N212" s="82">
        <v>2823.5957600000002</v>
      </c>
      <c r="O212" s="78">
        <v>2823.5957600000002</v>
      </c>
      <c r="P212" s="78">
        <v>0</v>
      </c>
      <c r="Q212" s="73">
        <v>17545.469299999997</v>
      </c>
      <c r="R212" s="78">
        <v>2823.5957600000002</v>
      </c>
      <c r="S212" s="78">
        <v>14721.873539999999</v>
      </c>
      <c r="T212" s="47"/>
      <c r="U212" s="57">
        <v>0</v>
      </c>
      <c r="V212" s="57">
        <v>8805.6198599999989</v>
      </c>
      <c r="W212" s="57"/>
      <c r="X212" s="57"/>
      <c r="Y212" s="57">
        <v>965.87266</v>
      </c>
      <c r="Z212" s="57">
        <v>1581.4617000000001</v>
      </c>
      <c r="AA212" s="57">
        <v>11352.95422</v>
      </c>
      <c r="AB212" s="45"/>
      <c r="AC212" s="57">
        <v>0</v>
      </c>
      <c r="AD212" s="78">
        <v>0</v>
      </c>
      <c r="AE212" s="78">
        <v>0</v>
      </c>
      <c r="AF212" s="82">
        <v>256.42534000000001</v>
      </c>
      <c r="AG212" s="78">
        <v>0</v>
      </c>
      <c r="AH212" s="78">
        <v>256.42534000000001</v>
      </c>
      <c r="AI212" s="82">
        <v>37.802</v>
      </c>
      <c r="AJ212" s="82">
        <v>1194.9333799999999</v>
      </c>
      <c r="AK212" s="78">
        <v>0</v>
      </c>
      <c r="AL212" s="78">
        <v>1194.9333799999999</v>
      </c>
      <c r="AM212" s="82">
        <v>0</v>
      </c>
      <c r="AN212" s="78">
        <v>0</v>
      </c>
      <c r="AO212" s="79">
        <v>0</v>
      </c>
      <c r="AP212" s="82">
        <v>95.079039999999992</v>
      </c>
      <c r="AQ212" s="78">
        <v>0</v>
      </c>
      <c r="AR212" s="52">
        <v>95.079039999999992</v>
      </c>
      <c r="AS212" s="48"/>
      <c r="AT212" s="78"/>
      <c r="AU212" s="52">
        <v>0</v>
      </c>
      <c r="AV212" s="48">
        <v>1158.1175000000001</v>
      </c>
      <c r="AW212" s="52">
        <v>1158.1175000000001</v>
      </c>
      <c r="AX212" s="52">
        <v>0</v>
      </c>
      <c r="AY212" s="87">
        <v>2742.3572599999998</v>
      </c>
      <c r="AZ212" s="52">
        <v>1195.9195</v>
      </c>
      <c r="BA212" s="52">
        <v>1546.43776</v>
      </c>
      <c r="BB212" s="48"/>
      <c r="BC212" s="57">
        <v>0</v>
      </c>
      <c r="BD212" s="57">
        <v>0</v>
      </c>
      <c r="BE212" s="57">
        <v>2656.4397100000001</v>
      </c>
      <c r="BF212" s="57">
        <v>0</v>
      </c>
      <c r="BG212" s="57">
        <v>2656.4397100000001</v>
      </c>
      <c r="BH212" s="46"/>
      <c r="BI212" s="57">
        <v>0</v>
      </c>
      <c r="BJ212" s="57">
        <v>0</v>
      </c>
      <c r="BK212" s="57">
        <v>0</v>
      </c>
      <c r="BL212" s="57">
        <v>0</v>
      </c>
      <c r="BM212" s="57">
        <v>0</v>
      </c>
      <c r="BN212" s="57">
        <v>0</v>
      </c>
      <c r="BO212" s="57">
        <v>0</v>
      </c>
      <c r="BP212" s="46"/>
      <c r="BQ212" s="87">
        <v>34297.22049</v>
      </c>
      <c r="BR212" s="52">
        <v>18028.909189999998</v>
      </c>
      <c r="BS212" s="52">
        <v>16268.311299999999</v>
      </c>
    </row>
    <row r="213" spans="1:71" ht="12" customHeight="1" x14ac:dyDescent="0.2">
      <c r="A213" s="55">
        <v>2019</v>
      </c>
      <c r="B213" s="55" t="s">
        <v>14</v>
      </c>
      <c r="C213" s="82">
        <v>0</v>
      </c>
      <c r="D213" s="82">
        <v>15804.174530000002</v>
      </c>
      <c r="E213" s="78">
        <v>0</v>
      </c>
      <c r="F213" s="78">
        <v>15804.174530000002</v>
      </c>
      <c r="G213" s="82">
        <v>0</v>
      </c>
      <c r="H213" s="82"/>
      <c r="I213" s="82">
        <v>0</v>
      </c>
      <c r="J213" s="82">
        <v>974.96421999999995</v>
      </c>
      <c r="K213" s="82">
        <v>0</v>
      </c>
      <c r="L213" s="82"/>
      <c r="M213" s="82">
        <v>0</v>
      </c>
      <c r="N213" s="82">
        <v>4583.5592699999997</v>
      </c>
      <c r="O213" s="78">
        <v>4583.5592699999997</v>
      </c>
      <c r="P213" s="78">
        <v>0</v>
      </c>
      <c r="Q213" s="73">
        <v>21362.698020000003</v>
      </c>
      <c r="R213" s="78">
        <v>5558.5234899999996</v>
      </c>
      <c r="S213" s="78">
        <v>15804.174530000002</v>
      </c>
      <c r="T213" s="47"/>
      <c r="U213" s="57">
        <v>0</v>
      </c>
      <c r="V213" s="57">
        <v>5195.8998699999993</v>
      </c>
      <c r="W213" s="57"/>
      <c r="X213" s="57"/>
      <c r="Y213" s="57">
        <v>0</v>
      </c>
      <c r="Z213" s="57">
        <v>1705.0220099999999</v>
      </c>
      <c r="AA213" s="57">
        <v>6900.921879999999</v>
      </c>
      <c r="AB213" s="45"/>
      <c r="AC213" s="57">
        <v>0</v>
      </c>
      <c r="AD213" s="78">
        <v>0</v>
      </c>
      <c r="AE213" s="78">
        <v>0</v>
      </c>
      <c r="AF213" s="82">
        <v>78.956480000000013</v>
      </c>
      <c r="AG213" s="78">
        <v>0</v>
      </c>
      <c r="AH213" s="78">
        <v>78.956480000000013</v>
      </c>
      <c r="AI213" s="82">
        <v>53.588999999999999</v>
      </c>
      <c r="AJ213" s="82">
        <v>1518.2561700000001</v>
      </c>
      <c r="AK213" s="78">
        <v>926.23053000000004</v>
      </c>
      <c r="AL213" s="78">
        <v>592.02564000000007</v>
      </c>
      <c r="AM213" s="82">
        <v>0</v>
      </c>
      <c r="AN213" s="78">
        <v>0</v>
      </c>
      <c r="AO213" s="79">
        <v>0</v>
      </c>
      <c r="AP213" s="82">
        <v>178.81214000000003</v>
      </c>
      <c r="AQ213" s="78">
        <v>0</v>
      </c>
      <c r="AR213" s="52">
        <v>178.81214000000003</v>
      </c>
      <c r="AS213" s="48"/>
      <c r="AT213" s="78"/>
      <c r="AU213" s="52">
        <v>0</v>
      </c>
      <c r="AV213" s="48">
        <v>3258.5558100000007</v>
      </c>
      <c r="AW213" s="52">
        <v>3258.5558100000007</v>
      </c>
      <c r="AX213" s="52">
        <v>0</v>
      </c>
      <c r="AY213" s="87">
        <v>5088.1696000000011</v>
      </c>
      <c r="AZ213" s="52">
        <v>4238.3753400000005</v>
      </c>
      <c r="BA213" s="52">
        <v>849.79426000000012</v>
      </c>
      <c r="BB213" s="48"/>
      <c r="BC213" s="57">
        <v>0</v>
      </c>
      <c r="BD213" s="57">
        <v>0</v>
      </c>
      <c r="BE213" s="57">
        <v>2710.97937</v>
      </c>
      <c r="BF213" s="57">
        <v>0</v>
      </c>
      <c r="BG213" s="57">
        <v>2710.97937</v>
      </c>
      <c r="BH213" s="46"/>
      <c r="BI213" s="57">
        <v>0</v>
      </c>
      <c r="BJ213" s="57">
        <v>0</v>
      </c>
      <c r="BK213" s="57">
        <v>0</v>
      </c>
      <c r="BL213" s="57">
        <v>0</v>
      </c>
      <c r="BM213" s="57">
        <v>0</v>
      </c>
      <c r="BN213" s="57">
        <v>0</v>
      </c>
      <c r="BO213" s="57">
        <v>0</v>
      </c>
      <c r="BP213" s="46"/>
      <c r="BQ213" s="87">
        <v>36062.76887</v>
      </c>
      <c r="BR213" s="52">
        <v>19408.800080000001</v>
      </c>
      <c r="BS213" s="52">
        <v>16653.968790000003</v>
      </c>
    </row>
    <row r="214" spans="1:71" ht="12" customHeight="1" x14ac:dyDescent="0.2">
      <c r="A214" s="55">
        <v>2019</v>
      </c>
      <c r="B214" s="55" t="s">
        <v>15</v>
      </c>
      <c r="C214" s="82">
        <v>3050.8050800000001</v>
      </c>
      <c r="D214" s="82">
        <v>138394.72809999998</v>
      </c>
      <c r="E214" s="78">
        <v>12078.33791</v>
      </c>
      <c r="F214" s="78">
        <v>126316.39018999999</v>
      </c>
      <c r="G214" s="82">
        <v>966.06295999999998</v>
      </c>
      <c r="H214" s="82"/>
      <c r="I214" s="82">
        <v>0</v>
      </c>
      <c r="J214" s="82">
        <v>974.96421999999995</v>
      </c>
      <c r="K214" s="82">
        <v>0</v>
      </c>
      <c r="L214" s="82"/>
      <c r="M214" s="82">
        <v>0</v>
      </c>
      <c r="N214" s="82">
        <v>47943.378089999998</v>
      </c>
      <c r="O214" s="78">
        <v>47943.378089999998</v>
      </c>
      <c r="P214" s="78">
        <v>0</v>
      </c>
      <c r="Q214" s="73">
        <v>191329.93845000002</v>
      </c>
      <c r="R214" s="78">
        <v>65013.548259999996</v>
      </c>
      <c r="S214" s="78">
        <v>126316.39018999999</v>
      </c>
      <c r="T214" s="47"/>
      <c r="U214" s="57">
        <v>0</v>
      </c>
      <c r="V214" s="57">
        <v>46126.372250000008</v>
      </c>
      <c r="W214" s="57"/>
      <c r="X214" s="57"/>
      <c r="Y214" s="57">
        <v>5987.7842300000002</v>
      </c>
      <c r="Z214" s="57">
        <v>31410.353490000001</v>
      </c>
      <c r="AA214" s="57">
        <v>83524.509970000014</v>
      </c>
      <c r="AB214" s="45"/>
      <c r="AC214" s="57">
        <v>1048.9791300000002</v>
      </c>
      <c r="AD214" s="78">
        <v>1038.3118400000001</v>
      </c>
      <c r="AE214" s="78">
        <v>10.667289999999999</v>
      </c>
      <c r="AF214" s="82">
        <v>29323.381830000006</v>
      </c>
      <c r="AG214" s="78">
        <v>0</v>
      </c>
      <c r="AH214" s="78">
        <v>29323.381830000006</v>
      </c>
      <c r="AI214" s="82">
        <v>395.04600000000005</v>
      </c>
      <c r="AJ214" s="82">
        <v>27251.224559999995</v>
      </c>
      <c r="AK214" s="78">
        <v>7373.9881400000004</v>
      </c>
      <c r="AL214" s="78">
        <v>19877.236420000001</v>
      </c>
      <c r="AM214" s="82">
        <v>0</v>
      </c>
      <c r="AN214" s="78">
        <v>0</v>
      </c>
      <c r="AO214" s="79">
        <v>0</v>
      </c>
      <c r="AP214" s="82">
        <v>1935.50486</v>
      </c>
      <c r="AQ214" s="78">
        <v>0</v>
      </c>
      <c r="AR214" s="52">
        <v>1935.50486</v>
      </c>
      <c r="AS214" s="48"/>
      <c r="AT214" s="78"/>
      <c r="AU214" s="52">
        <v>0</v>
      </c>
      <c r="AV214" s="48">
        <v>35618.21428</v>
      </c>
      <c r="AW214" s="52">
        <v>35618.21428</v>
      </c>
      <c r="AX214" s="52">
        <v>0</v>
      </c>
      <c r="AY214" s="87">
        <v>95572.350660000026</v>
      </c>
      <c r="AZ214" s="52">
        <v>44425.560259999998</v>
      </c>
      <c r="BA214" s="52">
        <v>51146.790400000013</v>
      </c>
      <c r="BB214" s="48"/>
      <c r="BC214" s="57">
        <v>0</v>
      </c>
      <c r="BD214" s="57">
        <v>0</v>
      </c>
      <c r="BE214" s="57">
        <v>47909.78312</v>
      </c>
      <c r="BF214" s="57">
        <v>0</v>
      </c>
      <c r="BG214" s="57">
        <v>47909.78312</v>
      </c>
      <c r="BH214" s="46"/>
      <c r="BI214" s="57">
        <v>0</v>
      </c>
      <c r="BJ214" s="57">
        <v>0</v>
      </c>
      <c r="BK214" s="57">
        <v>0</v>
      </c>
      <c r="BL214" s="57">
        <v>0</v>
      </c>
      <c r="BM214" s="57">
        <v>0</v>
      </c>
      <c r="BN214" s="57">
        <v>0</v>
      </c>
      <c r="BO214" s="57">
        <v>0</v>
      </c>
      <c r="BP214" s="46"/>
      <c r="BQ214" s="87">
        <v>418336.5822</v>
      </c>
      <c r="BR214" s="52">
        <v>240873.40161000003</v>
      </c>
      <c r="BS214" s="52">
        <v>177463.18059</v>
      </c>
    </row>
    <row r="215" spans="1:71" ht="12" customHeight="1" x14ac:dyDescent="0.2">
      <c r="A215" s="55">
        <v>2020</v>
      </c>
      <c r="B215" s="55" t="s">
        <v>3</v>
      </c>
      <c r="C215" s="82">
        <v>1021.19773</v>
      </c>
      <c r="D215" s="82">
        <v>8103.7431099999994</v>
      </c>
      <c r="E215" s="78">
        <v>489.83519000000001</v>
      </c>
      <c r="F215" s="78">
        <v>7613.9079199999996</v>
      </c>
      <c r="G215" s="82">
        <v>0</v>
      </c>
      <c r="H215" s="82"/>
      <c r="I215" s="82">
        <v>0</v>
      </c>
      <c r="J215" s="82">
        <v>961.09037000000001</v>
      </c>
      <c r="K215" s="82">
        <v>0</v>
      </c>
      <c r="L215" s="82"/>
      <c r="M215" s="82">
        <v>0</v>
      </c>
      <c r="N215" s="82">
        <v>2008.4239599999999</v>
      </c>
      <c r="O215" s="78">
        <v>2008.4239599999999</v>
      </c>
      <c r="P215" s="78">
        <v>0</v>
      </c>
      <c r="Q215" s="73">
        <v>12094.455169999999</v>
      </c>
      <c r="R215" s="78">
        <v>4480.5472499999996</v>
      </c>
      <c r="S215" s="78">
        <v>7613.9079199999996</v>
      </c>
      <c r="T215" s="47"/>
      <c r="U215" s="57">
        <v>843.32070999999996</v>
      </c>
      <c r="V215" s="57">
        <v>4323.5132899999999</v>
      </c>
      <c r="W215" s="57"/>
      <c r="X215" s="57"/>
      <c r="Y215" s="57">
        <v>0</v>
      </c>
      <c r="Z215" s="57">
        <v>4615.5718899999993</v>
      </c>
      <c r="AA215" s="57">
        <v>9782.4058899999982</v>
      </c>
      <c r="AB215" s="45"/>
      <c r="AC215" s="57">
        <v>0</v>
      </c>
      <c r="AD215" s="78">
        <v>0</v>
      </c>
      <c r="AE215" s="78">
        <v>0</v>
      </c>
      <c r="AF215" s="82">
        <v>1505.9576999999999</v>
      </c>
      <c r="AG215" s="78">
        <v>0</v>
      </c>
      <c r="AH215" s="78">
        <v>1505.9576999999999</v>
      </c>
      <c r="AI215" s="82">
        <v>48.154000000000003</v>
      </c>
      <c r="AJ215" s="82">
        <v>1608.22363</v>
      </c>
      <c r="AK215" s="78">
        <v>0</v>
      </c>
      <c r="AL215" s="78">
        <v>1608.22363</v>
      </c>
      <c r="AM215" s="82">
        <v>0</v>
      </c>
      <c r="AN215" s="78">
        <v>0</v>
      </c>
      <c r="AO215" s="79">
        <v>0</v>
      </c>
      <c r="AP215" s="82">
        <v>378.20240000000001</v>
      </c>
      <c r="AQ215" s="78">
        <v>0</v>
      </c>
      <c r="AR215" s="52">
        <v>378.20240000000001</v>
      </c>
      <c r="AS215" s="48">
        <v>0</v>
      </c>
      <c r="AT215" s="78">
        <v>0</v>
      </c>
      <c r="AU215" s="52">
        <v>0</v>
      </c>
      <c r="AV215" s="48">
        <v>3282.741</v>
      </c>
      <c r="AW215" s="52">
        <v>3282.741</v>
      </c>
      <c r="AX215" s="52">
        <v>0</v>
      </c>
      <c r="AY215" s="87">
        <v>6823.27873</v>
      </c>
      <c r="AZ215" s="52">
        <v>3330.895</v>
      </c>
      <c r="BA215" s="52">
        <v>3492.38373</v>
      </c>
      <c r="BB215" s="48"/>
      <c r="BC215" s="57">
        <v>0</v>
      </c>
      <c r="BD215" s="57">
        <v>0</v>
      </c>
      <c r="BE215" s="57">
        <v>3639.8984700000001</v>
      </c>
      <c r="BF215" s="57">
        <v>0</v>
      </c>
      <c r="BG215" s="57">
        <v>3639.8984700000001</v>
      </c>
      <c r="BH215" s="46"/>
      <c r="BI215" s="57">
        <v>0</v>
      </c>
      <c r="BJ215" s="57">
        <v>0</v>
      </c>
      <c r="BK215" s="57">
        <v>0</v>
      </c>
      <c r="BL215" s="57">
        <v>0</v>
      </c>
      <c r="BM215" s="57">
        <v>0</v>
      </c>
      <c r="BN215" s="57">
        <v>0</v>
      </c>
      <c r="BO215" s="57">
        <v>0</v>
      </c>
      <c r="BP215" s="46"/>
      <c r="BQ215" s="87">
        <v>32340.038259999994</v>
      </c>
      <c r="BR215" s="52">
        <v>21233.746609999998</v>
      </c>
      <c r="BS215" s="52">
        <v>11106.291649999999</v>
      </c>
    </row>
    <row r="216" spans="1:71" ht="12" customHeight="1" x14ac:dyDescent="0.2">
      <c r="A216" s="55">
        <v>2020</v>
      </c>
      <c r="B216" s="55" t="s">
        <v>4</v>
      </c>
      <c r="C216" s="82">
        <v>0</v>
      </c>
      <c r="D216" s="82">
        <v>6631.0957099999996</v>
      </c>
      <c r="E216" s="78">
        <v>0</v>
      </c>
      <c r="F216" s="78">
        <v>6631.0957099999996</v>
      </c>
      <c r="G216" s="82">
        <v>0</v>
      </c>
      <c r="H216" s="82"/>
      <c r="I216" s="82">
        <v>0</v>
      </c>
      <c r="J216" s="82">
        <v>2019.96415</v>
      </c>
      <c r="K216" s="82">
        <v>0</v>
      </c>
      <c r="L216" s="82"/>
      <c r="M216" s="82">
        <v>0</v>
      </c>
      <c r="N216" s="82">
        <v>1827.06006</v>
      </c>
      <c r="O216" s="78">
        <v>1827.06006</v>
      </c>
      <c r="P216" s="78">
        <v>0</v>
      </c>
      <c r="Q216" s="73">
        <v>10478.119919999999</v>
      </c>
      <c r="R216" s="78">
        <v>3847.02421</v>
      </c>
      <c r="S216" s="78">
        <v>6631.0957099999996</v>
      </c>
      <c r="T216" s="47"/>
      <c r="U216" s="57">
        <v>472.06003999999996</v>
      </c>
      <c r="V216" s="57">
        <v>7923.9678699999995</v>
      </c>
      <c r="W216" s="57"/>
      <c r="X216" s="57"/>
      <c r="Y216" s="57">
        <v>0</v>
      </c>
      <c r="Z216" s="57">
        <v>3558.5714900000003</v>
      </c>
      <c r="AA216" s="57">
        <v>11954.599399999999</v>
      </c>
      <c r="AB216" s="45"/>
      <c r="AC216" s="57">
        <v>0</v>
      </c>
      <c r="AD216" s="78">
        <v>0</v>
      </c>
      <c r="AE216" s="78">
        <v>0</v>
      </c>
      <c r="AF216" s="82">
        <v>2073.0830300000002</v>
      </c>
      <c r="AG216" s="78">
        <v>0</v>
      </c>
      <c r="AH216" s="78">
        <v>2073.0830300000002</v>
      </c>
      <c r="AI216" s="82">
        <v>48.688000000000002</v>
      </c>
      <c r="AJ216" s="82">
        <v>2030.82429</v>
      </c>
      <c r="AK216" s="78">
        <v>941.92448999999999</v>
      </c>
      <c r="AL216" s="78">
        <v>1088.8998000000001</v>
      </c>
      <c r="AM216" s="82">
        <v>0</v>
      </c>
      <c r="AN216" s="78">
        <v>0</v>
      </c>
      <c r="AO216" s="79">
        <v>0</v>
      </c>
      <c r="AP216" s="82">
        <v>228.65655999999998</v>
      </c>
      <c r="AQ216" s="78">
        <v>0</v>
      </c>
      <c r="AR216" s="52">
        <v>228.65655999999998</v>
      </c>
      <c r="AS216" s="48">
        <v>0</v>
      </c>
      <c r="AT216" s="78">
        <v>0</v>
      </c>
      <c r="AU216" s="52">
        <v>0</v>
      </c>
      <c r="AV216" s="48">
        <v>1092.74596</v>
      </c>
      <c r="AW216" s="52">
        <v>1092.74596</v>
      </c>
      <c r="AX216" s="52">
        <v>0</v>
      </c>
      <c r="AY216" s="87">
        <v>5473.99784</v>
      </c>
      <c r="AZ216" s="52">
        <v>2083.3584499999997</v>
      </c>
      <c r="BA216" s="52">
        <v>3390.6393900000003</v>
      </c>
      <c r="BB216" s="48"/>
      <c r="BC216" s="57">
        <v>0</v>
      </c>
      <c r="BD216" s="57">
        <v>0</v>
      </c>
      <c r="BE216" s="57">
        <v>1438.11635</v>
      </c>
      <c r="BF216" s="57">
        <v>0</v>
      </c>
      <c r="BG216" s="57">
        <v>1438.11635</v>
      </c>
      <c r="BH216" s="46"/>
      <c r="BI216" s="57">
        <v>0</v>
      </c>
      <c r="BJ216" s="57">
        <v>0</v>
      </c>
      <c r="BK216" s="57">
        <v>0</v>
      </c>
      <c r="BL216" s="57">
        <v>0</v>
      </c>
      <c r="BM216" s="57">
        <v>0</v>
      </c>
      <c r="BN216" s="57">
        <v>0</v>
      </c>
      <c r="BO216" s="57">
        <v>0</v>
      </c>
      <c r="BP216" s="46"/>
      <c r="BQ216" s="87">
        <v>29344.833509999997</v>
      </c>
      <c r="BR216" s="52">
        <v>19323.098409999999</v>
      </c>
      <c r="BS216" s="52">
        <v>10021.7351</v>
      </c>
    </row>
    <row r="217" spans="1:71" ht="12" customHeight="1" x14ac:dyDescent="0.2">
      <c r="A217" s="55">
        <v>2020</v>
      </c>
      <c r="B217" s="55" t="s">
        <v>5</v>
      </c>
      <c r="C217" s="82">
        <v>0</v>
      </c>
      <c r="D217" s="82">
        <v>5013.3663499999993</v>
      </c>
      <c r="E217" s="78">
        <v>0</v>
      </c>
      <c r="F217" s="78">
        <v>5013.3663499999993</v>
      </c>
      <c r="G217" s="82">
        <v>0</v>
      </c>
      <c r="H217" s="82"/>
      <c r="I217" s="82">
        <v>967.62381000000005</v>
      </c>
      <c r="J217" s="82">
        <v>1874.7537500000001</v>
      </c>
      <c r="K217" s="82">
        <v>0</v>
      </c>
      <c r="L217" s="82"/>
      <c r="M217" s="82">
        <v>0</v>
      </c>
      <c r="N217" s="82">
        <v>3799.64642</v>
      </c>
      <c r="O217" s="78">
        <v>3799.64642</v>
      </c>
      <c r="P217" s="78">
        <v>0</v>
      </c>
      <c r="Q217" s="73">
        <v>11655.390329999998</v>
      </c>
      <c r="R217" s="78">
        <v>6642.0239799999999</v>
      </c>
      <c r="S217" s="78">
        <v>5013.3663499999993</v>
      </c>
      <c r="T217" s="47"/>
      <c r="U217" s="57">
        <v>375.44044000000002</v>
      </c>
      <c r="V217" s="57">
        <v>8003.8734800000002</v>
      </c>
      <c r="W217" s="57"/>
      <c r="X217" s="57"/>
      <c r="Y217" s="57">
        <v>865.91716000000008</v>
      </c>
      <c r="Z217" s="57">
        <v>1326.0083999999999</v>
      </c>
      <c r="AA217" s="57">
        <v>10571.239480000002</v>
      </c>
      <c r="AB217" s="45"/>
      <c r="AC217" s="57">
        <v>0</v>
      </c>
      <c r="AD217" s="78">
        <v>0</v>
      </c>
      <c r="AE217" s="78">
        <v>0</v>
      </c>
      <c r="AF217" s="82">
        <v>1013.05199</v>
      </c>
      <c r="AG217" s="78">
        <v>0</v>
      </c>
      <c r="AH217" s="78">
        <v>1013.05199</v>
      </c>
      <c r="AI217" s="82">
        <v>32.631</v>
      </c>
      <c r="AJ217" s="82">
        <v>1085.8299199999999</v>
      </c>
      <c r="AK217" s="78">
        <v>0</v>
      </c>
      <c r="AL217" s="78">
        <v>1085.8299199999999</v>
      </c>
      <c r="AM217" s="82">
        <v>0</v>
      </c>
      <c r="AN217" s="78">
        <v>0</v>
      </c>
      <c r="AO217" s="79">
        <v>0</v>
      </c>
      <c r="AP217" s="82">
        <v>59.915999999999997</v>
      </c>
      <c r="AQ217" s="78">
        <v>0</v>
      </c>
      <c r="AR217" s="52">
        <v>59.915999999999997</v>
      </c>
      <c r="AS217" s="48">
        <v>0</v>
      </c>
      <c r="AT217" s="78">
        <v>0</v>
      </c>
      <c r="AU217" s="52">
        <v>0</v>
      </c>
      <c r="AV217" s="48">
        <v>5347.9752099999996</v>
      </c>
      <c r="AW217" s="52">
        <v>5347.9752099999996</v>
      </c>
      <c r="AX217" s="52">
        <v>0</v>
      </c>
      <c r="AY217" s="87">
        <v>7539.4041200000001</v>
      </c>
      <c r="AZ217" s="52">
        <v>5380.6062099999999</v>
      </c>
      <c r="BA217" s="52">
        <v>2158.7979100000002</v>
      </c>
      <c r="BB217" s="48"/>
      <c r="BC217" s="57">
        <v>0</v>
      </c>
      <c r="BD217" s="57">
        <v>0</v>
      </c>
      <c r="BE217" s="57">
        <v>1632.4167399999999</v>
      </c>
      <c r="BF217" s="57">
        <v>0</v>
      </c>
      <c r="BG217" s="57">
        <v>1632.4167399999999</v>
      </c>
      <c r="BH217" s="46"/>
      <c r="BI217" s="57">
        <v>0</v>
      </c>
      <c r="BJ217" s="57">
        <v>0</v>
      </c>
      <c r="BK217" s="57">
        <v>0</v>
      </c>
      <c r="BL217" s="57">
        <v>0</v>
      </c>
      <c r="BM217" s="57">
        <v>0</v>
      </c>
      <c r="BN217" s="57">
        <v>0</v>
      </c>
      <c r="BO217" s="57">
        <v>0</v>
      </c>
      <c r="BP217" s="46"/>
      <c r="BQ217" s="87">
        <v>31398.450669999998</v>
      </c>
      <c r="BR217" s="52">
        <v>24226.286410000001</v>
      </c>
      <c r="BS217" s="52">
        <v>7172.1642599999996</v>
      </c>
    </row>
    <row r="218" spans="1:71" ht="12" customHeight="1" x14ac:dyDescent="0.2">
      <c r="A218" s="55">
        <v>2020</v>
      </c>
      <c r="B218" s="55" t="s">
        <v>6</v>
      </c>
      <c r="C218" s="82">
        <v>1021.136</v>
      </c>
      <c r="D218" s="82">
        <v>5297.1483099999996</v>
      </c>
      <c r="E218" s="78">
        <v>496.53703000000002</v>
      </c>
      <c r="F218" s="78">
        <v>4800.6112799999992</v>
      </c>
      <c r="G218" s="82">
        <v>0</v>
      </c>
      <c r="H218" s="82"/>
      <c r="I218" s="82">
        <v>0</v>
      </c>
      <c r="J218" s="82">
        <v>0</v>
      </c>
      <c r="K218" s="82">
        <v>0</v>
      </c>
      <c r="L218" s="82"/>
      <c r="M218" s="82">
        <v>0</v>
      </c>
      <c r="N218" s="82">
        <v>4546.42058</v>
      </c>
      <c r="O218" s="78">
        <v>4546.42058</v>
      </c>
      <c r="P218" s="78">
        <v>0</v>
      </c>
      <c r="Q218" s="73">
        <v>10864.704889999999</v>
      </c>
      <c r="R218" s="78">
        <v>6064.0936099999999</v>
      </c>
      <c r="S218" s="78">
        <v>4800.6112799999992</v>
      </c>
      <c r="T218" s="47"/>
      <c r="U218" s="57">
        <v>0</v>
      </c>
      <c r="V218" s="57">
        <v>4764.0389800000003</v>
      </c>
      <c r="W218" s="57"/>
      <c r="X218" s="57"/>
      <c r="Y218" s="57">
        <v>0</v>
      </c>
      <c r="Z218" s="57">
        <v>1756.3630600000001</v>
      </c>
      <c r="AA218" s="57">
        <v>6520.4020400000009</v>
      </c>
      <c r="AB218" s="45"/>
      <c r="AC218" s="57">
        <v>0</v>
      </c>
      <c r="AD218" s="78">
        <v>0</v>
      </c>
      <c r="AE218" s="78">
        <v>0</v>
      </c>
      <c r="AF218" s="82">
        <v>1441.6821699999996</v>
      </c>
      <c r="AG218" s="78">
        <v>0</v>
      </c>
      <c r="AH218" s="78">
        <v>1441.6821699999996</v>
      </c>
      <c r="AI218" s="82">
        <v>11.542999999999999</v>
      </c>
      <c r="AJ218" s="82">
        <v>759.11593999999991</v>
      </c>
      <c r="AK218" s="78">
        <v>0</v>
      </c>
      <c r="AL218" s="78">
        <v>759.11593999999991</v>
      </c>
      <c r="AM218" s="82">
        <v>0</v>
      </c>
      <c r="AN218" s="78">
        <v>0</v>
      </c>
      <c r="AO218" s="79">
        <v>0</v>
      </c>
      <c r="AP218" s="82">
        <v>595.8501</v>
      </c>
      <c r="AQ218" s="78">
        <v>0</v>
      </c>
      <c r="AR218" s="52">
        <v>595.8501</v>
      </c>
      <c r="AS218" s="48">
        <v>0</v>
      </c>
      <c r="AT218" s="78">
        <v>0</v>
      </c>
      <c r="AU218" s="52">
        <v>0</v>
      </c>
      <c r="AV218" s="48">
        <v>2190.4594299999999</v>
      </c>
      <c r="AW218" s="52">
        <v>2190.4594299999999</v>
      </c>
      <c r="AX218" s="52">
        <v>0</v>
      </c>
      <c r="AY218" s="87">
        <v>4998.6506399999998</v>
      </c>
      <c r="AZ218" s="52">
        <v>2202.00243</v>
      </c>
      <c r="BA218" s="52">
        <v>2796.6482099999998</v>
      </c>
      <c r="BB218" s="48"/>
      <c r="BC218" s="57">
        <v>0</v>
      </c>
      <c r="BD218" s="57">
        <v>0</v>
      </c>
      <c r="BE218" s="57">
        <v>879.99762999999996</v>
      </c>
      <c r="BF218" s="57">
        <v>0</v>
      </c>
      <c r="BG218" s="57">
        <v>879.99762999999996</v>
      </c>
      <c r="BH218" s="46"/>
      <c r="BI218" s="57">
        <v>0</v>
      </c>
      <c r="BJ218" s="57">
        <v>0</v>
      </c>
      <c r="BK218" s="57">
        <v>0</v>
      </c>
      <c r="BL218" s="57">
        <v>0</v>
      </c>
      <c r="BM218" s="57">
        <v>0</v>
      </c>
      <c r="BN218" s="57">
        <v>0</v>
      </c>
      <c r="BO218" s="57">
        <v>0</v>
      </c>
      <c r="BP218" s="46"/>
      <c r="BQ218" s="87">
        <v>23263.755200000003</v>
      </c>
      <c r="BR218" s="52">
        <v>15666.495710000001</v>
      </c>
      <c r="BS218" s="52">
        <v>7597.2594899999986</v>
      </c>
    </row>
    <row r="219" spans="1:71" ht="12" customHeight="1" x14ac:dyDescent="0.2">
      <c r="A219" s="55">
        <v>2020</v>
      </c>
      <c r="B219" s="55" t="s">
        <v>7</v>
      </c>
      <c r="C219" s="82">
        <v>0</v>
      </c>
      <c r="D219" s="82">
        <v>5025.4109699999999</v>
      </c>
      <c r="E219" s="78">
        <v>0</v>
      </c>
      <c r="F219" s="78">
        <v>5025.4109699999999</v>
      </c>
      <c r="G219" s="82">
        <v>0</v>
      </c>
      <c r="H219" s="82"/>
      <c r="I219" s="82">
        <v>0</v>
      </c>
      <c r="J219" s="82">
        <v>0</v>
      </c>
      <c r="K219" s="82">
        <v>0</v>
      </c>
      <c r="L219" s="82"/>
      <c r="M219" s="82">
        <v>0</v>
      </c>
      <c r="N219" s="82">
        <v>4628.9893600000005</v>
      </c>
      <c r="O219" s="78">
        <v>4628.9893600000005</v>
      </c>
      <c r="P219" s="78">
        <v>0</v>
      </c>
      <c r="Q219" s="73">
        <v>9654.4003300000004</v>
      </c>
      <c r="R219" s="78">
        <v>4628.9893600000005</v>
      </c>
      <c r="S219" s="78">
        <v>5025.4109699999999</v>
      </c>
      <c r="T219" s="47"/>
      <c r="U219" s="57">
        <v>0</v>
      </c>
      <c r="V219" s="57">
        <v>7315.3949500000008</v>
      </c>
      <c r="W219" s="57"/>
      <c r="X219" s="57"/>
      <c r="Y219" s="57">
        <v>0</v>
      </c>
      <c r="Z219" s="57">
        <v>2907.8046300000001</v>
      </c>
      <c r="AA219" s="57">
        <v>10223.19958</v>
      </c>
      <c r="AB219" s="45"/>
      <c r="AC219" s="57">
        <v>14.09755</v>
      </c>
      <c r="AD219" s="78">
        <v>0</v>
      </c>
      <c r="AE219" s="78">
        <v>14.09755</v>
      </c>
      <c r="AF219" s="82">
        <v>1458.4365500000001</v>
      </c>
      <c r="AG219" s="78">
        <v>0</v>
      </c>
      <c r="AH219" s="78">
        <v>1458.4365500000001</v>
      </c>
      <c r="AI219" s="82">
        <v>10.393000000000001</v>
      </c>
      <c r="AJ219" s="82">
        <v>1880.6649700000003</v>
      </c>
      <c r="AK219" s="78">
        <v>910.33606000000009</v>
      </c>
      <c r="AL219" s="78">
        <v>970.32891000000006</v>
      </c>
      <c r="AM219" s="82">
        <v>0</v>
      </c>
      <c r="AN219" s="78">
        <v>0</v>
      </c>
      <c r="AO219" s="79">
        <v>0</v>
      </c>
      <c r="AP219" s="82">
        <v>128.25650999999999</v>
      </c>
      <c r="AQ219" s="78">
        <v>0</v>
      </c>
      <c r="AR219" s="52">
        <v>128.25650999999999</v>
      </c>
      <c r="AS219" s="48">
        <v>0</v>
      </c>
      <c r="AT219" s="78">
        <v>0</v>
      </c>
      <c r="AU219" s="52">
        <v>0</v>
      </c>
      <c r="AV219" s="48">
        <v>2192.3857699999999</v>
      </c>
      <c r="AW219" s="52">
        <v>2192.3857699999999</v>
      </c>
      <c r="AX219" s="52">
        <v>0</v>
      </c>
      <c r="AY219" s="87">
        <v>5684.2343500000006</v>
      </c>
      <c r="AZ219" s="52">
        <v>3113.11483</v>
      </c>
      <c r="BA219" s="52">
        <v>2571.1195200000002</v>
      </c>
      <c r="BB219" s="48"/>
      <c r="BC219" s="57">
        <v>0</v>
      </c>
      <c r="BD219" s="57">
        <v>0</v>
      </c>
      <c r="BE219" s="57">
        <v>1813.13283</v>
      </c>
      <c r="BF219" s="57">
        <v>0</v>
      </c>
      <c r="BG219" s="57">
        <v>1813.13283</v>
      </c>
      <c r="BH219" s="46"/>
      <c r="BI219" s="57">
        <v>0</v>
      </c>
      <c r="BJ219" s="57">
        <v>0</v>
      </c>
      <c r="BK219" s="57">
        <v>0</v>
      </c>
      <c r="BL219" s="57">
        <v>0</v>
      </c>
      <c r="BM219" s="57">
        <v>0</v>
      </c>
      <c r="BN219" s="57">
        <v>0</v>
      </c>
      <c r="BO219" s="57">
        <v>0</v>
      </c>
      <c r="BP219" s="46"/>
      <c r="BQ219" s="87">
        <v>27374.967090000002</v>
      </c>
      <c r="BR219" s="52">
        <v>19778.436599999997</v>
      </c>
      <c r="BS219" s="52">
        <v>7596.5304900000001</v>
      </c>
    </row>
    <row r="220" spans="1:71" ht="12" customHeight="1" x14ac:dyDescent="0.2">
      <c r="A220" s="55">
        <v>2020</v>
      </c>
      <c r="B220" s="55" t="s">
        <v>8</v>
      </c>
      <c r="C220" s="82">
        <v>0</v>
      </c>
      <c r="D220" s="82">
        <v>5825.8915799999986</v>
      </c>
      <c r="E220" s="78">
        <v>988.82737999999995</v>
      </c>
      <c r="F220" s="78">
        <v>4837.0641999999989</v>
      </c>
      <c r="G220" s="82">
        <v>0</v>
      </c>
      <c r="H220" s="82"/>
      <c r="I220" s="82">
        <v>0</v>
      </c>
      <c r="J220" s="82">
        <v>0</v>
      </c>
      <c r="K220" s="82">
        <v>0</v>
      </c>
      <c r="L220" s="82"/>
      <c r="M220" s="82">
        <v>0</v>
      </c>
      <c r="N220" s="82">
        <v>1873.4051400000001</v>
      </c>
      <c r="O220" s="78">
        <v>1873.4051400000001</v>
      </c>
      <c r="P220" s="78">
        <v>0</v>
      </c>
      <c r="Q220" s="73">
        <v>7699.2967199999985</v>
      </c>
      <c r="R220" s="78">
        <v>2862.23252</v>
      </c>
      <c r="S220" s="78">
        <v>4837.0641999999989</v>
      </c>
      <c r="T220" s="47"/>
      <c r="U220" s="57">
        <v>0</v>
      </c>
      <c r="V220" s="57">
        <v>4349.0461800000003</v>
      </c>
      <c r="W220" s="57"/>
      <c r="X220" s="57"/>
      <c r="Y220" s="57">
        <v>0</v>
      </c>
      <c r="Z220" s="57">
        <v>1872.8864599999999</v>
      </c>
      <c r="AA220" s="57">
        <v>6221.93264</v>
      </c>
      <c r="AB220" s="45"/>
      <c r="AC220" s="57">
        <v>136.87535</v>
      </c>
      <c r="AD220" s="78">
        <v>0</v>
      </c>
      <c r="AE220" s="78">
        <v>136.87535</v>
      </c>
      <c r="AF220" s="82">
        <v>2711.9950399999998</v>
      </c>
      <c r="AG220" s="78">
        <v>881.66300000000001</v>
      </c>
      <c r="AH220" s="78">
        <v>1830.3320399999998</v>
      </c>
      <c r="AI220" s="82">
        <v>0</v>
      </c>
      <c r="AJ220" s="82">
        <v>2229.9751699999997</v>
      </c>
      <c r="AK220" s="78">
        <v>901.37543000000005</v>
      </c>
      <c r="AL220" s="78">
        <v>1328.5997399999999</v>
      </c>
      <c r="AM220" s="82">
        <v>0</v>
      </c>
      <c r="AN220" s="78">
        <v>0</v>
      </c>
      <c r="AO220" s="79">
        <v>0</v>
      </c>
      <c r="AP220" s="82">
        <v>64.175640000000001</v>
      </c>
      <c r="AQ220" s="78">
        <v>0</v>
      </c>
      <c r="AR220" s="52">
        <v>64.175640000000001</v>
      </c>
      <c r="AS220" s="48">
        <v>0</v>
      </c>
      <c r="AT220" s="78">
        <v>0</v>
      </c>
      <c r="AU220" s="52">
        <v>0</v>
      </c>
      <c r="AV220" s="48">
        <v>4364.9301899999991</v>
      </c>
      <c r="AW220" s="52">
        <v>4364.9301899999991</v>
      </c>
      <c r="AX220" s="52">
        <v>0</v>
      </c>
      <c r="AY220" s="87">
        <v>9507.9513899999984</v>
      </c>
      <c r="AZ220" s="52">
        <v>6147.9686199999996</v>
      </c>
      <c r="BA220" s="52">
        <v>3359.9827699999996</v>
      </c>
      <c r="BB220" s="48"/>
      <c r="BC220" s="57">
        <v>0</v>
      </c>
      <c r="BD220" s="57">
        <v>0</v>
      </c>
      <c r="BE220" s="57">
        <v>3851.4565400000001</v>
      </c>
      <c r="BF220" s="57">
        <v>0</v>
      </c>
      <c r="BG220" s="57">
        <v>3851.4565400000001</v>
      </c>
      <c r="BH220" s="46"/>
      <c r="BI220" s="57">
        <v>0</v>
      </c>
      <c r="BJ220" s="57">
        <v>0</v>
      </c>
      <c r="BK220" s="57">
        <v>0</v>
      </c>
      <c r="BL220" s="57">
        <v>0</v>
      </c>
      <c r="BM220" s="57">
        <v>0</v>
      </c>
      <c r="BN220" s="57">
        <v>0</v>
      </c>
      <c r="BO220" s="57">
        <v>0</v>
      </c>
      <c r="BP220" s="46"/>
      <c r="BQ220" s="87">
        <v>27280.637289999995</v>
      </c>
      <c r="BR220" s="52">
        <v>19083.590319999999</v>
      </c>
      <c r="BS220" s="52">
        <v>8197.0469699999994</v>
      </c>
    </row>
    <row r="221" spans="1:71" ht="12" customHeight="1" x14ac:dyDescent="0.2">
      <c r="A221" s="55">
        <v>2020</v>
      </c>
      <c r="B221" s="55" t="s">
        <v>9</v>
      </c>
      <c r="C221" s="82">
        <v>991.46914000000004</v>
      </c>
      <c r="D221" s="82">
        <v>7517.5870800000002</v>
      </c>
      <c r="E221" s="78">
        <v>0</v>
      </c>
      <c r="F221" s="78">
        <v>7517.5870800000002</v>
      </c>
      <c r="G221" s="82">
        <v>0</v>
      </c>
      <c r="H221" s="82"/>
      <c r="I221" s="82">
        <v>0</v>
      </c>
      <c r="J221" s="82">
        <v>856.48129000000006</v>
      </c>
      <c r="K221" s="82">
        <v>0</v>
      </c>
      <c r="L221" s="82"/>
      <c r="M221" s="82">
        <v>0</v>
      </c>
      <c r="N221" s="82">
        <v>2573.9130499999997</v>
      </c>
      <c r="O221" s="78">
        <v>2573.9130499999997</v>
      </c>
      <c r="P221" s="78">
        <v>0</v>
      </c>
      <c r="Q221" s="73">
        <v>11939.450560000001</v>
      </c>
      <c r="R221" s="78">
        <v>4421.86348</v>
      </c>
      <c r="S221" s="78">
        <v>7517.5870800000002</v>
      </c>
      <c r="T221" s="47"/>
      <c r="U221" s="57">
        <v>0</v>
      </c>
      <c r="V221" s="57">
        <v>4800.4520000000002</v>
      </c>
      <c r="W221" s="57"/>
      <c r="X221" s="57"/>
      <c r="Y221" s="57">
        <v>1009.5774</v>
      </c>
      <c r="Z221" s="57">
        <v>1018.00517</v>
      </c>
      <c r="AA221" s="57">
        <v>6828.0345700000007</v>
      </c>
      <c r="AB221" s="45"/>
      <c r="AC221" s="57">
        <v>360.78663</v>
      </c>
      <c r="AD221" s="78">
        <v>0</v>
      </c>
      <c r="AE221" s="78">
        <v>360.78663</v>
      </c>
      <c r="AF221" s="82">
        <v>2568.2951399999997</v>
      </c>
      <c r="AG221" s="78">
        <v>0</v>
      </c>
      <c r="AH221" s="78">
        <v>2568.2951399999997</v>
      </c>
      <c r="AI221" s="82">
        <v>14.269</v>
      </c>
      <c r="AJ221" s="82">
        <v>1064.1205400000001</v>
      </c>
      <c r="AK221" s="78">
        <v>0</v>
      </c>
      <c r="AL221" s="78">
        <v>1064.1205400000001</v>
      </c>
      <c r="AM221" s="82">
        <v>0</v>
      </c>
      <c r="AN221" s="78">
        <v>0</v>
      </c>
      <c r="AO221" s="79">
        <v>0</v>
      </c>
      <c r="AP221" s="82">
        <v>0</v>
      </c>
      <c r="AQ221" s="78">
        <v>0</v>
      </c>
      <c r="AR221" s="52">
        <v>0</v>
      </c>
      <c r="AS221" s="48">
        <v>0</v>
      </c>
      <c r="AT221" s="78">
        <v>0</v>
      </c>
      <c r="AU221" s="52">
        <v>0</v>
      </c>
      <c r="AV221" s="48">
        <v>3219.39338</v>
      </c>
      <c r="AW221" s="52">
        <v>3219.39338</v>
      </c>
      <c r="AX221" s="52">
        <v>0</v>
      </c>
      <c r="AY221" s="87">
        <v>7226.8646900000003</v>
      </c>
      <c r="AZ221" s="52">
        <v>3233.6623799999998</v>
      </c>
      <c r="BA221" s="52">
        <v>3993.2023100000001</v>
      </c>
      <c r="BB221" s="48"/>
      <c r="BC221" s="57">
        <v>0</v>
      </c>
      <c r="BD221" s="57">
        <v>0</v>
      </c>
      <c r="BE221" s="57">
        <v>8145.9006600000002</v>
      </c>
      <c r="BF221" s="57">
        <v>0</v>
      </c>
      <c r="BG221" s="57">
        <v>8145.9006600000002</v>
      </c>
      <c r="BH221" s="46"/>
      <c r="BI221" s="57">
        <v>0</v>
      </c>
      <c r="BJ221" s="57">
        <v>0</v>
      </c>
      <c r="BK221" s="57">
        <v>0</v>
      </c>
      <c r="BL221" s="57">
        <v>0</v>
      </c>
      <c r="BM221" s="57">
        <v>0</v>
      </c>
      <c r="BN221" s="57">
        <v>0</v>
      </c>
      <c r="BO221" s="57">
        <v>0</v>
      </c>
      <c r="BP221" s="46"/>
      <c r="BQ221" s="87">
        <v>34140.250480000002</v>
      </c>
      <c r="BR221" s="52">
        <v>22629.461090000001</v>
      </c>
      <c r="BS221" s="52">
        <v>11510.78939</v>
      </c>
    </row>
    <row r="222" spans="1:71" ht="12" customHeight="1" x14ac:dyDescent="0.2">
      <c r="A222" s="55">
        <v>2020</v>
      </c>
      <c r="B222" s="55" t="s">
        <v>10</v>
      </c>
      <c r="C222" s="82">
        <v>1022.4938100000001</v>
      </c>
      <c r="D222" s="82">
        <v>8802.8391600000014</v>
      </c>
      <c r="E222" s="78">
        <v>1609.8621400000002</v>
      </c>
      <c r="F222" s="78">
        <v>7192.9770200000012</v>
      </c>
      <c r="G222" s="82">
        <v>0</v>
      </c>
      <c r="H222" s="82"/>
      <c r="I222" s="82">
        <v>0</v>
      </c>
      <c r="J222" s="82">
        <v>988.15316000000007</v>
      </c>
      <c r="K222" s="82">
        <v>0</v>
      </c>
      <c r="L222" s="82"/>
      <c r="M222" s="82">
        <v>0</v>
      </c>
      <c r="N222" s="82">
        <v>3707.4129600000001</v>
      </c>
      <c r="O222" s="78">
        <v>3707.4129600000001</v>
      </c>
      <c r="P222" s="78">
        <v>0</v>
      </c>
      <c r="Q222" s="73">
        <v>14520.899090000003</v>
      </c>
      <c r="R222" s="78">
        <v>7327.9220700000005</v>
      </c>
      <c r="S222" s="78">
        <v>7192.9770200000012</v>
      </c>
      <c r="T222" s="47"/>
      <c r="U222" s="57">
        <v>0</v>
      </c>
      <c r="V222" s="57">
        <v>1014.57188</v>
      </c>
      <c r="W222" s="57"/>
      <c r="X222" s="57"/>
      <c r="Y222" s="57">
        <v>0</v>
      </c>
      <c r="Z222" s="57">
        <v>3933.6420400000002</v>
      </c>
      <c r="AA222" s="57">
        <v>4948.2139200000001</v>
      </c>
      <c r="AB222" s="45"/>
      <c r="AC222" s="57">
        <v>52.875160000000001</v>
      </c>
      <c r="AD222" s="78">
        <v>0</v>
      </c>
      <c r="AE222" s="78">
        <v>52.875160000000001</v>
      </c>
      <c r="AF222" s="82">
        <v>2422.6265200000007</v>
      </c>
      <c r="AG222" s="78">
        <v>0</v>
      </c>
      <c r="AH222" s="78">
        <v>2422.6265200000007</v>
      </c>
      <c r="AI222" s="82">
        <v>27.442</v>
      </c>
      <c r="AJ222" s="82">
        <v>3575.8117099999999</v>
      </c>
      <c r="AK222" s="78">
        <v>1842.5012099999999</v>
      </c>
      <c r="AL222" s="78">
        <v>1733.3105</v>
      </c>
      <c r="AM222" s="82">
        <v>0</v>
      </c>
      <c r="AN222" s="78">
        <v>0</v>
      </c>
      <c r="AO222" s="79">
        <v>0</v>
      </c>
      <c r="AP222" s="82">
        <v>12.024049999999999</v>
      </c>
      <c r="AQ222" s="78">
        <v>0</v>
      </c>
      <c r="AR222" s="52">
        <v>12.024049999999999</v>
      </c>
      <c r="AS222" s="48">
        <v>0</v>
      </c>
      <c r="AT222" s="78">
        <v>0</v>
      </c>
      <c r="AU222" s="52">
        <v>0</v>
      </c>
      <c r="AV222" s="48">
        <v>2066.5862900000002</v>
      </c>
      <c r="AW222" s="52">
        <v>2066.5862900000002</v>
      </c>
      <c r="AX222" s="52">
        <v>0</v>
      </c>
      <c r="AY222" s="87">
        <v>8157.3657300000013</v>
      </c>
      <c r="AZ222" s="52">
        <v>3936.5295000000001</v>
      </c>
      <c r="BA222" s="52">
        <v>4220.8362300000008</v>
      </c>
      <c r="BB222" s="48"/>
      <c r="BC222" s="57">
        <v>0</v>
      </c>
      <c r="BD222" s="57">
        <v>0</v>
      </c>
      <c r="BE222" s="57">
        <v>6454.8497100000004</v>
      </c>
      <c r="BF222" s="57">
        <v>0</v>
      </c>
      <c r="BG222" s="57">
        <v>6454.8497100000004</v>
      </c>
      <c r="BH222" s="46"/>
      <c r="BI222" s="57">
        <v>0</v>
      </c>
      <c r="BJ222" s="57">
        <v>0</v>
      </c>
      <c r="BK222" s="57">
        <v>0</v>
      </c>
      <c r="BL222" s="57">
        <v>0</v>
      </c>
      <c r="BM222" s="57">
        <v>0</v>
      </c>
      <c r="BN222" s="57">
        <v>0</v>
      </c>
      <c r="BO222" s="57">
        <v>0</v>
      </c>
      <c r="BP222" s="46"/>
      <c r="BQ222" s="87">
        <v>34081.328450000001</v>
      </c>
      <c r="BR222" s="52">
        <v>22667.515200000002</v>
      </c>
      <c r="BS222" s="52">
        <v>11413.813250000003</v>
      </c>
    </row>
    <row r="223" spans="1:71" ht="12" customHeight="1" x14ac:dyDescent="0.2">
      <c r="A223" s="55">
        <v>2020</v>
      </c>
      <c r="B223" s="55" t="s">
        <v>11</v>
      </c>
      <c r="C223" s="82">
        <v>0</v>
      </c>
      <c r="D223" s="82">
        <v>10036.198680000001</v>
      </c>
      <c r="E223" s="78">
        <v>0</v>
      </c>
      <c r="F223" s="78">
        <v>10036.198680000001</v>
      </c>
      <c r="G223" s="82">
        <v>956.36807999999996</v>
      </c>
      <c r="H223" s="82"/>
      <c r="I223" s="82">
        <v>0</v>
      </c>
      <c r="J223" s="82">
        <v>1031.7058199999999</v>
      </c>
      <c r="K223" s="82">
        <v>0</v>
      </c>
      <c r="L223" s="82"/>
      <c r="M223" s="82">
        <v>0</v>
      </c>
      <c r="N223" s="82">
        <v>5641.2836600000001</v>
      </c>
      <c r="O223" s="78">
        <v>5641.2836600000001</v>
      </c>
      <c r="P223" s="78">
        <v>0</v>
      </c>
      <c r="Q223" s="73">
        <v>17665.556240000002</v>
      </c>
      <c r="R223" s="78">
        <v>7629.3575600000004</v>
      </c>
      <c r="S223" s="78">
        <v>10036.198680000001</v>
      </c>
      <c r="T223" s="47"/>
      <c r="U223" s="57">
        <v>0</v>
      </c>
      <c r="V223" s="57">
        <v>2989.9844199999998</v>
      </c>
      <c r="W223" s="57"/>
      <c r="X223" s="57"/>
      <c r="Y223" s="57">
        <v>0</v>
      </c>
      <c r="Z223" s="57">
        <v>593.68429000000003</v>
      </c>
      <c r="AA223" s="57">
        <v>3583.6687099999999</v>
      </c>
      <c r="AB223" s="45"/>
      <c r="AC223" s="57">
        <v>0</v>
      </c>
      <c r="AD223" s="78">
        <v>0</v>
      </c>
      <c r="AE223" s="78">
        <v>0</v>
      </c>
      <c r="AF223" s="82">
        <v>2376.11265</v>
      </c>
      <c r="AG223" s="78">
        <v>922.04953</v>
      </c>
      <c r="AH223" s="78">
        <v>1454.06312</v>
      </c>
      <c r="AI223" s="82">
        <v>12.771000000000001</v>
      </c>
      <c r="AJ223" s="82">
        <v>1763.2329399999999</v>
      </c>
      <c r="AK223" s="78">
        <v>924.04939000000002</v>
      </c>
      <c r="AL223" s="78">
        <v>839.18354999999997</v>
      </c>
      <c r="AM223" s="82">
        <v>0</v>
      </c>
      <c r="AN223" s="78">
        <v>0</v>
      </c>
      <c r="AO223" s="79">
        <v>0</v>
      </c>
      <c r="AP223" s="82">
        <v>28.252500000000001</v>
      </c>
      <c r="AQ223" s="78">
        <v>0</v>
      </c>
      <c r="AR223" s="52">
        <v>28.252500000000001</v>
      </c>
      <c r="AS223" s="48">
        <v>0</v>
      </c>
      <c r="AT223" s="78">
        <v>0</v>
      </c>
      <c r="AU223" s="52">
        <v>0</v>
      </c>
      <c r="AV223" s="48">
        <v>5297.8080500000005</v>
      </c>
      <c r="AW223" s="52">
        <v>5297.8080500000005</v>
      </c>
      <c r="AX223" s="52">
        <v>0</v>
      </c>
      <c r="AY223" s="87">
        <v>9478.1771399999998</v>
      </c>
      <c r="AZ223" s="52">
        <v>7156.6779700000006</v>
      </c>
      <c r="BA223" s="52">
        <v>2321.49917</v>
      </c>
      <c r="BB223" s="48"/>
      <c r="BC223" s="57">
        <v>0</v>
      </c>
      <c r="BD223" s="57">
        <v>0</v>
      </c>
      <c r="BE223" s="57">
        <v>1757.1615200000001</v>
      </c>
      <c r="BF223" s="57">
        <v>0</v>
      </c>
      <c r="BG223" s="57">
        <v>1757.1615200000001</v>
      </c>
      <c r="BH223" s="46"/>
      <c r="BI223" s="57">
        <v>0</v>
      </c>
      <c r="BJ223" s="57">
        <v>0</v>
      </c>
      <c r="BK223" s="57">
        <v>0</v>
      </c>
      <c r="BL223" s="57">
        <v>0</v>
      </c>
      <c r="BM223" s="57">
        <v>0</v>
      </c>
      <c r="BN223" s="57">
        <v>0</v>
      </c>
      <c r="BO223" s="57">
        <v>0</v>
      </c>
      <c r="BP223" s="46"/>
      <c r="BQ223" s="87">
        <v>32484.563610000005</v>
      </c>
      <c r="BR223" s="52">
        <v>20126.865760000001</v>
      </c>
      <c r="BS223" s="52">
        <v>12357.69785</v>
      </c>
    </row>
    <row r="224" spans="1:71" ht="12" customHeight="1" x14ac:dyDescent="0.2">
      <c r="A224" s="55">
        <v>2020</v>
      </c>
      <c r="B224" s="55" t="s">
        <v>12</v>
      </c>
      <c r="C224" s="82">
        <v>0</v>
      </c>
      <c r="D224" s="82">
        <v>15251.43643</v>
      </c>
      <c r="E224" s="78">
        <v>496.16288000000003</v>
      </c>
      <c r="F224" s="78">
        <v>14755.27355</v>
      </c>
      <c r="G224" s="82">
        <v>0</v>
      </c>
      <c r="H224" s="82"/>
      <c r="I224" s="82">
        <v>0</v>
      </c>
      <c r="J224" s="82">
        <v>866.47669999999994</v>
      </c>
      <c r="K224" s="82">
        <v>0</v>
      </c>
      <c r="L224" s="82"/>
      <c r="M224" s="82">
        <v>0</v>
      </c>
      <c r="N224" s="82">
        <v>2679.9524400000005</v>
      </c>
      <c r="O224" s="78">
        <v>2679.9524400000005</v>
      </c>
      <c r="P224" s="78">
        <v>0</v>
      </c>
      <c r="Q224" s="73">
        <v>18797.865570000002</v>
      </c>
      <c r="R224" s="78">
        <v>4042.5920200000005</v>
      </c>
      <c r="S224" s="78">
        <v>14755.27355</v>
      </c>
      <c r="T224" s="47"/>
      <c r="U224" s="57">
        <v>0</v>
      </c>
      <c r="V224" s="57">
        <v>4494.6821399999999</v>
      </c>
      <c r="W224" s="57"/>
      <c r="X224" s="57"/>
      <c r="Y224" s="57">
        <v>0</v>
      </c>
      <c r="Z224" s="57">
        <v>777.27616</v>
      </c>
      <c r="AA224" s="57">
        <v>5271.9583000000002</v>
      </c>
      <c r="AB224" s="45"/>
      <c r="AC224" s="57">
        <v>0</v>
      </c>
      <c r="AD224" s="78">
        <v>0</v>
      </c>
      <c r="AE224" s="78">
        <v>0</v>
      </c>
      <c r="AF224" s="82">
        <v>486.36815999999999</v>
      </c>
      <c r="AG224" s="78">
        <v>0</v>
      </c>
      <c r="AH224" s="78">
        <v>486.36815999999999</v>
      </c>
      <c r="AI224" s="82">
        <v>0</v>
      </c>
      <c r="AJ224" s="82">
        <v>238.96119000000002</v>
      </c>
      <c r="AK224" s="78">
        <v>0</v>
      </c>
      <c r="AL224" s="78">
        <v>238.96119000000002</v>
      </c>
      <c r="AM224" s="82">
        <v>0</v>
      </c>
      <c r="AN224" s="78">
        <v>0</v>
      </c>
      <c r="AO224" s="79">
        <v>0</v>
      </c>
      <c r="AP224" s="82">
        <v>0</v>
      </c>
      <c r="AQ224" s="78">
        <v>0</v>
      </c>
      <c r="AR224" s="52">
        <v>0</v>
      </c>
      <c r="AS224" s="48">
        <v>0</v>
      </c>
      <c r="AT224" s="78">
        <v>0</v>
      </c>
      <c r="AU224" s="52">
        <v>0</v>
      </c>
      <c r="AV224" s="48">
        <v>3065.5074599999998</v>
      </c>
      <c r="AW224" s="52">
        <v>3065.5074599999998</v>
      </c>
      <c r="AX224" s="52">
        <v>0</v>
      </c>
      <c r="AY224" s="87">
        <v>3790.8368099999998</v>
      </c>
      <c r="AZ224" s="52">
        <v>3065.5074599999998</v>
      </c>
      <c r="BA224" s="52">
        <v>725.32934999999998</v>
      </c>
      <c r="BB224" s="48"/>
      <c r="BC224" s="57">
        <v>0</v>
      </c>
      <c r="BD224" s="57">
        <v>0</v>
      </c>
      <c r="BE224" s="57">
        <v>879.65721999999994</v>
      </c>
      <c r="BF224" s="57">
        <v>0</v>
      </c>
      <c r="BG224" s="57">
        <v>879.65721999999994</v>
      </c>
      <c r="BH224" s="46"/>
      <c r="BI224" s="57">
        <v>0</v>
      </c>
      <c r="BJ224" s="57">
        <v>0</v>
      </c>
      <c r="BK224" s="57">
        <v>0</v>
      </c>
      <c r="BL224" s="57">
        <v>0</v>
      </c>
      <c r="BM224" s="57">
        <v>0</v>
      </c>
      <c r="BN224" s="57">
        <v>0</v>
      </c>
      <c r="BO224" s="57">
        <v>0</v>
      </c>
      <c r="BP224" s="46"/>
      <c r="BQ224" s="87">
        <v>28740.317900000002</v>
      </c>
      <c r="BR224" s="52">
        <v>13259.714999999998</v>
      </c>
      <c r="BS224" s="52">
        <v>15480.6029</v>
      </c>
    </row>
    <row r="225" spans="1:71" ht="12" customHeight="1" x14ac:dyDescent="0.2">
      <c r="A225" s="55">
        <v>2020</v>
      </c>
      <c r="B225" s="55" t="s">
        <v>13</v>
      </c>
      <c r="C225" s="82">
        <v>0</v>
      </c>
      <c r="D225" s="82">
        <v>15275.268669999999</v>
      </c>
      <c r="E225" s="78">
        <v>997.70074999999997</v>
      </c>
      <c r="F225" s="78">
        <v>14277.56792</v>
      </c>
      <c r="G225" s="82">
        <v>0</v>
      </c>
      <c r="H225" s="82"/>
      <c r="I225" s="82">
        <v>0</v>
      </c>
      <c r="J225" s="82">
        <v>962.54320999999993</v>
      </c>
      <c r="K225" s="82">
        <v>0</v>
      </c>
      <c r="L225" s="82"/>
      <c r="M225" s="82">
        <v>0</v>
      </c>
      <c r="N225" s="82">
        <v>2911.5128899999995</v>
      </c>
      <c r="O225" s="78">
        <v>2911.5128899999995</v>
      </c>
      <c r="P225" s="78">
        <v>0</v>
      </c>
      <c r="Q225" s="73">
        <v>19149.324769999999</v>
      </c>
      <c r="R225" s="78">
        <v>4871.7568499999998</v>
      </c>
      <c r="S225" s="78">
        <v>14277.56792</v>
      </c>
      <c r="T225" s="47"/>
      <c r="U225" s="57">
        <v>0</v>
      </c>
      <c r="V225" s="57">
        <v>3067.5749699999997</v>
      </c>
      <c r="W225" s="57"/>
      <c r="X225" s="57"/>
      <c r="Y225" s="57">
        <v>0</v>
      </c>
      <c r="Z225" s="57">
        <v>1721.0790200000001</v>
      </c>
      <c r="AA225" s="57">
        <v>4788.6539899999998</v>
      </c>
      <c r="AB225" s="45"/>
      <c r="AC225" s="57">
        <v>0</v>
      </c>
      <c r="AD225" s="78">
        <v>0</v>
      </c>
      <c r="AE225" s="78">
        <v>0</v>
      </c>
      <c r="AF225" s="82">
        <v>1195.8063800000002</v>
      </c>
      <c r="AG225" s="78">
        <v>0</v>
      </c>
      <c r="AH225" s="78">
        <v>1195.8063800000002</v>
      </c>
      <c r="AI225" s="82">
        <v>17.843</v>
      </c>
      <c r="AJ225" s="82">
        <v>664.85884999999996</v>
      </c>
      <c r="AK225" s="78">
        <v>0</v>
      </c>
      <c r="AL225" s="78">
        <v>664.85884999999996</v>
      </c>
      <c r="AM225" s="82">
        <v>0</v>
      </c>
      <c r="AN225" s="78">
        <v>0</v>
      </c>
      <c r="AO225" s="79">
        <v>0</v>
      </c>
      <c r="AP225" s="82">
        <v>43.58717</v>
      </c>
      <c r="AQ225" s="78">
        <v>0</v>
      </c>
      <c r="AR225" s="52">
        <v>43.58717</v>
      </c>
      <c r="AS225" s="48">
        <v>0</v>
      </c>
      <c r="AT225" s="78">
        <v>0</v>
      </c>
      <c r="AU225" s="52">
        <v>0</v>
      </c>
      <c r="AV225" s="48">
        <v>4332.0272300000006</v>
      </c>
      <c r="AW225" s="52">
        <v>4332.0272300000006</v>
      </c>
      <c r="AX225" s="52">
        <v>0</v>
      </c>
      <c r="AY225" s="87">
        <v>6254.1226300000008</v>
      </c>
      <c r="AZ225" s="52">
        <v>4349.8702300000004</v>
      </c>
      <c r="BA225" s="52">
        <v>1904.2524000000001</v>
      </c>
      <c r="BB225" s="48"/>
      <c r="BC225" s="57">
        <v>0</v>
      </c>
      <c r="BD225" s="57">
        <v>0</v>
      </c>
      <c r="BE225" s="57">
        <v>875.99482</v>
      </c>
      <c r="BF225" s="57">
        <v>0</v>
      </c>
      <c r="BG225" s="57">
        <v>875.99482</v>
      </c>
      <c r="BH225" s="46"/>
      <c r="BI225" s="57">
        <v>0</v>
      </c>
      <c r="BJ225" s="57">
        <v>0</v>
      </c>
      <c r="BK225" s="57">
        <v>0</v>
      </c>
      <c r="BL225" s="57">
        <v>0</v>
      </c>
      <c r="BM225" s="57">
        <v>0</v>
      </c>
      <c r="BN225" s="57">
        <v>0</v>
      </c>
      <c r="BO225" s="57">
        <v>0</v>
      </c>
      <c r="BP225" s="46"/>
      <c r="BQ225" s="87">
        <v>31068.09621</v>
      </c>
      <c r="BR225" s="52">
        <v>14886.275890000001</v>
      </c>
      <c r="BS225" s="52">
        <v>16181.820319999999</v>
      </c>
    </row>
    <row r="226" spans="1:71" ht="12" customHeight="1" x14ac:dyDescent="0.2">
      <c r="A226" s="55">
        <v>2020</v>
      </c>
      <c r="B226" s="55" t="s">
        <v>14</v>
      </c>
      <c r="C226" s="82">
        <v>0</v>
      </c>
      <c r="D226" s="82">
        <v>13425.505669999999</v>
      </c>
      <c r="E226" s="78">
        <v>495.07340000000005</v>
      </c>
      <c r="F226" s="78">
        <v>12930.432269999999</v>
      </c>
      <c r="G226" s="82">
        <v>0</v>
      </c>
      <c r="H226" s="82"/>
      <c r="I226" s="82">
        <v>0</v>
      </c>
      <c r="J226" s="82">
        <v>1007.7839799999999</v>
      </c>
      <c r="K226" s="82">
        <v>0</v>
      </c>
      <c r="L226" s="82"/>
      <c r="M226" s="82">
        <v>0</v>
      </c>
      <c r="N226" s="82">
        <v>7997.4611899999991</v>
      </c>
      <c r="O226" s="78">
        <v>7997.4611899999991</v>
      </c>
      <c r="P226" s="78">
        <v>0</v>
      </c>
      <c r="Q226" s="73">
        <v>22430.750840000001</v>
      </c>
      <c r="R226" s="78">
        <v>9500.3185699999995</v>
      </c>
      <c r="S226" s="78">
        <v>12930.432269999999</v>
      </c>
      <c r="T226" s="47"/>
      <c r="U226" s="57">
        <v>0</v>
      </c>
      <c r="V226" s="57">
        <v>4069.7309399999999</v>
      </c>
      <c r="W226" s="57"/>
      <c r="X226" s="57"/>
      <c r="Y226" s="57">
        <v>0</v>
      </c>
      <c r="Z226" s="57">
        <v>0</v>
      </c>
      <c r="AA226" s="57">
        <v>4069.7309399999999</v>
      </c>
      <c r="AB226" s="45"/>
      <c r="AC226" s="57">
        <v>0</v>
      </c>
      <c r="AD226" s="78">
        <v>0</v>
      </c>
      <c r="AE226" s="78">
        <v>0</v>
      </c>
      <c r="AF226" s="82">
        <v>2974.0336499999999</v>
      </c>
      <c r="AG226" s="78">
        <v>0</v>
      </c>
      <c r="AH226" s="78">
        <v>2974.0336499999999</v>
      </c>
      <c r="AI226" s="82">
        <v>0</v>
      </c>
      <c r="AJ226" s="82">
        <v>1408.8345200000001</v>
      </c>
      <c r="AK226" s="78">
        <v>0</v>
      </c>
      <c r="AL226" s="78">
        <v>1408.8345200000001</v>
      </c>
      <c r="AM226" s="82">
        <v>0</v>
      </c>
      <c r="AN226" s="78">
        <v>0</v>
      </c>
      <c r="AO226" s="79">
        <v>0</v>
      </c>
      <c r="AP226" s="82">
        <v>317.87945999999999</v>
      </c>
      <c r="AQ226" s="78">
        <v>0</v>
      </c>
      <c r="AR226" s="52">
        <v>317.87945999999999</v>
      </c>
      <c r="AS226" s="48">
        <v>0</v>
      </c>
      <c r="AT226" s="78">
        <v>0</v>
      </c>
      <c r="AU226" s="52">
        <v>0</v>
      </c>
      <c r="AV226" s="48">
        <v>1627.9855400000001</v>
      </c>
      <c r="AW226" s="52">
        <v>1627.9855400000001</v>
      </c>
      <c r="AX226" s="52">
        <v>0</v>
      </c>
      <c r="AY226" s="87">
        <v>6328.7331699999995</v>
      </c>
      <c r="AZ226" s="52">
        <v>1627.9855400000001</v>
      </c>
      <c r="BA226" s="52">
        <v>4700.7476299999998</v>
      </c>
      <c r="BB226" s="48"/>
      <c r="BC226" s="57">
        <v>0</v>
      </c>
      <c r="BD226" s="57">
        <v>0</v>
      </c>
      <c r="BE226" s="57">
        <v>879.56299000000001</v>
      </c>
      <c r="BF226" s="57">
        <v>0</v>
      </c>
      <c r="BG226" s="57">
        <v>879.56299000000001</v>
      </c>
      <c r="BH226" s="46"/>
      <c r="BI226" s="57">
        <v>0</v>
      </c>
      <c r="BJ226" s="57">
        <v>0</v>
      </c>
      <c r="BK226" s="57">
        <v>0</v>
      </c>
      <c r="BL226" s="57">
        <v>0</v>
      </c>
      <c r="BM226" s="57">
        <v>0</v>
      </c>
      <c r="BN226" s="57">
        <v>0</v>
      </c>
      <c r="BO226" s="57">
        <v>0</v>
      </c>
      <c r="BP226" s="46"/>
      <c r="BQ226" s="87">
        <v>33708.77794</v>
      </c>
      <c r="BR226" s="52">
        <v>16077.598039999999</v>
      </c>
      <c r="BS226" s="52">
        <v>17631.179899999999</v>
      </c>
    </row>
    <row r="227" spans="1:71" ht="12" customHeight="1" x14ac:dyDescent="0.2">
      <c r="A227" s="55">
        <v>2020</v>
      </c>
      <c r="B227" s="55" t="s">
        <v>15</v>
      </c>
      <c r="C227" s="82">
        <v>4056.2966799999999</v>
      </c>
      <c r="D227" s="82">
        <v>106205.49172000001</v>
      </c>
      <c r="E227" s="78">
        <v>5573.9987700000001</v>
      </c>
      <c r="F227" s="78">
        <v>100631.49295</v>
      </c>
      <c r="G227" s="82">
        <v>956.36807999999996</v>
      </c>
      <c r="H227" s="82"/>
      <c r="I227" s="82">
        <v>967.62381000000005</v>
      </c>
      <c r="J227" s="82">
        <v>10568.952429999999</v>
      </c>
      <c r="K227" s="82">
        <v>0</v>
      </c>
      <c r="L227" s="82"/>
      <c r="M227" s="82">
        <v>0</v>
      </c>
      <c r="N227" s="82">
        <v>44195.48171</v>
      </c>
      <c r="O227" s="78">
        <v>44195.48171</v>
      </c>
      <c r="P227" s="78">
        <v>0</v>
      </c>
      <c r="Q227" s="73">
        <v>166950.21442999999</v>
      </c>
      <c r="R227" s="78">
        <v>66318.721479999993</v>
      </c>
      <c r="S227" s="78">
        <v>100631.49295</v>
      </c>
      <c r="T227" s="47"/>
      <c r="U227" s="57">
        <v>1690.8211899999999</v>
      </c>
      <c r="V227" s="57">
        <v>57116.831100000003</v>
      </c>
      <c r="W227" s="57"/>
      <c r="X227" s="57"/>
      <c r="Y227" s="57">
        <v>1875.4945600000001</v>
      </c>
      <c r="Z227" s="57">
        <v>24080.892610000003</v>
      </c>
      <c r="AA227" s="57">
        <v>84764.03946</v>
      </c>
      <c r="AB227" s="45"/>
      <c r="AC227" s="57">
        <v>564.63469000000009</v>
      </c>
      <c r="AD227" s="78">
        <v>0</v>
      </c>
      <c r="AE227" s="78">
        <v>564.63469000000009</v>
      </c>
      <c r="AF227" s="82">
        <v>22227.448980000005</v>
      </c>
      <c r="AG227" s="78">
        <v>1803.71253</v>
      </c>
      <c r="AH227" s="78">
        <v>20423.736450000004</v>
      </c>
      <c r="AI227" s="82">
        <v>223.73400000000001</v>
      </c>
      <c r="AJ227" s="82">
        <v>18310.453669999999</v>
      </c>
      <c r="AK227" s="78">
        <v>5520.1865799999996</v>
      </c>
      <c r="AL227" s="78">
        <v>12790.267089999999</v>
      </c>
      <c r="AM227" s="82">
        <v>0</v>
      </c>
      <c r="AN227" s="78">
        <v>0</v>
      </c>
      <c r="AO227" s="79">
        <v>0</v>
      </c>
      <c r="AP227" s="82">
        <v>1856.8003899999999</v>
      </c>
      <c r="AQ227" s="78">
        <v>0</v>
      </c>
      <c r="AR227" s="52">
        <v>1856.8003899999999</v>
      </c>
      <c r="AS227" s="48">
        <v>0</v>
      </c>
      <c r="AT227" s="78">
        <v>0</v>
      </c>
      <c r="AU227" s="52">
        <v>0</v>
      </c>
      <c r="AV227" s="48">
        <v>38080.545510000004</v>
      </c>
      <c r="AW227" s="52">
        <v>38080.545510000004</v>
      </c>
      <c r="AX227" s="52">
        <v>0</v>
      </c>
      <c r="AY227" s="87">
        <v>81263.617239999992</v>
      </c>
      <c r="AZ227" s="52">
        <v>45628.178620000006</v>
      </c>
      <c r="BA227" s="52">
        <v>35635.438620000001</v>
      </c>
      <c r="BB227" s="48"/>
      <c r="BC227" s="57">
        <v>0</v>
      </c>
      <c r="BD227" s="57">
        <v>0</v>
      </c>
      <c r="BE227" s="57">
        <v>32248.145479999999</v>
      </c>
      <c r="BF227" s="57">
        <v>0</v>
      </c>
      <c r="BG227" s="57">
        <v>32248.145479999999</v>
      </c>
      <c r="BH227" s="46"/>
      <c r="BI227" s="57">
        <v>0</v>
      </c>
      <c r="BJ227" s="57">
        <v>0</v>
      </c>
      <c r="BK227" s="57">
        <v>0</v>
      </c>
      <c r="BL227" s="57">
        <v>0</v>
      </c>
      <c r="BM227" s="57">
        <v>0</v>
      </c>
      <c r="BN227" s="57">
        <v>0</v>
      </c>
      <c r="BO227" s="57">
        <v>0</v>
      </c>
      <c r="BP227" s="46"/>
      <c r="BQ227" s="87">
        <v>365226.01660999999</v>
      </c>
      <c r="BR227" s="52">
        <v>228959.08504000003</v>
      </c>
      <c r="BS227" s="52">
        <v>136266.93157000002</v>
      </c>
    </row>
    <row r="228" spans="1:71" ht="12" customHeight="1" x14ac:dyDescent="0.2">
      <c r="A228" s="55">
        <v>2021</v>
      </c>
      <c r="B228" s="55" t="s">
        <v>3</v>
      </c>
      <c r="C228" s="82">
        <v>0</v>
      </c>
      <c r="D228" s="82">
        <v>15351.29458</v>
      </c>
      <c r="E228" s="78">
        <v>2885.4743100000001</v>
      </c>
      <c r="F228" s="78">
        <v>12465.82027</v>
      </c>
      <c r="G228" s="82">
        <v>0</v>
      </c>
      <c r="H228" s="82">
        <v>0</v>
      </c>
      <c r="I228" s="82">
        <v>913.14695999999992</v>
      </c>
      <c r="J228" s="82">
        <v>997.22550000000001</v>
      </c>
      <c r="K228" s="82">
        <v>0</v>
      </c>
      <c r="L228" s="82"/>
      <c r="M228" s="82">
        <v>0</v>
      </c>
      <c r="N228" s="82">
        <v>2758.3588799999998</v>
      </c>
      <c r="O228" s="78">
        <v>2758.3588799999998</v>
      </c>
      <c r="P228" s="78">
        <v>0</v>
      </c>
      <c r="Q228" s="73">
        <v>20020.02592</v>
      </c>
      <c r="R228" s="78">
        <v>7554.2056499999999</v>
      </c>
      <c r="S228" s="78">
        <v>12465.82027</v>
      </c>
      <c r="T228" s="47"/>
      <c r="U228" s="57">
        <v>0</v>
      </c>
      <c r="V228" s="57">
        <v>1961.2759199999998</v>
      </c>
      <c r="W228" s="57"/>
      <c r="X228" s="57"/>
      <c r="Y228" s="57">
        <v>0</v>
      </c>
      <c r="Z228" s="57">
        <v>1843.0752199999999</v>
      </c>
      <c r="AA228" s="57">
        <v>3804.3511399999998</v>
      </c>
      <c r="AB228" s="45"/>
      <c r="AC228" s="57">
        <v>0</v>
      </c>
      <c r="AD228" s="78">
        <v>0</v>
      </c>
      <c r="AE228" s="78">
        <v>0</v>
      </c>
      <c r="AF228" s="82">
        <v>3665.6963300000029</v>
      </c>
      <c r="AG228" s="78">
        <v>0</v>
      </c>
      <c r="AH228" s="78">
        <v>3665.6963300000029</v>
      </c>
      <c r="AI228" s="82">
        <v>13.327</v>
      </c>
      <c r="AJ228" s="82">
        <v>2425.32071</v>
      </c>
      <c r="AK228" s="78">
        <v>0</v>
      </c>
      <c r="AL228" s="78">
        <v>2425.32071</v>
      </c>
      <c r="AM228" s="82">
        <v>0</v>
      </c>
      <c r="AN228" s="78">
        <v>0</v>
      </c>
      <c r="AO228" s="79">
        <v>0</v>
      </c>
      <c r="AP228" s="82">
        <v>358.31841000000003</v>
      </c>
      <c r="AQ228" s="78">
        <v>0.59632000000000007</v>
      </c>
      <c r="AR228" s="52">
        <v>357.72209000000004</v>
      </c>
      <c r="AS228" s="48">
        <v>0</v>
      </c>
      <c r="AT228" s="78">
        <v>0</v>
      </c>
      <c r="AU228" s="52">
        <v>0</v>
      </c>
      <c r="AV228" s="48">
        <v>2640.5592399999996</v>
      </c>
      <c r="AW228" s="52">
        <v>2640.5592399999996</v>
      </c>
      <c r="AX228" s="52">
        <v>0</v>
      </c>
      <c r="AY228" s="87">
        <v>9103.2216900000021</v>
      </c>
      <c r="AZ228" s="52">
        <v>2654.4825599999995</v>
      </c>
      <c r="BA228" s="52">
        <v>6448.7391300000027</v>
      </c>
      <c r="BB228" s="48"/>
      <c r="BC228" s="57">
        <v>0</v>
      </c>
      <c r="BD228" s="57">
        <v>0</v>
      </c>
      <c r="BE228" s="57">
        <v>1799.52054</v>
      </c>
      <c r="BF228" s="57">
        <v>0</v>
      </c>
      <c r="BG228" s="57">
        <v>1799.52054</v>
      </c>
      <c r="BH228" s="46"/>
      <c r="BI228" s="57">
        <v>0</v>
      </c>
      <c r="BJ228" s="57">
        <v>0</v>
      </c>
      <c r="BK228" s="57">
        <v>0</v>
      </c>
      <c r="BL228" s="57">
        <v>0</v>
      </c>
      <c r="BM228" s="57">
        <v>0</v>
      </c>
      <c r="BN228" s="57">
        <v>0</v>
      </c>
      <c r="BO228" s="57">
        <v>0</v>
      </c>
      <c r="BP228" s="46"/>
      <c r="BQ228" s="87">
        <v>34727.119290000002</v>
      </c>
      <c r="BR228" s="52">
        <v>15812.559889999999</v>
      </c>
      <c r="BS228" s="52">
        <v>18914.559400000002</v>
      </c>
    </row>
    <row r="229" spans="1:71" ht="12" customHeight="1" x14ac:dyDescent="0.2">
      <c r="A229" s="55">
        <v>2021</v>
      </c>
      <c r="B229" s="55" t="s">
        <v>4</v>
      </c>
      <c r="C229" s="82">
        <v>0</v>
      </c>
      <c r="D229" s="82">
        <v>14413.239569999998</v>
      </c>
      <c r="E229" s="78">
        <v>494.58694000000003</v>
      </c>
      <c r="F229" s="78">
        <v>13918.652629999999</v>
      </c>
      <c r="G229" s="82">
        <v>0</v>
      </c>
      <c r="H229" s="82">
        <v>0</v>
      </c>
      <c r="I229" s="82">
        <v>0</v>
      </c>
      <c r="J229" s="82">
        <v>0</v>
      </c>
      <c r="K229" s="82">
        <v>0</v>
      </c>
      <c r="L229" s="82"/>
      <c r="M229" s="82">
        <v>0</v>
      </c>
      <c r="N229" s="82">
        <v>2837.2177499999998</v>
      </c>
      <c r="O229" s="78">
        <v>2837.2177499999998</v>
      </c>
      <c r="P229" s="78">
        <v>0</v>
      </c>
      <c r="Q229" s="73">
        <v>17250.457319999998</v>
      </c>
      <c r="R229" s="78">
        <v>3331.8046899999999</v>
      </c>
      <c r="S229" s="78">
        <v>13918.652629999999</v>
      </c>
      <c r="T229" s="47"/>
      <c r="U229" s="57">
        <v>0</v>
      </c>
      <c r="V229" s="57">
        <v>3034.0761200000002</v>
      </c>
      <c r="W229" s="57"/>
      <c r="X229" s="57"/>
      <c r="Y229" s="57">
        <v>0</v>
      </c>
      <c r="Z229" s="57">
        <v>2830.8180200000002</v>
      </c>
      <c r="AA229" s="57">
        <v>5864.8941400000003</v>
      </c>
      <c r="AB229" s="45"/>
      <c r="AC229" s="57">
        <v>0</v>
      </c>
      <c r="AD229" s="78">
        <v>0</v>
      </c>
      <c r="AE229" s="78">
        <v>0</v>
      </c>
      <c r="AF229" s="82">
        <v>201.45599999999999</v>
      </c>
      <c r="AG229" s="78">
        <v>0</v>
      </c>
      <c r="AH229" s="78">
        <v>201.45599999999999</v>
      </c>
      <c r="AI229" s="82">
        <v>0</v>
      </c>
      <c r="AJ229" s="82">
        <v>462.32555999999994</v>
      </c>
      <c r="AK229" s="78">
        <v>0</v>
      </c>
      <c r="AL229" s="78">
        <v>462.32555999999994</v>
      </c>
      <c r="AM229" s="82">
        <v>0</v>
      </c>
      <c r="AN229" s="78">
        <v>0</v>
      </c>
      <c r="AO229" s="79">
        <v>0</v>
      </c>
      <c r="AP229" s="82">
        <v>209.29938000000001</v>
      </c>
      <c r="AQ229" s="78">
        <v>0</v>
      </c>
      <c r="AR229" s="52">
        <v>209.29938000000001</v>
      </c>
      <c r="AS229" s="48">
        <v>0</v>
      </c>
      <c r="AT229" s="78">
        <v>0</v>
      </c>
      <c r="AU229" s="52">
        <v>0</v>
      </c>
      <c r="AV229" s="48">
        <v>4602.9399199999998</v>
      </c>
      <c r="AW229" s="52">
        <v>4602.9399199999998</v>
      </c>
      <c r="AX229" s="52">
        <v>0</v>
      </c>
      <c r="AY229" s="87">
        <v>5476.0208599999996</v>
      </c>
      <c r="AZ229" s="52">
        <v>4602.9399199999998</v>
      </c>
      <c r="BA229" s="52">
        <v>873.08093999999994</v>
      </c>
      <c r="BB229" s="48"/>
      <c r="BC229" s="57">
        <v>0</v>
      </c>
      <c r="BD229" s="57">
        <v>0</v>
      </c>
      <c r="BE229" s="57">
        <v>1788.3342600000001</v>
      </c>
      <c r="BF229" s="57">
        <v>0</v>
      </c>
      <c r="BG229" s="57">
        <v>1788.3342600000001</v>
      </c>
      <c r="BH229" s="46"/>
      <c r="BI229" s="57">
        <v>0</v>
      </c>
      <c r="BJ229" s="57">
        <v>0</v>
      </c>
      <c r="BK229" s="57">
        <v>0</v>
      </c>
      <c r="BL229" s="57">
        <v>0</v>
      </c>
      <c r="BM229" s="57">
        <v>0</v>
      </c>
      <c r="BN229" s="57">
        <v>0</v>
      </c>
      <c r="BO229" s="57">
        <v>0</v>
      </c>
      <c r="BP229" s="46"/>
      <c r="BQ229" s="87">
        <v>30379.706579999998</v>
      </c>
      <c r="BR229" s="52">
        <v>15587.973010000002</v>
      </c>
      <c r="BS229" s="52">
        <v>14791.733569999999</v>
      </c>
    </row>
    <row r="230" spans="1:71" ht="12" customHeight="1" x14ac:dyDescent="0.2">
      <c r="A230" s="55">
        <v>2021</v>
      </c>
      <c r="B230" s="55" t="s">
        <v>5</v>
      </c>
      <c r="C230" s="82">
        <v>0</v>
      </c>
      <c r="D230" s="82">
        <v>15965.866459999999</v>
      </c>
      <c r="E230" s="78">
        <v>494.1696</v>
      </c>
      <c r="F230" s="78">
        <v>15471.69686</v>
      </c>
      <c r="G230" s="82">
        <v>0</v>
      </c>
      <c r="H230" s="82">
        <v>0</v>
      </c>
      <c r="I230" s="82">
        <v>0</v>
      </c>
      <c r="J230" s="82">
        <v>979.64846</v>
      </c>
      <c r="K230" s="82">
        <v>0</v>
      </c>
      <c r="L230" s="82"/>
      <c r="M230" s="82">
        <v>0</v>
      </c>
      <c r="N230" s="82">
        <v>4633.5956699999997</v>
      </c>
      <c r="O230" s="78">
        <v>4633.5956699999997</v>
      </c>
      <c r="P230" s="78">
        <v>0</v>
      </c>
      <c r="Q230" s="73">
        <v>21579.11059</v>
      </c>
      <c r="R230" s="78">
        <v>6107.4137300000002</v>
      </c>
      <c r="S230" s="78">
        <v>15471.69686</v>
      </c>
      <c r="T230" s="47"/>
      <c r="U230" s="57">
        <v>0</v>
      </c>
      <c r="V230" s="57">
        <v>3307.7588600000004</v>
      </c>
      <c r="W230" s="57"/>
      <c r="X230" s="57"/>
      <c r="Y230" s="57">
        <v>0</v>
      </c>
      <c r="Z230" s="57">
        <v>859.71456999999998</v>
      </c>
      <c r="AA230" s="57">
        <v>4167.47343</v>
      </c>
      <c r="AB230" s="45"/>
      <c r="AC230" s="57">
        <v>0</v>
      </c>
      <c r="AD230" s="78">
        <v>0</v>
      </c>
      <c r="AE230" s="78">
        <v>0</v>
      </c>
      <c r="AF230" s="82">
        <v>475.02982000000009</v>
      </c>
      <c r="AG230" s="78">
        <v>0</v>
      </c>
      <c r="AH230" s="78">
        <v>475.02982000000009</v>
      </c>
      <c r="AI230" s="82">
        <v>32.384</v>
      </c>
      <c r="AJ230" s="82">
        <v>265.62061999999997</v>
      </c>
      <c r="AK230" s="78">
        <v>0</v>
      </c>
      <c r="AL230" s="78">
        <v>265.62061999999997</v>
      </c>
      <c r="AM230" s="82">
        <v>0</v>
      </c>
      <c r="AN230" s="78">
        <v>0</v>
      </c>
      <c r="AO230" s="79">
        <v>0</v>
      </c>
      <c r="AP230" s="82">
        <v>968.63285000000008</v>
      </c>
      <c r="AQ230" s="78">
        <v>0</v>
      </c>
      <c r="AR230" s="52">
        <v>968.63285000000008</v>
      </c>
      <c r="AS230" s="48">
        <v>0</v>
      </c>
      <c r="AT230" s="78">
        <v>0</v>
      </c>
      <c r="AU230" s="52">
        <v>0</v>
      </c>
      <c r="AV230" s="48">
        <v>3229.80636</v>
      </c>
      <c r="AW230" s="52">
        <v>3229.80636</v>
      </c>
      <c r="AX230" s="52">
        <v>0</v>
      </c>
      <c r="AY230" s="87">
        <v>4971.4736499999999</v>
      </c>
      <c r="AZ230" s="52">
        <v>3262.1903600000001</v>
      </c>
      <c r="BA230" s="52">
        <v>1709.2832900000003</v>
      </c>
      <c r="BB230" s="48"/>
      <c r="BC230" s="57">
        <v>0</v>
      </c>
      <c r="BD230" s="57">
        <v>0</v>
      </c>
      <c r="BE230" s="57">
        <v>1790.2098900000001</v>
      </c>
      <c r="BF230" s="57">
        <v>0</v>
      </c>
      <c r="BG230" s="57">
        <v>1790.2098900000001</v>
      </c>
      <c r="BH230" s="46"/>
      <c r="BI230" s="57">
        <v>0</v>
      </c>
      <c r="BJ230" s="57">
        <v>0</v>
      </c>
      <c r="BK230" s="57">
        <v>0</v>
      </c>
      <c r="BL230" s="57">
        <v>0</v>
      </c>
      <c r="BM230" s="57">
        <v>0</v>
      </c>
      <c r="BN230" s="57">
        <v>0</v>
      </c>
      <c r="BO230" s="57">
        <v>0</v>
      </c>
      <c r="BP230" s="46"/>
      <c r="BQ230" s="87">
        <v>32508.26756</v>
      </c>
      <c r="BR230" s="52">
        <v>15327.287410000001</v>
      </c>
      <c r="BS230" s="52">
        <v>17180.980149999999</v>
      </c>
    </row>
    <row r="231" spans="1:71" ht="12" customHeight="1" x14ac:dyDescent="0.2">
      <c r="A231" s="55">
        <v>2021</v>
      </c>
      <c r="B231" s="55" t="s">
        <v>6</v>
      </c>
      <c r="C231" s="82">
        <v>0</v>
      </c>
      <c r="D231" s="82">
        <v>14685.09172</v>
      </c>
      <c r="E231" s="78">
        <v>1369.9</v>
      </c>
      <c r="F231" s="78">
        <v>13315.191720000001</v>
      </c>
      <c r="G231" s="82">
        <v>0</v>
      </c>
      <c r="H231" s="82">
        <v>0</v>
      </c>
      <c r="I231" s="82">
        <v>902.24981000000002</v>
      </c>
      <c r="J231" s="82">
        <v>0</v>
      </c>
      <c r="K231" s="82">
        <v>0</v>
      </c>
      <c r="L231" s="82"/>
      <c r="M231" s="82">
        <v>0</v>
      </c>
      <c r="N231" s="82">
        <v>4862.430159999999</v>
      </c>
      <c r="O231" s="78">
        <v>4862.430159999999</v>
      </c>
      <c r="P231" s="78">
        <v>0</v>
      </c>
      <c r="Q231" s="73">
        <v>20449.771690000001</v>
      </c>
      <c r="R231" s="78">
        <v>7134.5799699999989</v>
      </c>
      <c r="S231" s="78">
        <v>13315.191720000001</v>
      </c>
      <c r="T231" s="47"/>
      <c r="U231" s="57">
        <v>0</v>
      </c>
      <c r="V231" s="57">
        <v>5734.5776900000001</v>
      </c>
      <c r="W231" s="57"/>
      <c r="X231" s="57"/>
      <c r="Y231" s="57">
        <v>0</v>
      </c>
      <c r="Z231" s="57">
        <v>1773.7529500000001</v>
      </c>
      <c r="AA231" s="57">
        <v>7508.3306400000001</v>
      </c>
      <c r="AB231" s="45"/>
      <c r="AC231" s="57">
        <v>0</v>
      </c>
      <c r="AD231" s="78">
        <v>0</v>
      </c>
      <c r="AE231" s="78">
        <v>0</v>
      </c>
      <c r="AF231" s="82">
        <v>1579.14606</v>
      </c>
      <c r="AG231" s="78">
        <v>0</v>
      </c>
      <c r="AH231" s="78">
        <v>1579.14606</v>
      </c>
      <c r="AI231" s="82">
        <v>12.465999999999999</v>
      </c>
      <c r="AJ231" s="82">
        <v>608.62918999999999</v>
      </c>
      <c r="AK231" s="78">
        <v>0</v>
      </c>
      <c r="AL231" s="78">
        <v>608.62918999999999</v>
      </c>
      <c r="AM231" s="82">
        <v>0</v>
      </c>
      <c r="AN231" s="78">
        <v>0</v>
      </c>
      <c r="AO231" s="79">
        <v>0</v>
      </c>
      <c r="AP231" s="82">
        <v>280.51643999999999</v>
      </c>
      <c r="AQ231" s="78">
        <v>0</v>
      </c>
      <c r="AR231" s="52">
        <v>280.51643999999999</v>
      </c>
      <c r="AS231" s="48">
        <v>0</v>
      </c>
      <c r="AT231" s="78">
        <v>0</v>
      </c>
      <c r="AU231" s="52">
        <v>0</v>
      </c>
      <c r="AV231" s="48">
        <v>2182.3946399999995</v>
      </c>
      <c r="AW231" s="52">
        <v>2182.3946399999995</v>
      </c>
      <c r="AX231" s="52">
        <v>0</v>
      </c>
      <c r="AY231" s="87">
        <v>4663.152329999999</v>
      </c>
      <c r="AZ231" s="52">
        <v>2194.8606399999994</v>
      </c>
      <c r="BA231" s="52">
        <v>2468.29169</v>
      </c>
      <c r="BB231" s="48"/>
      <c r="BC231" s="57">
        <v>0</v>
      </c>
      <c r="BD231" s="57">
        <v>0</v>
      </c>
      <c r="BE231" s="57">
        <v>1803.5341299999998</v>
      </c>
      <c r="BF231" s="57">
        <v>0</v>
      </c>
      <c r="BG231" s="57">
        <v>1803.5341299999998</v>
      </c>
      <c r="BH231" s="46"/>
      <c r="BI231" s="57">
        <v>0</v>
      </c>
      <c r="BJ231" s="57">
        <v>0</v>
      </c>
      <c r="BK231" s="57">
        <v>0</v>
      </c>
      <c r="BL231" s="57">
        <v>0</v>
      </c>
      <c r="BM231" s="57">
        <v>0</v>
      </c>
      <c r="BN231" s="57">
        <v>0</v>
      </c>
      <c r="BO231" s="57">
        <v>0</v>
      </c>
      <c r="BP231" s="46"/>
      <c r="BQ231" s="87">
        <v>34424.788789999999</v>
      </c>
      <c r="BR231" s="52">
        <v>18641.305379999998</v>
      </c>
      <c r="BS231" s="52">
        <v>15783.483410000001</v>
      </c>
    </row>
    <row r="232" spans="1:71" ht="12" customHeight="1" x14ac:dyDescent="0.2">
      <c r="A232" s="55">
        <v>2021</v>
      </c>
      <c r="B232" s="55" t="s">
        <v>7</v>
      </c>
      <c r="C232" s="82">
        <v>0</v>
      </c>
      <c r="D232" s="82">
        <v>18122.626470000003</v>
      </c>
      <c r="E232" s="78">
        <v>2487.9362000000001</v>
      </c>
      <c r="F232" s="78">
        <v>15634.690270000001</v>
      </c>
      <c r="G232" s="82">
        <v>0</v>
      </c>
      <c r="H232" s="82">
        <v>0</v>
      </c>
      <c r="I232" s="82">
        <v>0</v>
      </c>
      <c r="J232" s="82">
        <v>1929.9175700000001</v>
      </c>
      <c r="K232" s="82">
        <v>0</v>
      </c>
      <c r="L232" s="82"/>
      <c r="M232" s="82">
        <v>0</v>
      </c>
      <c r="N232" s="82">
        <v>2018.97487</v>
      </c>
      <c r="O232" s="78">
        <v>2018.97487</v>
      </c>
      <c r="P232" s="78">
        <v>0</v>
      </c>
      <c r="Q232" s="73">
        <v>22071.518909999999</v>
      </c>
      <c r="R232" s="78">
        <v>6436.8286399999997</v>
      </c>
      <c r="S232" s="78">
        <v>15634.690270000001</v>
      </c>
      <c r="T232" s="47"/>
      <c r="U232" s="57">
        <v>0</v>
      </c>
      <c r="V232" s="57">
        <v>4602.3415400000004</v>
      </c>
      <c r="W232" s="57"/>
      <c r="X232" s="57"/>
      <c r="Y232" s="57">
        <v>0</v>
      </c>
      <c r="Z232" s="57">
        <v>847.42869999999994</v>
      </c>
      <c r="AA232" s="57">
        <v>5449.7702399999998</v>
      </c>
      <c r="AB232" s="45"/>
      <c r="AC232" s="57">
        <v>0</v>
      </c>
      <c r="AD232" s="78">
        <v>0</v>
      </c>
      <c r="AE232" s="78">
        <v>0</v>
      </c>
      <c r="AF232" s="82">
        <v>270.51673999999997</v>
      </c>
      <c r="AG232" s="78">
        <v>0</v>
      </c>
      <c r="AH232" s="78">
        <v>270.51673999999997</v>
      </c>
      <c r="AI232" s="82">
        <v>16.513000000000002</v>
      </c>
      <c r="AJ232" s="82">
        <v>805.59027999999989</v>
      </c>
      <c r="AK232" s="78">
        <v>0</v>
      </c>
      <c r="AL232" s="78">
        <v>805.59027999999989</v>
      </c>
      <c r="AM232" s="82">
        <v>0</v>
      </c>
      <c r="AN232" s="78">
        <v>0</v>
      </c>
      <c r="AO232" s="79">
        <v>0</v>
      </c>
      <c r="AP232" s="82">
        <v>134.69215</v>
      </c>
      <c r="AQ232" s="78">
        <v>0</v>
      </c>
      <c r="AR232" s="52">
        <v>134.69215</v>
      </c>
      <c r="AS232" s="48">
        <v>0</v>
      </c>
      <c r="AT232" s="78">
        <v>0</v>
      </c>
      <c r="AU232" s="52">
        <v>0</v>
      </c>
      <c r="AV232" s="48">
        <v>2162.70642</v>
      </c>
      <c r="AW232" s="52">
        <v>2162.70642</v>
      </c>
      <c r="AX232" s="52">
        <v>0</v>
      </c>
      <c r="AY232" s="87">
        <v>3390.0185899999997</v>
      </c>
      <c r="AZ232" s="52">
        <v>2179.2194199999999</v>
      </c>
      <c r="BA232" s="52">
        <v>1210.79917</v>
      </c>
      <c r="BB232" s="48"/>
      <c r="BC232" s="57">
        <v>0</v>
      </c>
      <c r="BD232" s="57">
        <v>0</v>
      </c>
      <c r="BE232" s="57">
        <v>1825.4810899999998</v>
      </c>
      <c r="BF232" s="57">
        <v>0</v>
      </c>
      <c r="BG232" s="57">
        <v>1825.4810899999998</v>
      </c>
      <c r="BH232" s="46"/>
      <c r="BI232" s="57">
        <v>0</v>
      </c>
      <c r="BJ232" s="57">
        <v>0</v>
      </c>
      <c r="BK232" s="57">
        <v>0</v>
      </c>
      <c r="BL232" s="57">
        <v>0</v>
      </c>
      <c r="BM232" s="57">
        <v>0</v>
      </c>
      <c r="BN232" s="57">
        <v>0</v>
      </c>
      <c r="BO232" s="57">
        <v>0</v>
      </c>
      <c r="BP232" s="46"/>
      <c r="BQ232" s="87">
        <v>32736.788829999998</v>
      </c>
      <c r="BR232" s="52">
        <v>15891.299389999998</v>
      </c>
      <c r="BS232" s="52">
        <v>16845.489440000001</v>
      </c>
    </row>
    <row r="233" spans="1:71" ht="12" customHeight="1" x14ac:dyDescent="0.2">
      <c r="A233" s="55">
        <v>2021</v>
      </c>
      <c r="B233" s="55" t="s">
        <v>8</v>
      </c>
      <c r="C233" s="82">
        <v>0</v>
      </c>
      <c r="D233" s="82">
        <v>16496.408670000001</v>
      </c>
      <c r="E233" s="78">
        <v>1481.1586000000002</v>
      </c>
      <c r="F233" s="78">
        <v>15015.25007</v>
      </c>
      <c r="G233" s="82">
        <v>0</v>
      </c>
      <c r="H233" s="82">
        <v>0</v>
      </c>
      <c r="I233" s="82">
        <v>0</v>
      </c>
      <c r="J233" s="82">
        <v>961.03514000000007</v>
      </c>
      <c r="K233" s="82">
        <v>0</v>
      </c>
      <c r="L233" s="82"/>
      <c r="M233" s="82">
        <v>0</v>
      </c>
      <c r="N233" s="82">
        <v>3879.1630399999999</v>
      </c>
      <c r="O233" s="78">
        <v>3879.1630399999999</v>
      </c>
      <c r="P233" s="78">
        <v>0</v>
      </c>
      <c r="Q233" s="73">
        <v>21336.60685</v>
      </c>
      <c r="R233" s="78">
        <v>6321.3567800000001</v>
      </c>
      <c r="S233" s="78">
        <v>15015.25007</v>
      </c>
      <c r="T233" s="47"/>
      <c r="U233" s="57">
        <v>0</v>
      </c>
      <c r="V233" s="57">
        <v>1227.972</v>
      </c>
      <c r="W233" s="57"/>
      <c r="X233" s="57"/>
      <c r="Y233" s="57">
        <v>0</v>
      </c>
      <c r="Z233" s="57">
        <v>836.72460000000001</v>
      </c>
      <c r="AA233" s="57">
        <v>2064.6966000000002</v>
      </c>
      <c r="AB233" s="45"/>
      <c r="AC233" s="57">
        <v>0</v>
      </c>
      <c r="AD233" s="78">
        <v>0</v>
      </c>
      <c r="AE233" s="78">
        <v>0</v>
      </c>
      <c r="AF233" s="82">
        <v>461.55619999999999</v>
      </c>
      <c r="AG233" s="78">
        <v>0</v>
      </c>
      <c r="AH233" s="78">
        <v>461.55619999999999</v>
      </c>
      <c r="AI233" s="82">
        <v>13.695</v>
      </c>
      <c r="AJ233" s="82">
        <v>496.56936999999999</v>
      </c>
      <c r="AK233" s="78">
        <v>0</v>
      </c>
      <c r="AL233" s="78">
        <v>496.56936999999999</v>
      </c>
      <c r="AM233" s="82">
        <v>0</v>
      </c>
      <c r="AN233" s="78">
        <v>0</v>
      </c>
      <c r="AO233" s="79">
        <v>0</v>
      </c>
      <c r="AP233" s="82">
        <v>0</v>
      </c>
      <c r="AQ233" s="78">
        <v>0</v>
      </c>
      <c r="AR233" s="52">
        <v>0</v>
      </c>
      <c r="AS233" s="48">
        <v>0</v>
      </c>
      <c r="AT233" s="78">
        <v>0</v>
      </c>
      <c r="AU233" s="52">
        <v>0</v>
      </c>
      <c r="AV233" s="48">
        <v>6587.1915200000012</v>
      </c>
      <c r="AW233" s="52">
        <v>6587.1915200000012</v>
      </c>
      <c r="AX233" s="52">
        <v>0</v>
      </c>
      <c r="AY233" s="87">
        <v>7559.0120900000011</v>
      </c>
      <c r="AZ233" s="52">
        <v>6600.8865200000009</v>
      </c>
      <c r="BA233" s="52">
        <v>958.12556999999993</v>
      </c>
      <c r="BB233" s="48"/>
      <c r="BC233" s="57">
        <v>0</v>
      </c>
      <c r="BD233" s="57">
        <v>0</v>
      </c>
      <c r="BE233" s="57">
        <v>3132.9316600000002</v>
      </c>
      <c r="BF233" s="57">
        <v>0</v>
      </c>
      <c r="BG233" s="57">
        <v>3132.9316600000002</v>
      </c>
      <c r="BH233" s="46"/>
      <c r="BI233" s="57">
        <v>0</v>
      </c>
      <c r="BJ233" s="57">
        <v>0</v>
      </c>
      <c r="BK233" s="57">
        <v>0</v>
      </c>
      <c r="BL233" s="57">
        <v>0</v>
      </c>
      <c r="BM233" s="57">
        <v>0</v>
      </c>
      <c r="BN233" s="57">
        <v>0</v>
      </c>
      <c r="BO233" s="57">
        <v>0</v>
      </c>
      <c r="BP233" s="46"/>
      <c r="BQ233" s="87">
        <v>34093.247199999998</v>
      </c>
      <c r="BR233" s="52">
        <v>18119.87156</v>
      </c>
      <c r="BS233" s="52">
        <v>15973.37564</v>
      </c>
    </row>
    <row r="234" spans="1:71" ht="12" customHeight="1" x14ac:dyDescent="0.2">
      <c r="A234" s="55">
        <v>2021</v>
      </c>
      <c r="B234" s="55" t="s">
        <v>9</v>
      </c>
      <c r="C234" s="82">
        <v>0</v>
      </c>
      <c r="D234" s="82">
        <v>16191.342760000001</v>
      </c>
      <c r="E234" s="78">
        <v>2686.5579500000003</v>
      </c>
      <c r="F234" s="78">
        <v>13504.784810000001</v>
      </c>
      <c r="G234" s="82">
        <v>0</v>
      </c>
      <c r="H234" s="82">
        <v>0</v>
      </c>
      <c r="I234" s="82">
        <v>0</v>
      </c>
      <c r="J234" s="82">
        <v>1096.7136599999999</v>
      </c>
      <c r="K234" s="82">
        <v>0</v>
      </c>
      <c r="L234" s="82"/>
      <c r="M234" s="82">
        <v>0</v>
      </c>
      <c r="N234" s="82">
        <v>1142.1294499999999</v>
      </c>
      <c r="O234" s="78">
        <v>1142.1294499999999</v>
      </c>
      <c r="P234" s="78">
        <v>0</v>
      </c>
      <c r="Q234" s="73">
        <v>18430.185870000001</v>
      </c>
      <c r="R234" s="78">
        <v>4925.4010600000001</v>
      </c>
      <c r="S234" s="78">
        <v>13504.784810000001</v>
      </c>
      <c r="T234" s="47"/>
      <c r="U234" s="57">
        <v>0</v>
      </c>
      <c r="V234" s="57">
        <v>2663.77477</v>
      </c>
      <c r="W234" s="57"/>
      <c r="X234" s="57"/>
      <c r="Y234" s="57">
        <v>0</v>
      </c>
      <c r="Z234" s="57">
        <v>783.88283000000001</v>
      </c>
      <c r="AA234" s="57">
        <v>3447.6576</v>
      </c>
      <c r="AB234" s="45"/>
      <c r="AC234" s="57">
        <v>0</v>
      </c>
      <c r="AD234" s="78">
        <v>0</v>
      </c>
      <c r="AE234" s="78">
        <v>0</v>
      </c>
      <c r="AF234" s="82">
        <v>1585.0718700000002</v>
      </c>
      <c r="AG234" s="78">
        <v>0</v>
      </c>
      <c r="AH234" s="78">
        <v>1585.0718700000002</v>
      </c>
      <c r="AI234" s="82">
        <v>35.143999999999998</v>
      </c>
      <c r="AJ234" s="82">
        <v>1334.9349600000003</v>
      </c>
      <c r="AK234" s="78">
        <v>0</v>
      </c>
      <c r="AL234" s="78">
        <v>1334.9349600000003</v>
      </c>
      <c r="AM234" s="82">
        <v>0</v>
      </c>
      <c r="AN234" s="78">
        <v>0</v>
      </c>
      <c r="AO234" s="79">
        <v>0</v>
      </c>
      <c r="AP234" s="82">
        <v>44.457409999999996</v>
      </c>
      <c r="AQ234" s="78">
        <v>0.19888999999999998</v>
      </c>
      <c r="AR234" s="52">
        <v>44.258519999999997</v>
      </c>
      <c r="AS234" s="48">
        <v>0</v>
      </c>
      <c r="AT234" s="78">
        <v>0</v>
      </c>
      <c r="AU234" s="52">
        <v>0</v>
      </c>
      <c r="AV234" s="48">
        <v>2203.7999399999999</v>
      </c>
      <c r="AW234" s="52">
        <v>2203.7999399999999</v>
      </c>
      <c r="AX234" s="52">
        <v>0</v>
      </c>
      <c r="AY234" s="87">
        <v>5203.4081800000004</v>
      </c>
      <c r="AZ234" s="52">
        <v>2239.1428299999998</v>
      </c>
      <c r="BA234" s="52">
        <v>2964.2653500000001</v>
      </c>
      <c r="BB234" s="48"/>
      <c r="BC234" s="57">
        <v>0</v>
      </c>
      <c r="BD234" s="57">
        <v>0</v>
      </c>
      <c r="BE234" s="57">
        <v>1794.9865500000001</v>
      </c>
      <c r="BF234" s="57">
        <v>0</v>
      </c>
      <c r="BG234" s="57">
        <v>1794.9865500000001</v>
      </c>
      <c r="BH234" s="46"/>
      <c r="BI234" s="57">
        <v>0</v>
      </c>
      <c r="BJ234" s="57">
        <v>0</v>
      </c>
      <c r="BK234" s="57">
        <v>0</v>
      </c>
      <c r="BL234" s="57">
        <v>0</v>
      </c>
      <c r="BM234" s="57">
        <v>0</v>
      </c>
      <c r="BN234" s="57">
        <v>0</v>
      </c>
      <c r="BO234" s="57">
        <v>0</v>
      </c>
      <c r="BP234" s="46"/>
      <c r="BQ234" s="87">
        <v>28876.2382</v>
      </c>
      <c r="BR234" s="52">
        <v>12407.188039999999</v>
      </c>
      <c r="BS234" s="52">
        <v>16469.050160000003</v>
      </c>
    </row>
    <row r="235" spans="1:71" ht="12" customHeight="1" x14ac:dyDescent="0.2">
      <c r="A235" s="55">
        <v>2021</v>
      </c>
      <c r="B235" s="55" t="s">
        <v>10</v>
      </c>
      <c r="C235" s="82">
        <v>0</v>
      </c>
      <c r="D235" s="82">
        <v>13996.70974</v>
      </c>
      <c r="E235" s="78">
        <v>1564.9703300000001</v>
      </c>
      <c r="F235" s="78">
        <v>12431.73941</v>
      </c>
      <c r="G235" s="82">
        <v>0</v>
      </c>
      <c r="H235" s="82">
        <v>0</v>
      </c>
      <c r="I235" s="82">
        <v>0</v>
      </c>
      <c r="J235" s="82">
        <v>2035.42154</v>
      </c>
      <c r="K235" s="82">
        <v>0</v>
      </c>
      <c r="L235" s="82"/>
      <c r="M235" s="82">
        <v>0</v>
      </c>
      <c r="N235" s="82">
        <v>6066.7570500000002</v>
      </c>
      <c r="O235" s="78">
        <v>6066.7570500000002</v>
      </c>
      <c r="P235" s="78">
        <v>0</v>
      </c>
      <c r="Q235" s="73">
        <v>22098.888330000002</v>
      </c>
      <c r="R235" s="78">
        <v>9667.1489199999996</v>
      </c>
      <c r="S235" s="78">
        <v>12431.73941</v>
      </c>
      <c r="T235" s="47"/>
      <c r="U235" s="57">
        <v>0</v>
      </c>
      <c r="V235" s="57">
        <v>5241.002300000001</v>
      </c>
      <c r="W235" s="57"/>
      <c r="X235" s="57"/>
      <c r="Y235" s="57">
        <v>0</v>
      </c>
      <c r="Z235" s="57">
        <v>1662.3109500000003</v>
      </c>
      <c r="AA235" s="57">
        <v>6903.3132500000011</v>
      </c>
      <c r="AB235" s="45"/>
      <c r="AC235" s="57">
        <v>0</v>
      </c>
      <c r="AD235" s="78">
        <v>0</v>
      </c>
      <c r="AE235" s="78">
        <v>0</v>
      </c>
      <c r="AF235" s="82">
        <v>1264.2267300000003</v>
      </c>
      <c r="AG235" s="78">
        <v>0</v>
      </c>
      <c r="AH235" s="78">
        <v>1264.2267300000003</v>
      </c>
      <c r="AI235" s="82">
        <v>70.543999999999997</v>
      </c>
      <c r="AJ235" s="82">
        <v>1133.44199</v>
      </c>
      <c r="AK235" s="78">
        <v>0</v>
      </c>
      <c r="AL235" s="78">
        <v>1133.44199</v>
      </c>
      <c r="AM235" s="82">
        <v>0</v>
      </c>
      <c r="AN235" s="78">
        <v>0</v>
      </c>
      <c r="AO235" s="79">
        <v>0</v>
      </c>
      <c r="AP235" s="82">
        <v>446.86908</v>
      </c>
      <c r="AQ235" s="78">
        <v>0</v>
      </c>
      <c r="AR235" s="52">
        <v>446.86908</v>
      </c>
      <c r="AS235" s="48">
        <v>0</v>
      </c>
      <c r="AT235" s="78">
        <v>0</v>
      </c>
      <c r="AU235" s="52">
        <v>0</v>
      </c>
      <c r="AV235" s="48">
        <v>2227.57656</v>
      </c>
      <c r="AW235" s="52">
        <v>2227.57656</v>
      </c>
      <c r="AX235" s="52">
        <v>0</v>
      </c>
      <c r="AY235" s="87">
        <v>5142.6583600000004</v>
      </c>
      <c r="AZ235" s="52">
        <v>2298.1205599999998</v>
      </c>
      <c r="BA235" s="52">
        <v>2844.5378000000005</v>
      </c>
      <c r="BB235" s="48"/>
      <c r="BC235" s="57">
        <v>0</v>
      </c>
      <c r="BD235" s="57">
        <v>0</v>
      </c>
      <c r="BE235" s="57">
        <v>2523.4420800000003</v>
      </c>
      <c r="BF235" s="57">
        <v>0</v>
      </c>
      <c r="BG235" s="57">
        <v>2523.4420800000003</v>
      </c>
      <c r="BH235" s="46"/>
      <c r="BI235" s="57">
        <v>0</v>
      </c>
      <c r="BJ235" s="57">
        <v>0</v>
      </c>
      <c r="BK235" s="57">
        <v>0</v>
      </c>
      <c r="BL235" s="57">
        <v>0</v>
      </c>
      <c r="BM235" s="57">
        <v>0</v>
      </c>
      <c r="BN235" s="57">
        <v>168.30257</v>
      </c>
      <c r="BO235" s="57">
        <v>168.30257</v>
      </c>
      <c r="BP235" s="46"/>
      <c r="BQ235" s="87">
        <v>36836.604590000003</v>
      </c>
      <c r="BR235" s="52">
        <v>21560.327379999999</v>
      </c>
      <c r="BS235" s="52">
        <v>15276.27721</v>
      </c>
    </row>
    <row r="236" spans="1:71" ht="12" customHeight="1" x14ac:dyDescent="0.2">
      <c r="A236" s="55">
        <v>2021</v>
      </c>
      <c r="B236" s="55" t="s">
        <v>11</v>
      </c>
      <c r="C236" s="82">
        <v>0</v>
      </c>
      <c r="D236" s="82">
        <v>16687.215179999999</v>
      </c>
      <c r="E236" s="78">
        <v>1822.5155</v>
      </c>
      <c r="F236" s="78">
        <v>14864.69968</v>
      </c>
      <c r="G236" s="82">
        <v>0</v>
      </c>
      <c r="H236" s="82">
        <v>0</v>
      </c>
      <c r="I236" s="82">
        <v>1006.5650899999999</v>
      </c>
      <c r="J236" s="82">
        <v>0</v>
      </c>
      <c r="K236" s="82">
        <v>0</v>
      </c>
      <c r="L236" s="82"/>
      <c r="M236" s="82">
        <v>0</v>
      </c>
      <c r="N236" s="82">
        <v>2799.51505</v>
      </c>
      <c r="O236" s="78">
        <v>2799.51505</v>
      </c>
      <c r="P236" s="78">
        <v>0</v>
      </c>
      <c r="Q236" s="73">
        <v>20493.295319999997</v>
      </c>
      <c r="R236" s="78">
        <v>5628.5956399999995</v>
      </c>
      <c r="S236" s="78">
        <v>14864.69968</v>
      </c>
      <c r="T236" s="47"/>
      <c r="U236" s="57">
        <v>0</v>
      </c>
      <c r="V236" s="57">
        <v>5920.2776800000001</v>
      </c>
      <c r="W236" s="57"/>
      <c r="X236" s="57"/>
      <c r="Y236" s="57">
        <v>0</v>
      </c>
      <c r="Z236" s="57">
        <v>832.48572000000001</v>
      </c>
      <c r="AA236" s="57">
        <v>6752.7633999999998</v>
      </c>
      <c r="AB236" s="45"/>
      <c r="AC236" s="57">
        <v>1.76149</v>
      </c>
      <c r="AD236" s="78">
        <v>0</v>
      </c>
      <c r="AE236" s="78">
        <v>1.76149</v>
      </c>
      <c r="AF236" s="82">
        <v>2067.8488899999998</v>
      </c>
      <c r="AG236" s="78">
        <v>0</v>
      </c>
      <c r="AH236" s="78">
        <v>2067.8488899999998</v>
      </c>
      <c r="AI236" s="82">
        <v>47.463000000000001</v>
      </c>
      <c r="AJ236" s="82">
        <v>944.57130000000006</v>
      </c>
      <c r="AK236" s="78">
        <v>0</v>
      </c>
      <c r="AL236" s="78">
        <v>944.57130000000006</v>
      </c>
      <c r="AM236" s="82">
        <v>0</v>
      </c>
      <c r="AN236" s="78">
        <v>0</v>
      </c>
      <c r="AO236" s="79">
        <v>0</v>
      </c>
      <c r="AP236" s="82">
        <v>528.93333999999993</v>
      </c>
      <c r="AQ236" s="78">
        <v>0</v>
      </c>
      <c r="AR236" s="52">
        <v>528.93333999999993</v>
      </c>
      <c r="AS236" s="48">
        <v>0</v>
      </c>
      <c r="AT236" s="78">
        <v>0</v>
      </c>
      <c r="AU236" s="52">
        <v>0</v>
      </c>
      <c r="AV236" s="48">
        <v>0</v>
      </c>
      <c r="AW236" s="52">
        <v>0</v>
      </c>
      <c r="AX236" s="52">
        <v>0</v>
      </c>
      <c r="AY236" s="87">
        <v>3590.5780199999999</v>
      </c>
      <c r="AZ236" s="52">
        <v>47.463000000000001</v>
      </c>
      <c r="BA236" s="52">
        <v>3543.1150199999997</v>
      </c>
      <c r="BB236" s="48"/>
      <c r="BC236" s="57">
        <v>0</v>
      </c>
      <c r="BD236" s="57">
        <v>0</v>
      </c>
      <c r="BE236" s="57">
        <v>4322.4406899999994</v>
      </c>
      <c r="BF236" s="57">
        <v>0</v>
      </c>
      <c r="BG236" s="57">
        <v>4322.4406899999994</v>
      </c>
      <c r="BH236" s="46"/>
      <c r="BI236" s="57">
        <v>0</v>
      </c>
      <c r="BJ236" s="57">
        <v>0</v>
      </c>
      <c r="BK236" s="57">
        <v>0</v>
      </c>
      <c r="BL236" s="57">
        <v>0</v>
      </c>
      <c r="BM236" s="57">
        <v>0</v>
      </c>
      <c r="BN236" s="57">
        <v>0</v>
      </c>
      <c r="BO236" s="57">
        <v>0</v>
      </c>
      <c r="BP236" s="46"/>
      <c r="BQ236" s="87">
        <v>35159.077429999998</v>
      </c>
      <c r="BR236" s="52">
        <v>16751.262729999999</v>
      </c>
      <c r="BS236" s="52">
        <v>18407.814699999999</v>
      </c>
    </row>
    <row r="237" spans="1:71" ht="12" customHeight="1" x14ac:dyDescent="0.2">
      <c r="A237" s="55">
        <v>2021</v>
      </c>
      <c r="B237" s="55" t="s">
        <v>12</v>
      </c>
      <c r="C237" s="82">
        <v>0</v>
      </c>
      <c r="D237" s="82">
        <v>13968.271720000002</v>
      </c>
      <c r="E237" s="78">
        <v>2417.0853700000002</v>
      </c>
      <c r="F237" s="78">
        <v>11551.186350000002</v>
      </c>
      <c r="G237" s="82">
        <v>0</v>
      </c>
      <c r="H237" s="82">
        <v>0</v>
      </c>
      <c r="I237" s="82">
        <v>1083.71651</v>
      </c>
      <c r="J237" s="82">
        <v>0</v>
      </c>
      <c r="K237" s="82">
        <v>0</v>
      </c>
      <c r="L237" s="82"/>
      <c r="M237" s="82">
        <v>0</v>
      </c>
      <c r="N237" s="82">
        <v>6107.70327</v>
      </c>
      <c r="O237" s="78">
        <v>6107.70327</v>
      </c>
      <c r="P237" s="78">
        <v>0</v>
      </c>
      <c r="Q237" s="73">
        <v>21159.691500000001</v>
      </c>
      <c r="R237" s="78">
        <v>9608.5051500000009</v>
      </c>
      <c r="S237" s="78">
        <v>11551.186350000002</v>
      </c>
      <c r="T237" s="47"/>
      <c r="U237" s="57">
        <v>0</v>
      </c>
      <c r="V237" s="57">
        <v>10172.06277</v>
      </c>
      <c r="W237" s="57"/>
      <c r="X237" s="57"/>
      <c r="Y237" s="57">
        <v>864.77263000000005</v>
      </c>
      <c r="Z237" s="57">
        <v>0</v>
      </c>
      <c r="AA237" s="57">
        <v>11036.8354</v>
      </c>
      <c r="AB237" s="45"/>
      <c r="AC237" s="57">
        <v>0</v>
      </c>
      <c r="AD237" s="78">
        <v>0</v>
      </c>
      <c r="AE237" s="78">
        <v>0</v>
      </c>
      <c r="AF237" s="82">
        <v>1883.9520199999999</v>
      </c>
      <c r="AG237" s="78">
        <v>0</v>
      </c>
      <c r="AH237" s="78">
        <v>1883.9520199999999</v>
      </c>
      <c r="AI237" s="82">
        <v>15.225</v>
      </c>
      <c r="AJ237" s="82">
        <v>962.56939999999997</v>
      </c>
      <c r="AK237" s="78">
        <v>0</v>
      </c>
      <c r="AL237" s="78">
        <v>962.56939999999997</v>
      </c>
      <c r="AM237" s="82">
        <v>0</v>
      </c>
      <c r="AN237" s="78">
        <v>0</v>
      </c>
      <c r="AO237" s="79">
        <v>0</v>
      </c>
      <c r="AP237" s="82">
        <v>72.144289999999998</v>
      </c>
      <c r="AQ237" s="78">
        <v>0</v>
      </c>
      <c r="AR237" s="52">
        <v>72.144289999999998</v>
      </c>
      <c r="AS237" s="48">
        <v>0</v>
      </c>
      <c r="AT237" s="78">
        <v>0</v>
      </c>
      <c r="AU237" s="52">
        <v>0</v>
      </c>
      <c r="AV237" s="48">
        <v>2560.8480800000002</v>
      </c>
      <c r="AW237" s="52">
        <v>2560.8480800000002</v>
      </c>
      <c r="AX237" s="52">
        <v>0</v>
      </c>
      <c r="AY237" s="87">
        <v>5494.7387900000003</v>
      </c>
      <c r="AZ237" s="52">
        <v>2576.0730800000001</v>
      </c>
      <c r="BA237" s="52">
        <v>2918.6657100000002</v>
      </c>
      <c r="BB237" s="48"/>
      <c r="BC237" s="57">
        <v>0</v>
      </c>
      <c r="BD237" s="57">
        <v>0</v>
      </c>
      <c r="BE237" s="57">
        <v>2732.7794800000001</v>
      </c>
      <c r="BF237" s="57">
        <v>0</v>
      </c>
      <c r="BG237" s="57">
        <v>2732.7794800000001</v>
      </c>
      <c r="BH237" s="46"/>
      <c r="BI237" s="57">
        <v>0</v>
      </c>
      <c r="BJ237" s="57">
        <v>0</v>
      </c>
      <c r="BK237" s="57">
        <v>0</v>
      </c>
      <c r="BL237" s="57">
        <v>0</v>
      </c>
      <c r="BM237" s="57">
        <v>0</v>
      </c>
      <c r="BN237" s="57">
        <v>0</v>
      </c>
      <c r="BO237" s="57">
        <v>0</v>
      </c>
      <c r="BP237" s="46"/>
      <c r="BQ237" s="87">
        <v>40424.045169999998</v>
      </c>
      <c r="BR237" s="52">
        <v>25954.193110000004</v>
      </c>
      <c r="BS237" s="52">
        <v>14469.852060000001</v>
      </c>
    </row>
    <row r="238" spans="1:71" ht="12" customHeight="1" x14ac:dyDescent="0.2">
      <c r="A238" s="55">
        <v>2021</v>
      </c>
      <c r="B238" s="55" t="s">
        <v>13</v>
      </c>
      <c r="C238" s="82">
        <v>2131.0298499999999</v>
      </c>
      <c r="D238" s="82">
        <v>11753.951599999999</v>
      </c>
      <c r="E238" s="78">
        <v>3622.3346799999995</v>
      </c>
      <c r="F238" s="78">
        <v>8131.6169199999995</v>
      </c>
      <c r="G238" s="82">
        <v>0</v>
      </c>
      <c r="H238" s="82">
        <v>0</v>
      </c>
      <c r="I238" s="82">
        <v>0</v>
      </c>
      <c r="J238" s="82">
        <v>0</v>
      </c>
      <c r="K238" s="82">
        <v>0</v>
      </c>
      <c r="L238" s="82"/>
      <c r="M238" s="82">
        <v>0</v>
      </c>
      <c r="N238" s="82">
        <v>3885.3996400000001</v>
      </c>
      <c r="O238" s="78">
        <v>3885.3996400000001</v>
      </c>
      <c r="P238" s="78">
        <v>0</v>
      </c>
      <c r="Q238" s="73">
        <v>17770.381089999999</v>
      </c>
      <c r="R238" s="78">
        <v>9638.7641699999986</v>
      </c>
      <c r="S238" s="78">
        <v>8131.6169199999995</v>
      </c>
      <c r="T238" s="47"/>
      <c r="U238" s="57">
        <v>0</v>
      </c>
      <c r="V238" s="57">
        <v>7253.0737200000003</v>
      </c>
      <c r="W238" s="57"/>
      <c r="X238" s="57"/>
      <c r="Y238" s="57">
        <v>0</v>
      </c>
      <c r="Z238" s="57">
        <v>0</v>
      </c>
      <c r="AA238" s="57">
        <v>7253.0737200000003</v>
      </c>
      <c r="AB238" s="45"/>
      <c r="AC238" s="57">
        <v>0</v>
      </c>
      <c r="AD238" s="78">
        <v>0</v>
      </c>
      <c r="AE238" s="78">
        <v>0</v>
      </c>
      <c r="AF238" s="82">
        <v>4035.3370500000001</v>
      </c>
      <c r="AG238" s="78">
        <v>1059.0801100000001</v>
      </c>
      <c r="AH238" s="78">
        <v>2976.2569399999998</v>
      </c>
      <c r="AI238" s="82">
        <v>42.771999999999998</v>
      </c>
      <c r="AJ238" s="82">
        <v>1401.5089800000001</v>
      </c>
      <c r="AK238" s="78">
        <v>0</v>
      </c>
      <c r="AL238" s="78">
        <v>1401.5089800000001</v>
      </c>
      <c r="AM238" s="82">
        <v>0</v>
      </c>
      <c r="AN238" s="78">
        <v>0</v>
      </c>
      <c r="AO238" s="79">
        <v>0</v>
      </c>
      <c r="AP238" s="82">
        <v>330.30065000000002</v>
      </c>
      <c r="AQ238" s="78">
        <v>0</v>
      </c>
      <c r="AR238" s="52">
        <v>330.30065000000002</v>
      </c>
      <c r="AS238" s="48">
        <v>0</v>
      </c>
      <c r="AT238" s="78">
        <v>0</v>
      </c>
      <c r="AU238" s="52">
        <v>0</v>
      </c>
      <c r="AV238" s="48">
        <v>3603.5307799999996</v>
      </c>
      <c r="AW238" s="52">
        <v>3603.5307799999996</v>
      </c>
      <c r="AX238" s="52">
        <v>0</v>
      </c>
      <c r="AY238" s="87">
        <v>9413.4494599999998</v>
      </c>
      <c r="AZ238" s="52">
        <v>4705.3828899999999</v>
      </c>
      <c r="BA238" s="52">
        <v>4708.06657</v>
      </c>
      <c r="BB238" s="48"/>
      <c r="BC238" s="57">
        <v>0</v>
      </c>
      <c r="BD238" s="57">
        <v>0</v>
      </c>
      <c r="BE238" s="57">
        <v>1778.7995899999999</v>
      </c>
      <c r="BF238" s="57">
        <v>0</v>
      </c>
      <c r="BG238" s="57">
        <v>1778.7995899999999</v>
      </c>
      <c r="BH238" s="46"/>
      <c r="BI238" s="57">
        <v>669.83420999999998</v>
      </c>
      <c r="BJ238" s="57">
        <v>0</v>
      </c>
      <c r="BK238" s="57">
        <v>0</v>
      </c>
      <c r="BL238" s="57">
        <v>0</v>
      </c>
      <c r="BM238" s="57">
        <v>0</v>
      </c>
      <c r="BN238" s="57">
        <v>0</v>
      </c>
      <c r="BO238" s="57">
        <v>669.83420999999998</v>
      </c>
      <c r="BP238" s="46"/>
      <c r="BQ238" s="87">
        <v>36885.538070000002</v>
      </c>
      <c r="BR238" s="52">
        <v>24045.854579999999</v>
      </c>
      <c r="BS238" s="52">
        <v>12839.683489999999</v>
      </c>
    </row>
    <row r="239" spans="1:71" ht="12" customHeight="1" x14ac:dyDescent="0.2">
      <c r="A239" s="55">
        <v>2021</v>
      </c>
      <c r="B239" s="55" t="s">
        <v>14</v>
      </c>
      <c r="C239" s="82">
        <v>1996.6401099999998</v>
      </c>
      <c r="D239" s="82">
        <v>10358.218220000001</v>
      </c>
      <c r="E239" s="78">
        <v>2098.2673300000001</v>
      </c>
      <c r="F239" s="78">
        <v>8259.9508900000001</v>
      </c>
      <c r="G239" s="82">
        <v>0</v>
      </c>
      <c r="H239" s="82">
        <v>0</v>
      </c>
      <c r="I239" s="82">
        <v>0</v>
      </c>
      <c r="J239" s="82">
        <v>890.30200000000002</v>
      </c>
      <c r="K239" s="82">
        <v>0</v>
      </c>
      <c r="L239" s="82"/>
      <c r="M239" s="82">
        <v>0</v>
      </c>
      <c r="N239" s="82">
        <v>6698.9832900000001</v>
      </c>
      <c r="O239" s="78">
        <v>6698.9832900000001</v>
      </c>
      <c r="P239" s="78">
        <v>0</v>
      </c>
      <c r="Q239" s="73">
        <v>19944.143620000003</v>
      </c>
      <c r="R239" s="78">
        <v>11684.192730000001</v>
      </c>
      <c r="S239" s="78">
        <v>8259.9508900000001</v>
      </c>
      <c r="T239" s="47"/>
      <c r="U239" s="57">
        <v>0</v>
      </c>
      <c r="V239" s="57">
        <v>9527.5945700000011</v>
      </c>
      <c r="W239" s="57"/>
      <c r="X239" s="57"/>
      <c r="Y239" s="57">
        <v>0</v>
      </c>
      <c r="Z239" s="57">
        <v>0</v>
      </c>
      <c r="AA239" s="57">
        <v>9527.5945700000011</v>
      </c>
      <c r="AB239" s="45"/>
      <c r="AC239" s="57">
        <v>0</v>
      </c>
      <c r="AD239" s="78">
        <v>0</v>
      </c>
      <c r="AE239" s="78">
        <v>0</v>
      </c>
      <c r="AF239" s="82">
        <v>2734.6013699999994</v>
      </c>
      <c r="AG239" s="78">
        <v>0</v>
      </c>
      <c r="AH239" s="78">
        <v>2734.6013699999994</v>
      </c>
      <c r="AI239" s="82">
        <v>15.321</v>
      </c>
      <c r="AJ239" s="82">
        <v>920.55691999999988</v>
      </c>
      <c r="AK239" s="78">
        <v>0</v>
      </c>
      <c r="AL239" s="78">
        <v>920.55691999999988</v>
      </c>
      <c r="AM239" s="82">
        <v>0</v>
      </c>
      <c r="AN239" s="78">
        <v>0</v>
      </c>
      <c r="AO239" s="79">
        <v>0</v>
      </c>
      <c r="AP239" s="82">
        <v>186.98244999999997</v>
      </c>
      <c r="AQ239" s="78">
        <v>0</v>
      </c>
      <c r="AR239" s="52">
        <v>186.98244999999997</v>
      </c>
      <c r="AS239" s="48">
        <v>0</v>
      </c>
      <c r="AT239" s="78">
        <v>0</v>
      </c>
      <c r="AU239" s="52">
        <v>0</v>
      </c>
      <c r="AV239" s="48">
        <v>4195.2506399999993</v>
      </c>
      <c r="AW239" s="52">
        <v>4195.2506399999993</v>
      </c>
      <c r="AX239" s="52">
        <v>0</v>
      </c>
      <c r="AY239" s="87">
        <v>8052.712379999999</v>
      </c>
      <c r="AZ239" s="52">
        <v>4210.5716399999992</v>
      </c>
      <c r="BA239" s="52">
        <v>3842.1407399999994</v>
      </c>
      <c r="BB239" s="48"/>
      <c r="BC239" s="57">
        <v>0</v>
      </c>
      <c r="BD239" s="57">
        <v>0</v>
      </c>
      <c r="BE239" s="57">
        <v>876.75381000000004</v>
      </c>
      <c r="BF239" s="57">
        <v>0</v>
      </c>
      <c r="BG239" s="57">
        <v>876.75381000000004</v>
      </c>
      <c r="BH239" s="46"/>
      <c r="BI239" s="57">
        <v>172.29642999999999</v>
      </c>
      <c r="BJ239" s="57">
        <v>0</v>
      </c>
      <c r="BK239" s="57">
        <v>0</v>
      </c>
      <c r="BL239" s="57">
        <v>0</v>
      </c>
      <c r="BM239" s="57">
        <v>0</v>
      </c>
      <c r="BN239" s="57">
        <v>0</v>
      </c>
      <c r="BO239" s="57">
        <v>172.29642999999999</v>
      </c>
      <c r="BP239" s="46"/>
      <c r="BQ239" s="87">
        <v>38573.500810000005</v>
      </c>
      <c r="BR239" s="52">
        <v>26471.409179999999</v>
      </c>
      <c r="BS239" s="52">
        <v>12102.091629999999</v>
      </c>
    </row>
    <row r="240" spans="1:71" ht="12" customHeight="1" x14ac:dyDescent="0.2">
      <c r="A240" s="55">
        <v>2021</v>
      </c>
      <c r="B240" s="55" t="s">
        <v>15</v>
      </c>
      <c r="C240" s="82">
        <v>4127.6699599999993</v>
      </c>
      <c r="D240" s="82">
        <v>177990.23669000002</v>
      </c>
      <c r="E240" s="78">
        <v>23424.95681</v>
      </c>
      <c r="F240" s="78">
        <v>154565.27988000002</v>
      </c>
      <c r="G240" s="82">
        <v>0</v>
      </c>
      <c r="H240" s="82">
        <v>0</v>
      </c>
      <c r="I240" s="82">
        <v>3905.6783699999996</v>
      </c>
      <c r="J240" s="82">
        <v>8890.2638700000007</v>
      </c>
      <c r="K240" s="82">
        <v>0</v>
      </c>
      <c r="L240" s="82"/>
      <c r="M240" s="82">
        <v>0</v>
      </c>
      <c r="N240" s="82">
        <v>47690.22812</v>
      </c>
      <c r="O240" s="78">
        <v>47690.22812</v>
      </c>
      <c r="P240" s="78">
        <v>0</v>
      </c>
      <c r="Q240" s="73">
        <v>242604.07701000001</v>
      </c>
      <c r="R240" s="78">
        <v>88038.797129999992</v>
      </c>
      <c r="S240" s="78">
        <v>154565.27988000002</v>
      </c>
      <c r="T240" s="47"/>
      <c r="U240" s="57">
        <v>0</v>
      </c>
      <c r="V240" s="57">
        <v>60645.787940000009</v>
      </c>
      <c r="W240" s="57"/>
      <c r="X240" s="57"/>
      <c r="Y240" s="57">
        <v>864.77263000000005</v>
      </c>
      <c r="Z240" s="57">
        <v>12270.193560000002</v>
      </c>
      <c r="AA240" s="57">
        <v>73780.754130000016</v>
      </c>
      <c r="AB240" s="45"/>
      <c r="AC240" s="57">
        <v>1.76149</v>
      </c>
      <c r="AD240" s="78">
        <v>0</v>
      </c>
      <c r="AE240" s="78">
        <v>1.76149</v>
      </c>
      <c r="AF240" s="82">
        <v>20224.439080000004</v>
      </c>
      <c r="AG240" s="78">
        <v>1059.0801100000001</v>
      </c>
      <c r="AH240" s="78">
        <v>19165.358970000005</v>
      </c>
      <c r="AI240" s="82">
        <v>314.85399999999998</v>
      </c>
      <c r="AJ240" s="82">
        <v>11761.639280000001</v>
      </c>
      <c r="AK240" s="78">
        <v>0</v>
      </c>
      <c r="AL240" s="78">
        <v>11761.639280000001</v>
      </c>
      <c r="AM240" s="82">
        <v>0</v>
      </c>
      <c r="AN240" s="78">
        <v>0</v>
      </c>
      <c r="AO240" s="79">
        <v>0</v>
      </c>
      <c r="AP240" s="82">
        <v>3561.1464500000006</v>
      </c>
      <c r="AQ240" s="78">
        <v>0.79521000000000008</v>
      </c>
      <c r="AR240" s="52">
        <v>3560.3512400000004</v>
      </c>
      <c r="AS240" s="48">
        <v>0</v>
      </c>
      <c r="AT240" s="78">
        <v>0</v>
      </c>
      <c r="AU240" s="52">
        <v>0</v>
      </c>
      <c r="AV240" s="48">
        <v>36196.604100000004</v>
      </c>
      <c r="AW240" s="52">
        <v>36196.604100000004</v>
      </c>
      <c r="AX240" s="52">
        <v>0</v>
      </c>
      <c r="AY240" s="87">
        <v>72060.444400000008</v>
      </c>
      <c r="AZ240" s="52">
        <v>37571.333420000003</v>
      </c>
      <c r="BA240" s="52">
        <v>34489.110980000005</v>
      </c>
      <c r="BB240" s="48"/>
      <c r="BC240" s="57">
        <v>0</v>
      </c>
      <c r="BD240" s="57">
        <v>0</v>
      </c>
      <c r="BE240" s="57">
        <v>26169.213769999998</v>
      </c>
      <c r="BF240" s="57">
        <v>0</v>
      </c>
      <c r="BG240" s="57">
        <v>26169.213769999998</v>
      </c>
      <c r="BH240" s="46"/>
      <c r="BI240" s="57">
        <v>842.13063999999997</v>
      </c>
      <c r="BJ240" s="57">
        <v>0</v>
      </c>
      <c r="BK240" s="57">
        <v>0</v>
      </c>
      <c r="BL240" s="57">
        <v>0</v>
      </c>
      <c r="BM240" s="57">
        <v>0</v>
      </c>
      <c r="BN240" s="57">
        <v>168.30257</v>
      </c>
      <c r="BO240" s="57">
        <v>1010.4332099999999</v>
      </c>
      <c r="BP240" s="46"/>
      <c r="BQ240" s="87">
        <v>415624.92252000002</v>
      </c>
      <c r="BR240" s="52">
        <v>226570.53166000001</v>
      </c>
      <c r="BS240" s="52">
        <v>189054.39086000001</v>
      </c>
    </row>
    <row r="241" spans="1:71" ht="12" customHeight="1" x14ac:dyDescent="0.2">
      <c r="A241" s="55">
        <v>2022</v>
      </c>
      <c r="B241" s="55" t="s">
        <v>3</v>
      </c>
      <c r="C241" s="82">
        <v>0</v>
      </c>
      <c r="D241" s="82">
        <v>9620.0411200000017</v>
      </c>
      <c r="E241" s="78">
        <v>0</v>
      </c>
      <c r="F241" s="78">
        <v>9620.0411200000017</v>
      </c>
      <c r="G241" s="82">
        <v>0</v>
      </c>
      <c r="H241" s="82">
        <v>0</v>
      </c>
      <c r="I241" s="82">
        <v>1011.4354000000001</v>
      </c>
      <c r="J241" s="82">
        <v>996.79849999999999</v>
      </c>
      <c r="K241" s="82">
        <v>0</v>
      </c>
      <c r="L241" s="82"/>
      <c r="M241" s="82">
        <v>0</v>
      </c>
      <c r="N241" s="82">
        <v>5044.7498100000003</v>
      </c>
      <c r="O241" s="78">
        <v>5044.7498100000003</v>
      </c>
      <c r="P241" s="78">
        <v>0</v>
      </c>
      <c r="Q241" s="73">
        <v>16673.024830000002</v>
      </c>
      <c r="R241" s="78">
        <v>7052.9837100000004</v>
      </c>
      <c r="S241" s="78">
        <v>9620.0411200000017</v>
      </c>
      <c r="T241" s="47"/>
      <c r="U241" s="57">
        <v>0</v>
      </c>
      <c r="V241" s="57">
        <v>13103.314349999999</v>
      </c>
      <c r="W241" s="57">
        <v>0</v>
      </c>
      <c r="X241" s="57"/>
      <c r="Y241" s="57">
        <v>0</v>
      </c>
      <c r="Z241" s="57">
        <v>839.69899999999996</v>
      </c>
      <c r="AA241" s="57">
        <v>13943.013349999999</v>
      </c>
      <c r="AB241" s="45"/>
      <c r="AC241" s="57">
        <v>0</v>
      </c>
      <c r="AD241" s="78">
        <v>0</v>
      </c>
      <c r="AE241" s="78">
        <v>0</v>
      </c>
      <c r="AF241" s="82">
        <v>1616.1246599999999</v>
      </c>
      <c r="AG241" s="78">
        <v>4.2029100000000001</v>
      </c>
      <c r="AH241" s="78">
        <v>1611.92175</v>
      </c>
      <c r="AI241" s="82">
        <v>73.623000000000005</v>
      </c>
      <c r="AJ241" s="82">
        <v>239.71697</v>
      </c>
      <c r="AK241" s="78">
        <v>0</v>
      </c>
      <c r="AL241" s="78">
        <v>239.71697</v>
      </c>
      <c r="AM241" s="82">
        <v>0</v>
      </c>
      <c r="AN241" s="78">
        <v>0</v>
      </c>
      <c r="AO241" s="79">
        <v>0</v>
      </c>
      <c r="AP241" s="82">
        <v>338.04695000000004</v>
      </c>
      <c r="AQ241" s="78">
        <v>0</v>
      </c>
      <c r="AR241" s="52">
        <v>338.04695000000004</v>
      </c>
      <c r="AS241" s="48">
        <v>0</v>
      </c>
      <c r="AT241" s="78">
        <v>0</v>
      </c>
      <c r="AU241" s="52">
        <v>0</v>
      </c>
      <c r="AV241" s="48">
        <v>2178.4280199999998</v>
      </c>
      <c r="AW241" s="52">
        <v>2178.4280199999998</v>
      </c>
      <c r="AX241" s="52">
        <v>0</v>
      </c>
      <c r="AY241" s="87">
        <v>4445.9395999999997</v>
      </c>
      <c r="AZ241" s="52">
        <v>2256.2539299999999</v>
      </c>
      <c r="BA241" s="52">
        <v>2189.6856699999998</v>
      </c>
      <c r="BB241" s="48"/>
      <c r="BC241" s="57">
        <v>0</v>
      </c>
      <c r="BD241" s="57">
        <v>1925.0312799999999</v>
      </c>
      <c r="BE241" s="57">
        <v>876.17562999999996</v>
      </c>
      <c r="BF241" s="57">
        <v>0</v>
      </c>
      <c r="BG241" s="57">
        <v>2801.2069099999999</v>
      </c>
      <c r="BH241" s="46"/>
      <c r="BI241" s="57">
        <v>0</v>
      </c>
      <c r="BJ241" s="57">
        <v>0</v>
      </c>
      <c r="BK241" s="57">
        <v>0</v>
      </c>
      <c r="BL241" s="57">
        <v>0</v>
      </c>
      <c r="BM241" s="57">
        <v>0</v>
      </c>
      <c r="BN241" s="57">
        <v>0</v>
      </c>
      <c r="BO241" s="57">
        <v>0</v>
      </c>
      <c r="BP241" s="46"/>
      <c r="BQ241" s="87">
        <v>37863.184690000002</v>
      </c>
      <c r="BR241" s="52">
        <v>26053.457900000001</v>
      </c>
      <c r="BS241" s="52">
        <v>11809.726790000001</v>
      </c>
    </row>
    <row r="242" spans="1:71" ht="12" customHeight="1" x14ac:dyDescent="0.2">
      <c r="A242" s="55">
        <v>2022</v>
      </c>
      <c r="B242" s="55" t="s">
        <v>4</v>
      </c>
      <c r="C242" s="82">
        <v>0</v>
      </c>
      <c r="D242" s="82">
        <v>8801.4779399999989</v>
      </c>
      <c r="E242" s="78">
        <v>0</v>
      </c>
      <c r="F242" s="78">
        <v>8801.4779399999989</v>
      </c>
      <c r="G242" s="82">
        <v>0</v>
      </c>
      <c r="H242" s="82">
        <v>0</v>
      </c>
      <c r="I242" s="82">
        <v>0</v>
      </c>
      <c r="J242" s="82">
        <v>934.94124999999997</v>
      </c>
      <c r="K242" s="82">
        <v>0</v>
      </c>
      <c r="L242" s="82"/>
      <c r="M242" s="82">
        <v>0</v>
      </c>
      <c r="N242" s="82">
        <v>7840.7689500000006</v>
      </c>
      <c r="O242" s="78">
        <v>7840.7689500000006</v>
      </c>
      <c r="P242" s="78">
        <v>0</v>
      </c>
      <c r="Q242" s="73">
        <v>17577.188139999998</v>
      </c>
      <c r="R242" s="78">
        <v>8775.7102000000014</v>
      </c>
      <c r="S242" s="78">
        <v>8801.4779399999989</v>
      </c>
      <c r="T242" s="47"/>
      <c r="U242" s="57">
        <v>0</v>
      </c>
      <c r="V242" s="57">
        <v>12645.48228</v>
      </c>
      <c r="W242" s="57">
        <v>0</v>
      </c>
      <c r="X242" s="57"/>
      <c r="Y242" s="57">
        <v>0</v>
      </c>
      <c r="Z242" s="57">
        <v>1986.81817</v>
      </c>
      <c r="AA242" s="57">
        <v>14632.300450000001</v>
      </c>
      <c r="AB242" s="45"/>
      <c r="AC242" s="57">
        <v>0</v>
      </c>
      <c r="AD242" s="78">
        <v>0</v>
      </c>
      <c r="AE242" s="78">
        <v>0</v>
      </c>
      <c r="AF242" s="82">
        <v>1430.0361</v>
      </c>
      <c r="AG242" s="78">
        <v>0</v>
      </c>
      <c r="AH242" s="78">
        <v>1430.0361</v>
      </c>
      <c r="AI242" s="82">
        <v>32.110999999999997</v>
      </c>
      <c r="AJ242" s="82">
        <v>474.38595999999995</v>
      </c>
      <c r="AK242" s="78">
        <v>0</v>
      </c>
      <c r="AL242" s="78">
        <v>474.38595999999995</v>
      </c>
      <c r="AM242" s="82">
        <v>0</v>
      </c>
      <c r="AN242" s="78">
        <v>0</v>
      </c>
      <c r="AO242" s="79">
        <v>0</v>
      </c>
      <c r="AP242" s="82">
        <v>707.6433199999999</v>
      </c>
      <c r="AQ242" s="78">
        <v>0</v>
      </c>
      <c r="AR242" s="52">
        <v>707.6433199999999</v>
      </c>
      <c r="AS242" s="48">
        <v>0</v>
      </c>
      <c r="AT242" s="78">
        <v>0</v>
      </c>
      <c r="AU242" s="52">
        <v>0</v>
      </c>
      <c r="AV242" s="48">
        <v>2173.53721</v>
      </c>
      <c r="AW242" s="52">
        <v>2173.53721</v>
      </c>
      <c r="AX242" s="52">
        <v>0</v>
      </c>
      <c r="AY242" s="87">
        <v>4817.7135899999994</v>
      </c>
      <c r="AZ242" s="52">
        <v>2205.6482099999998</v>
      </c>
      <c r="BA242" s="52">
        <v>2612.06538</v>
      </c>
      <c r="BB242" s="48"/>
      <c r="BC242" s="57">
        <v>0</v>
      </c>
      <c r="BD242" s="57">
        <v>0</v>
      </c>
      <c r="BE242" s="57">
        <v>877.62881000000004</v>
      </c>
      <c r="BF242" s="57">
        <v>0</v>
      </c>
      <c r="BG242" s="57">
        <v>877.62881000000004</v>
      </c>
      <c r="BH242" s="46"/>
      <c r="BI242" s="57">
        <v>0</v>
      </c>
      <c r="BJ242" s="57">
        <v>0</v>
      </c>
      <c r="BK242" s="57">
        <v>0</v>
      </c>
      <c r="BL242" s="57">
        <v>0</v>
      </c>
      <c r="BM242" s="57">
        <v>0</v>
      </c>
      <c r="BN242" s="57">
        <v>0</v>
      </c>
      <c r="BO242" s="57">
        <v>0</v>
      </c>
      <c r="BP242" s="46"/>
      <c r="BQ242" s="87">
        <v>37904.830990000002</v>
      </c>
      <c r="BR242" s="52">
        <v>26491.287670000002</v>
      </c>
      <c r="BS242" s="52">
        <v>11413.543319999999</v>
      </c>
    </row>
    <row r="243" spans="1:71" ht="12" customHeight="1" x14ac:dyDescent="0.2">
      <c r="A243" s="55">
        <v>2022</v>
      </c>
      <c r="B243" s="55" t="s">
        <v>5</v>
      </c>
      <c r="C243" s="82">
        <v>0</v>
      </c>
      <c r="D243" s="82">
        <v>11138.384750000001</v>
      </c>
      <c r="E243" s="78">
        <v>1472.56131</v>
      </c>
      <c r="F243" s="78">
        <v>9665.8234400000001</v>
      </c>
      <c r="G243" s="82">
        <v>0</v>
      </c>
      <c r="H243" s="82">
        <v>0</v>
      </c>
      <c r="I243" s="82">
        <v>1737.79954</v>
      </c>
      <c r="J243" s="82">
        <v>0</v>
      </c>
      <c r="K243" s="82">
        <v>0</v>
      </c>
      <c r="L243" s="82"/>
      <c r="M243" s="82">
        <v>0</v>
      </c>
      <c r="N243" s="82">
        <v>2909.3478300000002</v>
      </c>
      <c r="O243" s="78">
        <v>2909.3478300000002</v>
      </c>
      <c r="P243" s="78">
        <v>0</v>
      </c>
      <c r="Q243" s="73">
        <v>15785.53212</v>
      </c>
      <c r="R243" s="78">
        <v>6119.7086799999997</v>
      </c>
      <c r="S243" s="78">
        <v>9665.8234400000001</v>
      </c>
      <c r="T243" s="47"/>
      <c r="U243" s="57">
        <v>0</v>
      </c>
      <c r="V243" s="57">
        <v>16266.84865</v>
      </c>
      <c r="W243" s="57">
        <v>0</v>
      </c>
      <c r="X243" s="57"/>
      <c r="Y243" s="57">
        <v>0</v>
      </c>
      <c r="Z243" s="57">
        <v>1011.35974</v>
      </c>
      <c r="AA243" s="57">
        <v>17278.20839</v>
      </c>
      <c r="AB243" s="45"/>
      <c r="AC243" s="57">
        <v>0</v>
      </c>
      <c r="AD243" s="78">
        <v>0</v>
      </c>
      <c r="AE243" s="78">
        <v>0</v>
      </c>
      <c r="AF243" s="82">
        <v>322.74492999999995</v>
      </c>
      <c r="AG243" s="78">
        <v>0</v>
      </c>
      <c r="AH243" s="78">
        <v>322.74492999999995</v>
      </c>
      <c r="AI243" s="82">
        <v>14.101000000000001</v>
      </c>
      <c r="AJ243" s="82">
        <v>389.16727000000003</v>
      </c>
      <c r="AK243" s="78">
        <v>0</v>
      </c>
      <c r="AL243" s="78">
        <v>389.16727000000003</v>
      </c>
      <c r="AM243" s="82">
        <v>0.19594</v>
      </c>
      <c r="AN243" s="78">
        <v>0.19594</v>
      </c>
      <c r="AO243" s="79">
        <v>0</v>
      </c>
      <c r="AP243" s="82">
        <v>514.40779000000009</v>
      </c>
      <c r="AQ243" s="78">
        <v>0</v>
      </c>
      <c r="AR243" s="52">
        <v>514.40779000000009</v>
      </c>
      <c r="AS243" s="48">
        <v>0</v>
      </c>
      <c r="AT243" s="78">
        <v>0</v>
      </c>
      <c r="AU243" s="52">
        <v>0</v>
      </c>
      <c r="AV243" s="48">
        <v>3277.4671499999995</v>
      </c>
      <c r="AW243" s="52">
        <v>3277.4671499999995</v>
      </c>
      <c r="AX243" s="52">
        <v>0</v>
      </c>
      <c r="AY243" s="87">
        <v>4518.0840799999996</v>
      </c>
      <c r="AZ243" s="52">
        <v>3291.7640899999997</v>
      </c>
      <c r="BA243" s="52">
        <v>1226.31999</v>
      </c>
      <c r="BB243" s="48"/>
      <c r="BC243" s="57">
        <v>0</v>
      </c>
      <c r="BD243" s="57">
        <v>0</v>
      </c>
      <c r="BE243" s="57">
        <v>0</v>
      </c>
      <c r="BF243" s="57">
        <v>0</v>
      </c>
      <c r="BG243" s="57">
        <v>0</v>
      </c>
      <c r="BH243" s="46"/>
      <c r="BI243" s="57">
        <v>0</v>
      </c>
      <c r="BJ243" s="57">
        <v>0</v>
      </c>
      <c r="BK243" s="57">
        <v>0</v>
      </c>
      <c r="BL243" s="57">
        <v>0</v>
      </c>
      <c r="BM243" s="57">
        <v>0</v>
      </c>
      <c r="BN243" s="57">
        <v>0</v>
      </c>
      <c r="BO243" s="57">
        <v>0</v>
      </c>
      <c r="BP243" s="46"/>
      <c r="BQ243" s="87">
        <v>37581.824590000004</v>
      </c>
      <c r="BR243" s="52">
        <v>26689.68116</v>
      </c>
      <c r="BS243" s="52">
        <v>10892.14343</v>
      </c>
    </row>
    <row r="244" spans="1:71" ht="12" customHeight="1" x14ac:dyDescent="0.2">
      <c r="A244" s="55">
        <v>2022</v>
      </c>
      <c r="B244" s="55" t="s">
        <v>6</v>
      </c>
      <c r="C244" s="82">
        <v>0</v>
      </c>
      <c r="D244" s="82">
        <v>9545.5901199999989</v>
      </c>
      <c r="E244" s="78">
        <v>496.42103000000003</v>
      </c>
      <c r="F244" s="78">
        <v>9049.1690899999994</v>
      </c>
      <c r="G244" s="82">
        <v>1127.21408</v>
      </c>
      <c r="H244" s="82">
        <v>0</v>
      </c>
      <c r="I244" s="82">
        <v>2450.7766499999998</v>
      </c>
      <c r="J244" s="82">
        <v>923.51354000000003</v>
      </c>
      <c r="K244" s="82">
        <v>0</v>
      </c>
      <c r="L244" s="82"/>
      <c r="M244" s="82">
        <v>0</v>
      </c>
      <c r="N244" s="82">
        <v>6891.4452700000002</v>
      </c>
      <c r="O244" s="78">
        <v>6891.4452700000002</v>
      </c>
      <c r="P244" s="78">
        <v>0</v>
      </c>
      <c r="Q244" s="73">
        <v>20938.539659999999</v>
      </c>
      <c r="R244" s="78">
        <v>11889.370569999999</v>
      </c>
      <c r="S244" s="78">
        <v>9049.1690899999994</v>
      </c>
      <c r="T244" s="47"/>
      <c r="U244" s="57">
        <v>0</v>
      </c>
      <c r="V244" s="57">
        <v>12459.712079999996</v>
      </c>
      <c r="W244" s="57">
        <v>0</v>
      </c>
      <c r="X244" s="57"/>
      <c r="Y244" s="57">
        <v>0</v>
      </c>
      <c r="Z244" s="57">
        <v>80.008380000000002</v>
      </c>
      <c r="AA244" s="57">
        <v>12539.720459999995</v>
      </c>
      <c r="AB244" s="45"/>
      <c r="AC244" s="57">
        <v>0</v>
      </c>
      <c r="AD244" s="78">
        <v>0</v>
      </c>
      <c r="AE244" s="78">
        <v>0</v>
      </c>
      <c r="AF244" s="82">
        <v>283.55027000000001</v>
      </c>
      <c r="AG244" s="78">
        <v>0</v>
      </c>
      <c r="AH244" s="78">
        <v>283.55027000000001</v>
      </c>
      <c r="AI244" s="82">
        <v>10.566000000000001</v>
      </c>
      <c r="AJ244" s="82">
        <v>180.48008999999999</v>
      </c>
      <c r="AK244" s="78">
        <v>0</v>
      </c>
      <c r="AL244" s="78">
        <v>180.48008999999999</v>
      </c>
      <c r="AM244" s="82">
        <v>0</v>
      </c>
      <c r="AN244" s="78">
        <v>0</v>
      </c>
      <c r="AO244" s="79">
        <v>0</v>
      </c>
      <c r="AP244" s="82">
        <v>613.78904999999997</v>
      </c>
      <c r="AQ244" s="78">
        <v>0</v>
      </c>
      <c r="AR244" s="52">
        <v>613.78904999999997</v>
      </c>
      <c r="AS244" s="48">
        <v>0</v>
      </c>
      <c r="AT244" s="78">
        <v>0</v>
      </c>
      <c r="AU244" s="52">
        <v>0</v>
      </c>
      <c r="AV244" s="48">
        <v>3278.2432799999997</v>
      </c>
      <c r="AW244" s="52">
        <v>3278.2432799999997</v>
      </c>
      <c r="AX244" s="52">
        <v>0</v>
      </c>
      <c r="AY244" s="87">
        <v>4366.6286899999996</v>
      </c>
      <c r="AZ244" s="52">
        <v>3288.8092799999995</v>
      </c>
      <c r="BA244" s="52">
        <v>1077.8194100000001</v>
      </c>
      <c r="BB244" s="48"/>
      <c r="BC244" s="57">
        <v>0</v>
      </c>
      <c r="BD244" s="57">
        <v>960.13679000000002</v>
      </c>
      <c r="BE244" s="57">
        <v>1789.9443700000002</v>
      </c>
      <c r="BF244" s="57">
        <v>0</v>
      </c>
      <c r="BG244" s="57">
        <v>2750.0811600000002</v>
      </c>
      <c r="BH244" s="46"/>
      <c r="BI244" s="57">
        <v>0</v>
      </c>
      <c r="BJ244" s="57">
        <v>0</v>
      </c>
      <c r="BK244" s="57">
        <v>167.39046999999999</v>
      </c>
      <c r="BL244" s="57">
        <v>0</v>
      </c>
      <c r="BM244" s="57">
        <v>0</v>
      </c>
      <c r="BN244" s="57">
        <v>0</v>
      </c>
      <c r="BO244" s="57">
        <v>167.39046999999999</v>
      </c>
      <c r="BP244" s="46"/>
      <c r="BQ244" s="87">
        <v>40762.360439999989</v>
      </c>
      <c r="BR244" s="52">
        <v>30635.371939999997</v>
      </c>
      <c r="BS244" s="52">
        <v>10126.988499999999</v>
      </c>
    </row>
    <row r="245" spans="1:71" ht="12" customHeight="1" x14ac:dyDescent="0.2">
      <c r="A245" s="55">
        <v>2022</v>
      </c>
      <c r="B245" s="55" t="s">
        <v>7</v>
      </c>
      <c r="C245" s="82">
        <v>0</v>
      </c>
      <c r="D245" s="82">
        <v>8125.2747099999997</v>
      </c>
      <c r="E245" s="78">
        <v>1122.47722</v>
      </c>
      <c r="F245" s="78">
        <v>7002.7974899999999</v>
      </c>
      <c r="G245" s="82">
        <v>0</v>
      </c>
      <c r="H245" s="82">
        <v>0</v>
      </c>
      <c r="I245" s="82">
        <v>1989.1817900000001</v>
      </c>
      <c r="J245" s="82">
        <v>0</v>
      </c>
      <c r="K245" s="82">
        <v>0</v>
      </c>
      <c r="L245" s="82"/>
      <c r="M245" s="82">
        <v>0</v>
      </c>
      <c r="N245" s="82">
        <v>6010.7742300000009</v>
      </c>
      <c r="O245" s="78">
        <v>6010.7742300000009</v>
      </c>
      <c r="P245" s="78">
        <v>0</v>
      </c>
      <c r="Q245" s="73">
        <v>16125.230730000003</v>
      </c>
      <c r="R245" s="78">
        <v>9122.4332400000021</v>
      </c>
      <c r="S245" s="78">
        <v>7002.7974899999999</v>
      </c>
      <c r="T245" s="47"/>
      <c r="U245" s="57">
        <v>0</v>
      </c>
      <c r="V245" s="57">
        <v>12986.7075</v>
      </c>
      <c r="W245" s="57">
        <v>0</v>
      </c>
      <c r="X245" s="57"/>
      <c r="Y245" s="57">
        <v>1079.5573899999999</v>
      </c>
      <c r="Z245" s="57">
        <v>0</v>
      </c>
      <c r="AA245" s="57">
        <v>14066.26489</v>
      </c>
      <c r="AB245" s="45"/>
      <c r="AC245" s="57">
        <v>0</v>
      </c>
      <c r="AD245" s="78">
        <v>0</v>
      </c>
      <c r="AE245" s="78">
        <v>0</v>
      </c>
      <c r="AF245" s="82">
        <v>144.24278000000001</v>
      </c>
      <c r="AG245" s="78">
        <v>0</v>
      </c>
      <c r="AH245" s="78">
        <v>144.24278000000001</v>
      </c>
      <c r="AI245" s="82">
        <v>7.5830000000000002</v>
      </c>
      <c r="AJ245" s="82">
        <v>186.45713000000001</v>
      </c>
      <c r="AK245" s="78">
        <v>0</v>
      </c>
      <c r="AL245" s="78">
        <v>186.45713000000001</v>
      </c>
      <c r="AM245" s="82">
        <v>0</v>
      </c>
      <c r="AN245" s="78">
        <v>0</v>
      </c>
      <c r="AO245" s="79">
        <v>0</v>
      </c>
      <c r="AP245" s="82">
        <v>880.98448999999994</v>
      </c>
      <c r="AQ245" s="78">
        <v>0</v>
      </c>
      <c r="AR245" s="52">
        <v>880.98448999999994</v>
      </c>
      <c r="AS245" s="48">
        <v>0</v>
      </c>
      <c r="AT245" s="78">
        <v>0</v>
      </c>
      <c r="AU245" s="52">
        <v>0</v>
      </c>
      <c r="AV245" s="48">
        <v>4357.3920499999995</v>
      </c>
      <c r="AW245" s="52">
        <v>4357.3920499999995</v>
      </c>
      <c r="AX245" s="52">
        <v>0</v>
      </c>
      <c r="AY245" s="87">
        <v>5576.6594499999992</v>
      </c>
      <c r="AZ245" s="52">
        <v>4364.9750499999991</v>
      </c>
      <c r="BA245" s="52">
        <v>1211.6844000000001</v>
      </c>
      <c r="BB245" s="48"/>
      <c r="BC245" s="57">
        <v>0</v>
      </c>
      <c r="BD245" s="57">
        <v>0</v>
      </c>
      <c r="BE245" s="57">
        <v>877.73946999999998</v>
      </c>
      <c r="BF245" s="57">
        <v>0</v>
      </c>
      <c r="BG245" s="57">
        <v>877.73946999999998</v>
      </c>
      <c r="BH245" s="46"/>
      <c r="BI245" s="57">
        <v>0</v>
      </c>
      <c r="BJ245" s="57">
        <v>0</v>
      </c>
      <c r="BK245" s="57">
        <v>0</v>
      </c>
      <c r="BL245" s="57">
        <v>0</v>
      </c>
      <c r="BM245" s="57">
        <v>0</v>
      </c>
      <c r="BN245" s="57">
        <v>0</v>
      </c>
      <c r="BO245" s="57">
        <v>0</v>
      </c>
      <c r="BP245" s="46"/>
      <c r="BQ245" s="87">
        <v>36645.894540000001</v>
      </c>
      <c r="BR245" s="52">
        <v>28431.412650000006</v>
      </c>
      <c r="BS245" s="52">
        <v>8214.4818899999991</v>
      </c>
    </row>
    <row r="246" spans="1:71" ht="12" customHeight="1" x14ac:dyDescent="0.2">
      <c r="A246" s="55">
        <v>2022</v>
      </c>
      <c r="B246" s="55" t="s">
        <v>8</v>
      </c>
      <c r="C246" s="82">
        <v>0</v>
      </c>
      <c r="D246" s="82">
        <v>7762.3436499999998</v>
      </c>
      <c r="E246" s="78">
        <v>417.69205999999997</v>
      </c>
      <c r="F246" s="78">
        <v>7344.6515899999995</v>
      </c>
      <c r="G246" s="82">
        <v>0</v>
      </c>
      <c r="H246" s="82">
        <v>0</v>
      </c>
      <c r="I246" s="82">
        <v>999.07164999999998</v>
      </c>
      <c r="J246" s="82">
        <v>0</v>
      </c>
      <c r="K246" s="82">
        <v>0</v>
      </c>
      <c r="L246" s="82"/>
      <c r="M246" s="82">
        <v>0</v>
      </c>
      <c r="N246" s="82">
        <v>4852.3496300000006</v>
      </c>
      <c r="O246" s="78">
        <v>4852.3496300000006</v>
      </c>
      <c r="P246" s="78">
        <v>0</v>
      </c>
      <c r="Q246" s="73">
        <v>13613.764930000001</v>
      </c>
      <c r="R246" s="78">
        <v>6269.1133400000008</v>
      </c>
      <c r="S246" s="78">
        <v>7344.6515899999995</v>
      </c>
      <c r="T246" s="47"/>
      <c r="U246" s="57">
        <v>0</v>
      </c>
      <c r="V246" s="57">
        <v>10618.153470000001</v>
      </c>
      <c r="W246" s="57">
        <v>0</v>
      </c>
      <c r="X246" s="57"/>
      <c r="Y246" s="57">
        <v>0</v>
      </c>
      <c r="Z246" s="57">
        <v>1071.7833500000002</v>
      </c>
      <c r="AA246" s="57">
        <v>11689.936820000001</v>
      </c>
      <c r="AB246" s="45"/>
      <c r="AC246" s="57">
        <v>0</v>
      </c>
      <c r="AD246" s="78">
        <v>0</v>
      </c>
      <c r="AE246" s="78">
        <v>0</v>
      </c>
      <c r="AF246" s="82">
        <v>599.14265</v>
      </c>
      <c r="AG246" s="78">
        <v>0</v>
      </c>
      <c r="AH246" s="78">
        <v>599.14265</v>
      </c>
      <c r="AI246" s="82">
        <v>18.834</v>
      </c>
      <c r="AJ246" s="82">
        <v>122.62148999999999</v>
      </c>
      <c r="AK246" s="78">
        <v>0</v>
      </c>
      <c r="AL246" s="78">
        <v>122.62148999999999</v>
      </c>
      <c r="AM246" s="82">
        <v>0</v>
      </c>
      <c r="AN246" s="78">
        <v>0</v>
      </c>
      <c r="AO246" s="79">
        <v>0</v>
      </c>
      <c r="AP246" s="82">
        <v>203.11583000000002</v>
      </c>
      <c r="AQ246" s="78">
        <v>0</v>
      </c>
      <c r="AR246" s="52">
        <v>203.11583000000002</v>
      </c>
      <c r="AS246" s="48">
        <v>0</v>
      </c>
      <c r="AT246" s="78">
        <v>0</v>
      </c>
      <c r="AU246" s="52">
        <v>0</v>
      </c>
      <c r="AV246" s="48">
        <v>8751.4236999999994</v>
      </c>
      <c r="AW246" s="52">
        <v>8751.4236999999994</v>
      </c>
      <c r="AX246" s="52">
        <v>0</v>
      </c>
      <c r="AY246" s="87">
        <v>9695.1376700000001</v>
      </c>
      <c r="AZ246" s="52">
        <v>8770.2577000000001</v>
      </c>
      <c r="BA246" s="52">
        <v>924.87996999999996</v>
      </c>
      <c r="BB246" s="48"/>
      <c r="BC246" s="57">
        <v>0</v>
      </c>
      <c r="BD246" s="57">
        <v>0</v>
      </c>
      <c r="BE246" s="57">
        <v>884.43547999999998</v>
      </c>
      <c r="BF246" s="57">
        <v>0</v>
      </c>
      <c r="BG246" s="57">
        <v>884.43547999999998</v>
      </c>
      <c r="BH246" s="46"/>
      <c r="BI246" s="57">
        <v>0</v>
      </c>
      <c r="BJ246" s="57">
        <v>0</v>
      </c>
      <c r="BK246" s="57">
        <v>0</v>
      </c>
      <c r="BL246" s="57">
        <v>0</v>
      </c>
      <c r="BM246" s="57">
        <v>0</v>
      </c>
      <c r="BN246" s="57">
        <v>0</v>
      </c>
      <c r="BO246" s="57">
        <v>0</v>
      </c>
      <c r="BP246" s="46"/>
      <c r="BQ246" s="87">
        <v>35883.274900000004</v>
      </c>
      <c r="BR246" s="52">
        <v>27613.743340000001</v>
      </c>
      <c r="BS246" s="52">
        <v>8269.5315599999994</v>
      </c>
    </row>
    <row r="247" spans="1:71" ht="12" customHeight="1" x14ac:dyDescent="0.2">
      <c r="A247" s="55">
        <v>2022</v>
      </c>
      <c r="B247" s="55" t="s">
        <v>9</v>
      </c>
      <c r="C247" s="82">
        <v>1040.4282499999999</v>
      </c>
      <c r="D247" s="82">
        <v>8572.4521100000002</v>
      </c>
      <c r="E247" s="78">
        <v>0</v>
      </c>
      <c r="F247" s="78">
        <v>8572.4521100000002</v>
      </c>
      <c r="G247" s="82">
        <v>0</v>
      </c>
      <c r="H247" s="82">
        <v>0</v>
      </c>
      <c r="I247" s="82">
        <v>1052.3626499999998</v>
      </c>
      <c r="J247" s="82">
        <v>1066.6933999999999</v>
      </c>
      <c r="K247" s="82">
        <v>0</v>
      </c>
      <c r="L247" s="82"/>
      <c r="M247" s="82">
        <v>0</v>
      </c>
      <c r="N247" s="82">
        <v>5881.8532600000008</v>
      </c>
      <c r="O247" s="78">
        <v>5881.8532600000008</v>
      </c>
      <c r="P247" s="78">
        <v>0</v>
      </c>
      <c r="Q247" s="73">
        <v>17613.789669999998</v>
      </c>
      <c r="R247" s="78">
        <v>9041.3375599999999</v>
      </c>
      <c r="S247" s="78">
        <v>8572.4521100000002</v>
      </c>
      <c r="T247" s="47"/>
      <c r="U247" s="57">
        <v>0</v>
      </c>
      <c r="V247" s="57">
        <v>8530.3992999999991</v>
      </c>
      <c r="W247" s="57">
        <v>0</v>
      </c>
      <c r="X247" s="57"/>
      <c r="Y247" s="57">
        <v>0</v>
      </c>
      <c r="Z247" s="57">
        <v>1541.99576</v>
      </c>
      <c r="AA247" s="57">
        <v>10072.395059999999</v>
      </c>
      <c r="AB247" s="45"/>
      <c r="AC247" s="57">
        <v>29.86627</v>
      </c>
      <c r="AD247" s="78">
        <v>0</v>
      </c>
      <c r="AE247" s="78">
        <v>29.86627</v>
      </c>
      <c r="AF247" s="82">
        <v>1313.7771800000005</v>
      </c>
      <c r="AG247" s="78">
        <v>0</v>
      </c>
      <c r="AH247" s="78">
        <v>1313.7771800000005</v>
      </c>
      <c r="AI247" s="82">
        <v>18.719000000000001</v>
      </c>
      <c r="AJ247" s="82">
        <v>218.13554000000002</v>
      </c>
      <c r="AK247" s="78">
        <v>0</v>
      </c>
      <c r="AL247" s="78">
        <v>218.13554000000002</v>
      </c>
      <c r="AM247" s="82">
        <v>0</v>
      </c>
      <c r="AN247" s="78">
        <v>0</v>
      </c>
      <c r="AO247" s="79">
        <v>0</v>
      </c>
      <c r="AP247" s="82">
        <v>125.95830000000001</v>
      </c>
      <c r="AQ247" s="78">
        <v>0</v>
      </c>
      <c r="AR247" s="52">
        <v>125.95830000000001</v>
      </c>
      <c r="AS247" s="48">
        <v>0</v>
      </c>
      <c r="AT247" s="78">
        <v>0</v>
      </c>
      <c r="AU247" s="52">
        <v>0</v>
      </c>
      <c r="AV247" s="48">
        <v>5316.6853899999996</v>
      </c>
      <c r="AW247" s="52">
        <v>5316.6853899999996</v>
      </c>
      <c r="AX247" s="52">
        <v>0</v>
      </c>
      <c r="AY247" s="87">
        <v>7023.1416800000006</v>
      </c>
      <c r="AZ247" s="52">
        <v>5335.4043899999997</v>
      </c>
      <c r="BA247" s="52">
        <v>1687.7372900000005</v>
      </c>
      <c r="BB247" s="48"/>
      <c r="BC247" s="57">
        <v>0</v>
      </c>
      <c r="BD247" s="57">
        <v>0</v>
      </c>
      <c r="BE247" s="57">
        <v>2017.6382699999999</v>
      </c>
      <c r="BF247" s="57">
        <v>0</v>
      </c>
      <c r="BG247" s="57">
        <v>2017.6382699999999</v>
      </c>
      <c r="BH247" s="46"/>
      <c r="BI247" s="57">
        <v>0</v>
      </c>
      <c r="BJ247" s="57">
        <v>0</v>
      </c>
      <c r="BK247" s="57">
        <v>0</v>
      </c>
      <c r="BL247" s="57">
        <v>0</v>
      </c>
      <c r="BM247" s="57">
        <v>0</v>
      </c>
      <c r="BN247" s="57">
        <v>0</v>
      </c>
      <c r="BO247" s="57">
        <v>0</v>
      </c>
      <c r="BP247" s="46"/>
      <c r="BQ247" s="87">
        <v>36726.964679999997</v>
      </c>
      <c r="BR247" s="52">
        <v>26466.775279999998</v>
      </c>
      <c r="BS247" s="52">
        <v>10260.189400000001</v>
      </c>
    </row>
    <row r="248" spans="1:71" ht="12" customHeight="1" x14ac:dyDescent="0.2">
      <c r="A248" s="55">
        <v>2022</v>
      </c>
      <c r="B248" s="55" t="s">
        <v>10</v>
      </c>
      <c r="C248" s="82">
        <v>0</v>
      </c>
      <c r="D248" s="82">
        <v>9127.2620800000004</v>
      </c>
      <c r="E248" s="78">
        <v>0</v>
      </c>
      <c r="F248" s="78">
        <v>9127.2620800000004</v>
      </c>
      <c r="G248" s="82">
        <v>0</v>
      </c>
      <c r="H248" s="82">
        <v>0</v>
      </c>
      <c r="I248" s="82">
        <v>0</v>
      </c>
      <c r="J248" s="82">
        <v>0</v>
      </c>
      <c r="K248" s="82">
        <v>0</v>
      </c>
      <c r="L248" s="82"/>
      <c r="M248" s="82">
        <v>0</v>
      </c>
      <c r="N248" s="82">
        <v>5834.52297</v>
      </c>
      <c r="O248" s="78">
        <v>5834.52297</v>
      </c>
      <c r="P248" s="78">
        <v>0</v>
      </c>
      <c r="Q248" s="73">
        <v>14961.78505</v>
      </c>
      <c r="R248" s="78">
        <v>5834.52297</v>
      </c>
      <c r="S248" s="78">
        <v>9127.2620800000004</v>
      </c>
      <c r="T248" s="47"/>
      <c r="U248" s="57">
        <v>0</v>
      </c>
      <c r="V248" s="57">
        <v>10073.88919</v>
      </c>
      <c r="W248" s="57">
        <v>0</v>
      </c>
      <c r="X248" s="57"/>
      <c r="Y248" s="57">
        <v>0</v>
      </c>
      <c r="Z248" s="57">
        <v>0</v>
      </c>
      <c r="AA248" s="57">
        <v>10073.88919</v>
      </c>
      <c r="AB248" s="45"/>
      <c r="AC248" s="57">
        <v>0</v>
      </c>
      <c r="AD248" s="78">
        <v>0</v>
      </c>
      <c r="AE248" s="78">
        <v>0</v>
      </c>
      <c r="AF248" s="82">
        <v>4503.7978800000001</v>
      </c>
      <c r="AG248" s="78">
        <v>1.9745599999999999</v>
      </c>
      <c r="AH248" s="78">
        <v>4501.8233200000004</v>
      </c>
      <c r="AI248" s="82">
        <v>0</v>
      </c>
      <c r="AJ248" s="82">
        <v>1123.7872600000001</v>
      </c>
      <c r="AK248" s="78">
        <v>937.29117000000008</v>
      </c>
      <c r="AL248" s="78">
        <v>186.49609000000001</v>
      </c>
      <c r="AM248" s="82">
        <v>0</v>
      </c>
      <c r="AN248" s="78">
        <v>0</v>
      </c>
      <c r="AO248" s="79">
        <v>0</v>
      </c>
      <c r="AP248" s="82">
        <v>140.73117000000002</v>
      </c>
      <c r="AQ248" s="78">
        <v>0</v>
      </c>
      <c r="AR248" s="52">
        <v>140.73117000000002</v>
      </c>
      <c r="AS248" s="48">
        <v>0</v>
      </c>
      <c r="AT248" s="78">
        <v>0</v>
      </c>
      <c r="AU248" s="52">
        <v>0</v>
      </c>
      <c r="AV248" s="48">
        <v>5598.6629299999995</v>
      </c>
      <c r="AW248" s="52">
        <v>5598.6629299999995</v>
      </c>
      <c r="AX248" s="52">
        <v>0</v>
      </c>
      <c r="AY248" s="87">
        <v>11366.979240000001</v>
      </c>
      <c r="AZ248" s="52">
        <v>6537.9286599999996</v>
      </c>
      <c r="BA248" s="52">
        <v>4829.0505800000001</v>
      </c>
      <c r="BB248" s="48"/>
      <c r="BC248" s="57">
        <v>0</v>
      </c>
      <c r="BD248" s="57">
        <v>0</v>
      </c>
      <c r="BE248" s="57">
        <v>1652.68858</v>
      </c>
      <c r="BF248" s="57">
        <v>0</v>
      </c>
      <c r="BG248" s="57">
        <v>1652.68858</v>
      </c>
      <c r="BH248" s="46"/>
      <c r="BI248" s="57">
        <v>0</v>
      </c>
      <c r="BJ248" s="57">
        <v>0</v>
      </c>
      <c r="BK248" s="57">
        <v>0</v>
      </c>
      <c r="BL248" s="57">
        <v>0</v>
      </c>
      <c r="BM248" s="57">
        <v>0</v>
      </c>
      <c r="BN248" s="57">
        <v>0</v>
      </c>
      <c r="BO248" s="57">
        <v>0</v>
      </c>
      <c r="BP248" s="46"/>
      <c r="BQ248" s="87">
        <v>38055.342060000003</v>
      </c>
      <c r="BR248" s="52">
        <v>24099.029399999999</v>
      </c>
      <c r="BS248" s="52">
        <v>13956.31266</v>
      </c>
    </row>
    <row r="249" spans="1:71" ht="12" customHeight="1" x14ac:dyDescent="0.2">
      <c r="A249" s="55">
        <v>2022</v>
      </c>
      <c r="B249" s="55" t="s">
        <v>11</v>
      </c>
      <c r="C249" s="82">
        <v>2062.0962100000002</v>
      </c>
      <c r="D249" s="82">
        <v>8931.6687300000012</v>
      </c>
      <c r="E249" s="78">
        <v>969.24132999999995</v>
      </c>
      <c r="F249" s="78">
        <v>7962.4274000000005</v>
      </c>
      <c r="G249" s="82">
        <v>1015.51188</v>
      </c>
      <c r="H249" s="82">
        <v>0</v>
      </c>
      <c r="I249" s="82">
        <v>978.44869000000006</v>
      </c>
      <c r="J249" s="82">
        <v>0</v>
      </c>
      <c r="K249" s="82">
        <v>0</v>
      </c>
      <c r="L249" s="82"/>
      <c r="M249" s="82">
        <v>0</v>
      </c>
      <c r="N249" s="82">
        <v>5338.0961299999999</v>
      </c>
      <c r="O249" s="78">
        <v>5338.0961299999999</v>
      </c>
      <c r="P249" s="78">
        <v>0</v>
      </c>
      <c r="Q249" s="73">
        <v>18325.821640000002</v>
      </c>
      <c r="R249" s="78">
        <v>10363.39424</v>
      </c>
      <c r="S249" s="78">
        <v>7962.4274000000005</v>
      </c>
      <c r="T249" s="47"/>
      <c r="U249" s="57">
        <v>0</v>
      </c>
      <c r="V249" s="57">
        <v>5991.866140000001</v>
      </c>
      <c r="W249" s="57">
        <v>0</v>
      </c>
      <c r="X249" s="57"/>
      <c r="Y249" s="57">
        <v>0</v>
      </c>
      <c r="Z249" s="57">
        <v>1420.1356499999999</v>
      </c>
      <c r="AA249" s="57">
        <v>7412.0017900000012</v>
      </c>
      <c r="AB249" s="45"/>
      <c r="AC249" s="57">
        <v>0</v>
      </c>
      <c r="AD249" s="78">
        <v>0</v>
      </c>
      <c r="AE249" s="78">
        <v>0</v>
      </c>
      <c r="AF249" s="82">
        <v>2443.2587100000001</v>
      </c>
      <c r="AG249" s="78">
        <v>6.3928100000000008</v>
      </c>
      <c r="AH249" s="78">
        <v>2436.8659000000002</v>
      </c>
      <c r="AI249" s="82">
        <v>0</v>
      </c>
      <c r="AJ249" s="82">
        <v>180.48008999999999</v>
      </c>
      <c r="AK249" s="78">
        <v>0</v>
      </c>
      <c r="AL249" s="78">
        <v>180.48008999999999</v>
      </c>
      <c r="AM249" s="82">
        <v>0</v>
      </c>
      <c r="AN249" s="78">
        <v>0</v>
      </c>
      <c r="AO249" s="79">
        <v>0</v>
      </c>
      <c r="AP249" s="82">
        <v>74.502949999999998</v>
      </c>
      <c r="AQ249" s="78">
        <v>0</v>
      </c>
      <c r="AR249" s="52">
        <v>74.502949999999998</v>
      </c>
      <c r="AS249" s="48">
        <v>0</v>
      </c>
      <c r="AT249" s="78">
        <v>0</v>
      </c>
      <c r="AU249" s="52">
        <v>0</v>
      </c>
      <c r="AV249" s="48">
        <v>5355.2406200000005</v>
      </c>
      <c r="AW249" s="52">
        <v>5355.2406200000005</v>
      </c>
      <c r="AX249" s="52">
        <v>0</v>
      </c>
      <c r="AY249" s="87">
        <v>8053.4823700000015</v>
      </c>
      <c r="AZ249" s="52">
        <v>5361.6334300000008</v>
      </c>
      <c r="BA249" s="52">
        <v>2691.8489400000003</v>
      </c>
      <c r="BB249" s="48"/>
      <c r="BC249" s="57">
        <v>0</v>
      </c>
      <c r="BD249" s="57">
        <v>119.73158000000001</v>
      </c>
      <c r="BE249" s="57">
        <v>949.30654000000004</v>
      </c>
      <c r="BF249" s="57">
        <v>0</v>
      </c>
      <c r="BG249" s="57">
        <v>1069.0381200000002</v>
      </c>
      <c r="BH249" s="46"/>
      <c r="BI249" s="57">
        <v>58.301519999999996</v>
      </c>
      <c r="BJ249" s="57">
        <v>0</v>
      </c>
      <c r="BK249" s="57">
        <v>0</v>
      </c>
      <c r="BL249" s="57">
        <v>154.28510999999997</v>
      </c>
      <c r="BM249" s="57">
        <v>78.434839999999994</v>
      </c>
      <c r="BN249" s="57">
        <v>0</v>
      </c>
      <c r="BO249" s="57">
        <v>291.02146999999997</v>
      </c>
      <c r="BP249" s="46"/>
      <c r="BQ249" s="87">
        <v>35151.365389999999</v>
      </c>
      <c r="BR249" s="52">
        <v>24497.089050000002</v>
      </c>
      <c r="BS249" s="52">
        <v>10654.27634</v>
      </c>
    </row>
    <row r="250" spans="1:71" ht="12" customHeight="1" x14ac:dyDescent="0.2">
      <c r="A250" s="55">
        <v>2022</v>
      </c>
      <c r="B250" s="55" t="s">
        <v>12</v>
      </c>
      <c r="C250" s="82">
        <v>0</v>
      </c>
      <c r="D250" s="82">
        <v>7806.3252499999999</v>
      </c>
      <c r="E250" s="78">
        <v>0</v>
      </c>
      <c r="F250" s="78">
        <v>7806.3252499999999</v>
      </c>
      <c r="G250" s="82">
        <v>0</v>
      </c>
      <c r="H250" s="82">
        <v>0</v>
      </c>
      <c r="I250" s="82">
        <v>976.4046800000001</v>
      </c>
      <c r="J250" s="82">
        <v>2020.92328</v>
      </c>
      <c r="K250" s="82">
        <v>0</v>
      </c>
      <c r="L250" s="82"/>
      <c r="M250" s="82">
        <v>0</v>
      </c>
      <c r="N250" s="82">
        <v>5684.4072200000001</v>
      </c>
      <c r="O250" s="78">
        <v>5684.4072200000001</v>
      </c>
      <c r="P250" s="78">
        <v>0</v>
      </c>
      <c r="Q250" s="73">
        <v>16488.060429999998</v>
      </c>
      <c r="R250" s="78">
        <v>8681.7351799999997</v>
      </c>
      <c r="S250" s="78">
        <v>7806.3252499999999</v>
      </c>
      <c r="T250" s="47"/>
      <c r="U250" s="57">
        <v>0</v>
      </c>
      <c r="V250" s="57">
        <v>6333.1804499999998</v>
      </c>
      <c r="W250" s="57">
        <v>0</v>
      </c>
      <c r="X250" s="57"/>
      <c r="Y250" s="57">
        <v>0</v>
      </c>
      <c r="Z250" s="57">
        <v>971.85390000000007</v>
      </c>
      <c r="AA250" s="57">
        <v>7305.0343499999999</v>
      </c>
      <c r="AB250" s="45"/>
      <c r="AC250" s="57">
        <v>0</v>
      </c>
      <c r="AD250" s="78">
        <v>0</v>
      </c>
      <c r="AE250" s="78">
        <v>0</v>
      </c>
      <c r="AF250" s="82">
        <v>5232.4951199999987</v>
      </c>
      <c r="AG250" s="78">
        <v>3.2509999999999999</v>
      </c>
      <c r="AH250" s="78">
        <v>5229.2441199999985</v>
      </c>
      <c r="AI250" s="82">
        <v>0</v>
      </c>
      <c r="AJ250" s="82">
        <v>718.44373999999993</v>
      </c>
      <c r="AK250" s="78">
        <v>619.50185999999997</v>
      </c>
      <c r="AL250" s="78">
        <v>98.941879999999998</v>
      </c>
      <c r="AM250" s="82">
        <v>0</v>
      </c>
      <c r="AN250" s="78">
        <v>0</v>
      </c>
      <c r="AO250" s="79">
        <v>0</v>
      </c>
      <c r="AP250" s="82">
        <v>21.268349999999998</v>
      </c>
      <c r="AQ250" s="78">
        <v>0</v>
      </c>
      <c r="AR250" s="52">
        <v>21.268349999999998</v>
      </c>
      <c r="AS250" s="48">
        <v>0</v>
      </c>
      <c r="AT250" s="78">
        <v>0</v>
      </c>
      <c r="AU250" s="52">
        <v>0</v>
      </c>
      <c r="AV250" s="48">
        <v>4328.0125900000003</v>
      </c>
      <c r="AW250" s="52">
        <v>4328.0125900000003</v>
      </c>
      <c r="AX250" s="52">
        <v>0</v>
      </c>
      <c r="AY250" s="87">
        <v>10300.219799999999</v>
      </c>
      <c r="AZ250" s="52">
        <v>4950.7654499999999</v>
      </c>
      <c r="BA250" s="52">
        <v>5349.4543499999991</v>
      </c>
      <c r="BB250" s="48"/>
      <c r="BC250" s="57">
        <v>0</v>
      </c>
      <c r="BD250" s="57">
        <v>978.92829000000006</v>
      </c>
      <c r="BE250" s="57">
        <v>1762.6118000000001</v>
      </c>
      <c r="BF250" s="57">
        <v>0</v>
      </c>
      <c r="BG250" s="57">
        <v>2741.5400900000004</v>
      </c>
      <c r="BH250" s="46"/>
      <c r="BI250" s="57">
        <v>0</v>
      </c>
      <c r="BJ250" s="57">
        <v>0</v>
      </c>
      <c r="BK250" s="57">
        <v>0</v>
      </c>
      <c r="BL250" s="57">
        <v>0</v>
      </c>
      <c r="BM250" s="57">
        <v>0</v>
      </c>
      <c r="BN250" s="57">
        <v>0</v>
      </c>
      <c r="BO250" s="57">
        <v>0</v>
      </c>
      <c r="BP250" s="46"/>
      <c r="BQ250" s="87">
        <v>36834.854670000001</v>
      </c>
      <c r="BR250" s="52">
        <v>23679.075069999999</v>
      </c>
      <c r="BS250" s="52">
        <v>13155.779599999998</v>
      </c>
    </row>
    <row r="251" spans="1:71" ht="12" customHeight="1" x14ac:dyDescent="0.2">
      <c r="A251" s="55">
        <v>2022</v>
      </c>
      <c r="B251" s="55" t="s">
        <v>13</v>
      </c>
      <c r="C251" s="82">
        <v>0</v>
      </c>
      <c r="D251" s="82">
        <v>6392.9568200000003</v>
      </c>
      <c r="E251" s="78">
        <v>0</v>
      </c>
      <c r="F251" s="78">
        <v>6392.9568200000003</v>
      </c>
      <c r="G251" s="82">
        <v>0</v>
      </c>
      <c r="H251" s="82">
        <v>0</v>
      </c>
      <c r="I251" s="82">
        <v>1379.3536600000002</v>
      </c>
      <c r="J251" s="82">
        <v>0</v>
      </c>
      <c r="K251" s="82">
        <v>0</v>
      </c>
      <c r="L251" s="82"/>
      <c r="M251" s="82">
        <v>0</v>
      </c>
      <c r="N251" s="82">
        <v>4742.5786100000005</v>
      </c>
      <c r="O251" s="78">
        <v>4742.5786100000005</v>
      </c>
      <c r="P251" s="78">
        <v>0</v>
      </c>
      <c r="Q251" s="73">
        <v>12514.889090000001</v>
      </c>
      <c r="R251" s="78">
        <v>6121.9322700000012</v>
      </c>
      <c r="S251" s="78">
        <v>6392.9568200000003</v>
      </c>
      <c r="T251" s="47"/>
      <c r="U251" s="57">
        <v>0</v>
      </c>
      <c r="V251" s="57">
        <v>7279.5716400000001</v>
      </c>
      <c r="W251" s="57">
        <v>0</v>
      </c>
      <c r="X251" s="57"/>
      <c r="Y251" s="57">
        <v>839.95621999999992</v>
      </c>
      <c r="Z251" s="57">
        <v>1805.9158</v>
      </c>
      <c r="AA251" s="57">
        <v>9925.4436600000008</v>
      </c>
      <c r="AB251" s="45"/>
      <c r="AC251" s="57">
        <v>0</v>
      </c>
      <c r="AD251" s="78">
        <v>0</v>
      </c>
      <c r="AE251" s="78">
        <v>0</v>
      </c>
      <c r="AF251" s="82">
        <v>988.1573800000001</v>
      </c>
      <c r="AG251" s="78">
        <v>0.87255999999999989</v>
      </c>
      <c r="AH251" s="78">
        <v>987.28482000000008</v>
      </c>
      <c r="AI251" s="82">
        <v>7.7039999999999997</v>
      </c>
      <c r="AJ251" s="82">
        <v>104.43422</v>
      </c>
      <c r="AK251" s="78">
        <v>0</v>
      </c>
      <c r="AL251" s="78">
        <v>104.43422</v>
      </c>
      <c r="AM251" s="82">
        <v>0</v>
      </c>
      <c r="AN251" s="78">
        <v>0</v>
      </c>
      <c r="AO251" s="79">
        <v>0</v>
      </c>
      <c r="AP251" s="82">
        <v>664.65138999999999</v>
      </c>
      <c r="AQ251" s="78">
        <v>0</v>
      </c>
      <c r="AR251" s="52">
        <v>664.65138999999999</v>
      </c>
      <c r="AS251" s="48">
        <v>0</v>
      </c>
      <c r="AT251" s="78">
        <v>0</v>
      </c>
      <c r="AU251" s="52">
        <v>0</v>
      </c>
      <c r="AV251" s="48">
        <v>5952.86366</v>
      </c>
      <c r="AW251" s="52">
        <v>5952.86366</v>
      </c>
      <c r="AX251" s="52">
        <v>0</v>
      </c>
      <c r="AY251" s="87">
        <v>7717.8106500000004</v>
      </c>
      <c r="AZ251" s="52">
        <v>5961.4402200000004</v>
      </c>
      <c r="BA251" s="52">
        <v>1756.3704300000002</v>
      </c>
      <c r="BB251" s="48"/>
      <c r="BC251" s="57">
        <v>0</v>
      </c>
      <c r="BD251" s="57">
        <v>1912.3931699999998</v>
      </c>
      <c r="BE251" s="57">
        <v>2652.7608500000001</v>
      </c>
      <c r="BF251" s="57">
        <v>0</v>
      </c>
      <c r="BG251" s="57">
        <v>4565.1540199999999</v>
      </c>
      <c r="BH251" s="46"/>
      <c r="BI251" s="57">
        <v>0</v>
      </c>
      <c r="BJ251" s="57">
        <v>0</v>
      </c>
      <c r="BK251" s="57">
        <v>0</v>
      </c>
      <c r="BL251" s="57">
        <v>0</v>
      </c>
      <c r="BM251" s="57">
        <v>0</v>
      </c>
      <c r="BN251" s="57">
        <v>0</v>
      </c>
      <c r="BO251" s="57">
        <v>0</v>
      </c>
      <c r="BP251" s="46"/>
      <c r="BQ251" s="87">
        <v>34723.297420000003</v>
      </c>
      <c r="BR251" s="52">
        <v>26573.970170000001</v>
      </c>
      <c r="BS251" s="52">
        <v>8149.3272500000003</v>
      </c>
    </row>
    <row r="252" spans="1:71" ht="12" customHeight="1" x14ac:dyDescent="0.2">
      <c r="A252" s="55">
        <v>2022</v>
      </c>
      <c r="B252" s="55" t="s">
        <v>14</v>
      </c>
      <c r="C252" s="82">
        <v>0</v>
      </c>
      <c r="D252" s="82">
        <v>9606.1323099999991</v>
      </c>
      <c r="E252" s="78">
        <v>0</v>
      </c>
      <c r="F252" s="78">
        <v>9606.1323099999991</v>
      </c>
      <c r="G252" s="82">
        <v>1036.31691</v>
      </c>
      <c r="H252" s="82">
        <v>0</v>
      </c>
      <c r="I252" s="82">
        <v>2473.7454199999997</v>
      </c>
      <c r="J252" s="82">
        <v>0</v>
      </c>
      <c r="K252" s="82">
        <v>0</v>
      </c>
      <c r="L252" s="82"/>
      <c r="M252" s="82">
        <v>541.85708</v>
      </c>
      <c r="N252" s="82">
        <v>2771.9069499999996</v>
      </c>
      <c r="O252" s="78">
        <v>2771.9069499999996</v>
      </c>
      <c r="P252" s="78">
        <v>0</v>
      </c>
      <c r="Q252" s="73">
        <v>16429.95867</v>
      </c>
      <c r="R252" s="78">
        <v>6823.8263599999991</v>
      </c>
      <c r="S252" s="78">
        <v>9606.1323099999991</v>
      </c>
      <c r="T252" s="47"/>
      <c r="U252" s="57">
        <v>0</v>
      </c>
      <c r="V252" s="57">
        <v>12551.94873</v>
      </c>
      <c r="W252" s="57">
        <v>0</v>
      </c>
      <c r="X252" s="57"/>
      <c r="Y252" s="57">
        <v>0</v>
      </c>
      <c r="Z252" s="57">
        <v>1912.1706000000001</v>
      </c>
      <c r="AA252" s="57">
        <v>14464.11933</v>
      </c>
      <c r="AB252" s="45"/>
      <c r="AC252" s="57">
        <v>0</v>
      </c>
      <c r="AD252" s="78">
        <v>0</v>
      </c>
      <c r="AE252" s="78">
        <v>0</v>
      </c>
      <c r="AF252" s="82">
        <v>180.75785000000002</v>
      </c>
      <c r="AG252" s="78">
        <v>0</v>
      </c>
      <c r="AH252" s="78">
        <v>180.75785000000002</v>
      </c>
      <c r="AI252" s="82">
        <v>15.787000000000001</v>
      </c>
      <c r="AJ252" s="82">
        <v>83.809060000000002</v>
      </c>
      <c r="AK252" s="78">
        <v>0</v>
      </c>
      <c r="AL252" s="78">
        <v>83.809060000000002</v>
      </c>
      <c r="AM252" s="82">
        <v>0</v>
      </c>
      <c r="AN252" s="78">
        <v>0</v>
      </c>
      <c r="AO252" s="79">
        <v>0</v>
      </c>
      <c r="AP252" s="82">
        <v>400.31133999999997</v>
      </c>
      <c r="AQ252" s="78">
        <v>0</v>
      </c>
      <c r="AR252" s="52">
        <v>400.31133999999997</v>
      </c>
      <c r="AS252" s="48">
        <v>0</v>
      </c>
      <c r="AT252" s="78">
        <v>0</v>
      </c>
      <c r="AU252" s="52">
        <v>0</v>
      </c>
      <c r="AV252" s="48">
        <v>5453.075710000001</v>
      </c>
      <c r="AW252" s="52">
        <v>5453.075710000001</v>
      </c>
      <c r="AX252" s="52">
        <v>0</v>
      </c>
      <c r="AY252" s="87">
        <v>6133.740960000001</v>
      </c>
      <c r="AZ252" s="52">
        <v>5468.8627100000012</v>
      </c>
      <c r="BA252" s="52">
        <v>664.87824999999998</v>
      </c>
      <c r="BB252" s="48"/>
      <c r="BC252" s="57">
        <v>0</v>
      </c>
      <c r="BD252" s="57">
        <v>0</v>
      </c>
      <c r="BE252" s="57">
        <v>1090.0742399999999</v>
      </c>
      <c r="BF252" s="57">
        <v>0</v>
      </c>
      <c r="BG252" s="57">
        <v>1090.0742399999999</v>
      </c>
      <c r="BH252" s="46"/>
      <c r="BI252" s="57">
        <v>0</v>
      </c>
      <c r="BJ252" s="57">
        <v>0</v>
      </c>
      <c r="BK252" s="57">
        <v>0</v>
      </c>
      <c r="BL252" s="57">
        <v>0</v>
      </c>
      <c r="BM252" s="57">
        <v>0</v>
      </c>
      <c r="BN252" s="57">
        <v>0</v>
      </c>
      <c r="BO252" s="57">
        <v>0</v>
      </c>
      <c r="BP252" s="46"/>
      <c r="BQ252" s="87">
        <v>38117.893200000006</v>
      </c>
      <c r="BR252" s="52">
        <v>27846.882640000003</v>
      </c>
      <c r="BS252" s="52">
        <v>10271.010559999999</v>
      </c>
    </row>
    <row r="253" spans="1:71" ht="12" customHeight="1" x14ac:dyDescent="0.2">
      <c r="A253" s="55">
        <v>2022</v>
      </c>
      <c r="B253" s="55" t="s">
        <v>15</v>
      </c>
      <c r="C253" s="82">
        <v>3102.5244600000001</v>
      </c>
      <c r="D253" s="82">
        <v>105429.90959</v>
      </c>
      <c r="E253" s="78">
        <v>4478.3929500000004</v>
      </c>
      <c r="F253" s="78">
        <v>100951.51664</v>
      </c>
      <c r="G253" s="82">
        <v>3179.0428699999998</v>
      </c>
      <c r="H253" s="82">
        <v>0</v>
      </c>
      <c r="I253" s="82">
        <v>15048.580129999998</v>
      </c>
      <c r="J253" s="82">
        <v>5942.8699699999997</v>
      </c>
      <c r="K253" s="82">
        <v>0</v>
      </c>
      <c r="L253" s="82"/>
      <c r="M253" s="82">
        <v>541.85708</v>
      </c>
      <c r="N253" s="82">
        <v>63802.80086000001</v>
      </c>
      <c r="O253" s="78">
        <v>63802.80086000001</v>
      </c>
      <c r="P253" s="78">
        <v>0</v>
      </c>
      <c r="Q253" s="73">
        <v>197047.58496000004</v>
      </c>
      <c r="R253" s="78">
        <v>96096.06832000002</v>
      </c>
      <c r="S253" s="78">
        <v>100951.51664</v>
      </c>
      <c r="T253" s="47"/>
      <c r="U253" s="57">
        <v>0</v>
      </c>
      <c r="V253" s="57">
        <v>128841.07378000001</v>
      </c>
      <c r="W253" s="57">
        <v>0</v>
      </c>
      <c r="X253" s="57"/>
      <c r="Y253" s="57">
        <v>1919.51361</v>
      </c>
      <c r="Z253" s="57">
        <v>12641.74035</v>
      </c>
      <c r="AA253" s="57">
        <v>143402.32774000001</v>
      </c>
      <c r="AB253" s="45"/>
      <c r="AC253" s="57">
        <v>29.86627</v>
      </c>
      <c r="AD253" s="78">
        <v>0</v>
      </c>
      <c r="AE253" s="78">
        <v>29.86627</v>
      </c>
      <c r="AF253" s="82">
        <v>19058.085510000001</v>
      </c>
      <c r="AG253" s="78">
        <v>16.693839999999998</v>
      </c>
      <c r="AH253" s="78">
        <v>19041.391670000005</v>
      </c>
      <c r="AI253" s="82">
        <v>199.02800000000002</v>
      </c>
      <c r="AJ253" s="82">
        <v>4021.9188200000003</v>
      </c>
      <c r="AK253" s="78">
        <v>1556.79303</v>
      </c>
      <c r="AL253" s="78">
        <v>2465.1257900000001</v>
      </c>
      <c r="AM253" s="82">
        <v>0.19594</v>
      </c>
      <c r="AN253" s="78">
        <v>0.19594</v>
      </c>
      <c r="AO253" s="79">
        <v>0</v>
      </c>
      <c r="AP253" s="82">
        <v>4685.41093</v>
      </c>
      <c r="AQ253" s="78">
        <v>0</v>
      </c>
      <c r="AR253" s="52">
        <v>4685.41093</v>
      </c>
      <c r="AS253" s="48">
        <v>0</v>
      </c>
      <c r="AT253" s="78">
        <v>0</v>
      </c>
      <c r="AU253" s="52">
        <v>0</v>
      </c>
      <c r="AV253" s="48">
        <v>56021.03231000001</v>
      </c>
      <c r="AW253" s="52">
        <v>56021.03231000001</v>
      </c>
      <c r="AX253" s="52">
        <v>0</v>
      </c>
      <c r="AY253" s="87">
        <v>84015.537779999984</v>
      </c>
      <c r="AZ253" s="52">
        <v>57793.743119999999</v>
      </c>
      <c r="BA253" s="52">
        <v>26221.794660000003</v>
      </c>
      <c r="BB253" s="48"/>
      <c r="BC253" s="57">
        <v>0</v>
      </c>
      <c r="BD253" s="57">
        <v>5896.2211100000004</v>
      </c>
      <c r="BE253" s="57">
        <v>15431.00404</v>
      </c>
      <c r="BF253" s="57">
        <v>0</v>
      </c>
      <c r="BG253" s="57">
        <v>21327.225149999998</v>
      </c>
      <c r="BH253" s="46"/>
      <c r="BI253" s="57">
        <v>58.301519999999996</v>
      </c>
      <c r="BJ253" s="57">
        <v>0</v>
      </c>
      <c r="BK253" s="57">
        <v>167.39046999999999</v>
      </c>
      <c r="BL253" s="57">
        <v>154.28510999999997</v>
      </c>
      <c r="BM253" s="57">
        <v>78.434839999999994</v>
      </c>
      <c r="BN253" s="57">
        <v>0</v>
      </c>
      <c r="BO253" s="57">
        <v>458.41193999999996</v>
      </c>
      <c r="BP253" s="46"/>
      <c r="BQ253" s="87">
        <v>446251.08757000003</v>
      </c>
      <c r="BR253" s="52">
        <v>319077.77627000009</v>
      </c>
      <c r="BS253" s="96">
        <v>127173.3113</v>
      </c>
    </row>
    <row r="254" spans="1:71" ht="12" customHeight="1" x14ac:dyDescent="0.2">
      <c r="A254" s="55">
        <v>2023</v>
      </c>
      <c r="B254" s="55" t="s">
        <v>3</v>
      </c>
      <c r="C254" s="82">
        <v>0</v>
      </c>
      <c r="D254" s="82">
        <v>8544.9362899999996</v>
      </c>
      <c r="E254" s="78">
        <v>0</v>
      </c>
      <c r="F254" s="78">
        <v>8544.9362899999996</v>
      </c>
      <c r="G254" s="82">
        <v>0</v>
      </c>
      <c r="H254" s="82">
        <v>0</v>
      </c>
      <c r="I254" s="82">
        <v>596.04307999999992</v>
      </c>
      <c r="J254" s="82">
        <v>0</v>
      </c>
      <c r="K254" s="82">
        <v>0</v>
      </c>
      <c r="L254" s="82">
        <v>0</v>
      </c>
      <c r="M254" s="82">
        <v>0</v>
      </c>
      <c r="N254" s="82">
        <v>6931.6350899999998</v>
      </c>
      <c r="O254" s="78">
        <v>6931.6350899999998</v>
      </c>
      <c r="P254" s="78">
        <v>0</v>
      </c>
      <c r="Q254" s="73">
        <v>16072.614459999999</v>
      </c>
      <c r="R254" s="78">
        <v>7527.6781699999992</v>
      </c>
      <c r="S254" s="78">
        <v>8544.9362899999996</v>
      </c>
      <c r="T254" s="47"/>
      <c r="U254" s="57">
        <v>0</v>
      </c>
      <c r="V254" s="57">
        <v>7101.7540499999986</v>
      </c>
      <c r="W254" s="57">
        <v>0</v>
      </c>
      <c r="X254" s="57">
        <v>0</v>
      </c>
      <c r="Y254" s="57">
        <v>0</v>
      </c>
      <c r="Z254" s="57">
        <v>426.26878999999997</v>
      </c>
      <c r="AA254" s="57">
        <v>7528.0228399999987</v>
      </c>
      <c r="AB254" s="45"/>
      <c r="AC254" s="57">
        <v>0</v>
      </c>
      <c r="AD254" s="78">
        <v>0</v>
      </c>
      <c r="AE254" s="78">
        <v>0</v>
      </c>
      <c r="AF254" s="82">
        <v>1078.1899799999999</v>
      </c>
      <c r="AG254" s="78">
        <v>0</v>
      </c>
      <c r="AH254" s="78">
        <v>1078.1899799999999</v>
      </c>
      <c r="AI254" s="82">
        <v>0</v>
      </c>
      <c r="AJ254" s="82">
        <v>186.49609000000001</v>
      </c>
      <c r="AK254" s="78">
        <v>0</v>
      </c>
      <c r="AL254" s="78">
        <v>186.49609000000001</v>
      </c>
      <c r="AM254" s="82">
        <v>0</v>
      </c>
      <c r="AN254" s="78">
        <v>0</v>
      </c>
      <c r="AO254" s="79">
        <v>0</v>
      </c>
      <c r="AP254" s="82">
        <v>1087.5185100000001</v>
      </c>
      <c r="AQ254" s="78">
        <v>0</v>
      </c>
      <c r="AR254" s="52">
        <v>1087.5185100000001</v>
      </c>
      <c r="AS254" s="48">
        <v>0</v>
      </c>
      <c r="AT254" s="78">
        <v>0</v>
      </c>
      <c r="AU254" s="52">
        <v>0</v>
      </c>
      <c r="AV254" s="48">
        <v>6371.9516700000004</v>
      </c>
      <c r="AW254" s="52">
        <v>6371.9516700000004</v>
      </c>
      <c r="AX254" s="52">
        <v>0</v>
      </c>
      <c r="AY254" s="87">
        <v>8724.15625</v>
      </c>
      <c r="AZ254" s="52">
        <v>6371.9516700000004</v>
      </c>
      <c r="BA254" s="52">
        <v>2352.2045800000001</v>
      </c>
      <c r="BB254" s="48"/>
      <c r="BC254" s="57">
        <v>0</v>
      </c>
      <c r="BD254" s="57">
        <v>0</v>
      </c>
      <c r="BE254" s="57">
        <v>879.37573999999995</v>
      </c>
      <c r="BF254" s="57">
        <v>0</v>
      </c>
      <c r="BG254" s="57">
        <v>879.37573999999995</v>
      </c>
      <c r="BH254" s="46"/>
      <c r="BI254" s="57">
        <v>70.424530000000004</v>
      </c>
      <c r="BJ254" s="57">
        <v>0</v>
      </c>
      <c r="BK254" s="57">
        <v>0</v>
      </c>
      <c r="BL254" s="57">
        <v>0</v>
      </c>
      <c r="BM254" s="57">
        <v>0</v>
      </c>
      <c r="BN254" s="57">
        <v>0</v>
      </c>
      <c r="BO254" s="57">
        <v>70.424530000000004</v>
      </c>
      <c r="BP254" s="46"/>
      <c r="BQ254" s="87">
        <v>33274.593819999995</v>
      </c>
      <c r="BR254" s="52">
        <v>22377.452949999999</v>
      </c>
      <c r="BS254" s="52">
        <v>10897.140869999999</v>
      </c>
    </row>
    <row r="255" spans="1:71" ht="12" customHeight="1" x14ac:dyDescent="0.2">
      <c r="A255" s="55">
        <v>2023</v>
      </c>
      <c r="B255" s="55" t="s">
        <v>4</v>
      </c>
      <c r="C255" s="82">
        <v>0</v>
      </c>
      <c r="D255" s="82">
        <v>7481.3936399999984</v>
      </c>
      <c r="E255" s="78">
        <v>75.283100000000005</v>
      </c>
      <c r="F255" s="78">
        <v>7406.1105399999988</v>
      </c>
      <c r="G255" s="82">
        <v>1108.1599899999999</v>
      </c>
      <c r="H255" s="82">
        <v>0</v>
      </c>
      <c r="I255" s="82">
        <v>1045.2418700000001</v>
      </c>
      <c r="J255" s="82">
        <v>970.51423999999997</v>
      </c>
      <c r="K255" s="82">
        <v>0</v>
      </c>
      <c r="L255" s="82">
        <v>0</v>
      </c>
      <c r="M255" s="82">
        <v>0</v>
      </c>
      <c r="N255" s="82">
        <v>2792.0584900000003</v>
      </c>
      <c r="O255" s="78">
        <v>2792.0584900000003</v>
      </c>
      <c r="P255" s="78">
        <v>0</v>
      </c>
      <c r="Q255" s="73">
        <v>13397.36823</v>
      </c>
      <c r="R255" s="78">
        <v>5991.2576900000004</v>
      </c>
      <c r="S255" s="78">
        <v>7406.1105399999988</v>
      </c>
      <c r="T255" s="47"/>
      <c r="U255" s="57">
        <v>0</v>
      </c>
      <c r="V255" s="57">
        <v>7188.5661000000009</v>
      </c>
      <c r="W255" s="57">
        <v>0</v>
      </c>
      <c r="X255" s="57">
        <v>0</v>
      </c>
      <c r="Y255" s="57">
        <v>0</v>
      </c>
      <c r="Z255" s="57">
        <v>997.27103</v>
      </c>
      <c r="AA255" s="57">
        <v>8185.8371300000008</v>
      </c>
      <c r="AB255" s="45"/>
      <c r="AC255" s="57">
        <v>0</v>
      </c>
      <c r="AD255" s="78">
        <v>0</v>
      </c>
      <c r="AE255" s="78">
        <v>0</v>
      </c>
      <c r="AF255" s="82">
        <v>2406.79504</v>
      </c>
      <c r="AG255" s="78">
        <v>0</v>
      </c>
      <c r="AH255" s="78">
        <v>2406.79504</v>
      </c>
      <c r="AI255" s="82">
        <v>0</v>
      </c>
      <c r="AJ255" s="82">
        <v>168.44807999999998</v>
      </c>
      <c r="AK255" s="78">
        <v>0</v>
      </c>
      <c r="AL255" s="78">
        <v>168.44807999999998</v>
      </c>
      <c r="AM255" s="82">
        <v>0</v>
      </c>
      <c r="AN255" s="78">
        <v>0</v>
      </c>
      <c r="AO255" s="79">
        <v>0</v>
      </c>
      <c r="AP255" s="82">
        <v>364.40760999999998</v>
      </c>
      <c r="AQ255" s="78">
        <v>0</v>
      </c>
      <c r="AR255" s="52">
        <v>364.40760999999998</v>
      </c>
      <c r="AS255" s="48">
        <v>74.692499999999995</v>
      </c>
      <c r="AT255" s="78">
        <v>74.692499999999995</v>
      </c>
      <c r="AU255" s="52">
        <v>0</v>
      </c>
      <c r="AV255" s="48">
        <v>5465.2987599999997</v>
      </c>
      <c r="AW255" s="52">
        <v>5465.2987599999997</v>
      </c>
      <c r="AX255" s="52">
        <v>0</v>
      </c>
      <c r="AY255" s="87">
        <v>8479.6419900000001</v>
      </c>
      <c r="AZ255" s="52">
        <v>5539.9912599999998</v>
      </c>
      <c r="BA255" s="52">
        <v>2939.6507300000003</v>
      </c>
      <c r="BB255" s="48"/>
      <c r="BC255" s="57">
        <v>0</v>
      </c>
      <c r="BD255" s="57">
        <v>0</v>
      </c>
      <c r="BE255" s="57">
        <v>1761.7663</v>
      </c>
      <c r="BF255" s="57">
        <v>0</v>
      </c>
      <c r="BG255" s="57">
        <v>1761.7663</v>
      </c>
      <c r="BH255" s="46"/>
      <c r="BI255" s="57">
        <v>0</v>
      </c>
      <c r="BJ255" s="57">
        <v>0</v>
      </c>
      <c r="BK255" s="57">
        <v>0</v>
      </c>
      <c r="BL255" s="57">
        <v>0</v>
      </c>
      <c r="BM255" s="57">
        <v>0</v>
      </c>
      <c r="BN255" s="57">
        <v>0</v>
      </c>
      <c r="BO255" s="57">
        <v>0</v>
      </c>
      <c r="BP255" s="46"/>
      <c r="BQ255" s="87">
        <v>31824.613649999999</v>
      </c>
      <c r="BR255" s="52">
        <v>21478.85238</v>
      </c>
      <c r="BS255" s="52">
        <v>10345.761269999999</v>
      </c>
    </row>
    <row r="256" spans="1:71" ht="12" customHeight="1" x14ac:dyDescent="0.2">
      <c r="A256" s="55">
        <v>2023</v>
      </c>
      <c r="B256" s="55" t="s">
        <v>5</v>
      </c>
      <c r="C256" s="82">
        <v>0</v>
      </c>
      <c r="D256" s="82">
        <v>9274.0159000000003</v>
      </c>
      <c r="E256" s="78">
        <v>2871.4613000000004</v>
      </c>
      <c r="F256" s="78">
        <v>6402.5545999999995</v>
      </c>
      <c r="G256" s="82">
        <v>966.92200000000003</v>
      </c>
      <c r="H256" s="82">
        <v>0</v>
      </c>
      <c r="I256" s="82">
        <v>0</v>
      </c>
      <c r="J256" s="82">
        <v>920.54178999999999</v>
      </c>
      <c r="K256" s="82">
        <v>0</v>
      </c>
      <c r="L256" s="82">
        <v>0</v>
      </c>
      <c r="M256" s="82">
        <v>0</v>
      </c>
      <c r="N256" s="82">
        <v>5920.0206799999996</v>
      </c>
      <c r="O256" s="78">
        <v>5920.0206799999996</v>
      </c>
      <c r="P256" s="78">
        <v>0</v>
      </c>
      <c r="Q256" s="73">
        <v>17081.500370000002</v>
      </c>
      <c r="R256" s="78">
        <v>10678.94577</v>
      </c>
      <c r="S256" s="78">
        <v>6402.5545999999995</v>
      </c>
      <c r="T256" s="47"/>
      <c r="U256" s="57">
        <v>0</v>
      </c>
      <c r="V256" s="57">
        <v>10045.23013</v>
      </c>
      <c r="W256" s="57">
        <v>0</v>
      </c>
      <c r="X256" s="57">
        <v>0</v>
      </c>
      <c r="Y256" s="57">
        <v>0</v>
      </c>
      <c r="Z256" s="57">
        <v>978.68430000000001</v>
      </c>
      <c r="AA256" s="57">
        <v>11023.914430000001</v>
      </c>
      <c r="AB256" s="45"/>
      <c r="AC256" s="57">
        <v>0</v>
      </c>
      <c r="AD256" s="78">
        <v>0</v>
      </c>
      <c r="AE256" s="78">
        <v>0</v>
      </c>
      <c r="AF256" s="82">
        <v>803.05088999999998</v>
      </c>
      <c r="AG256" s="78">
        <v>0</v>
      </c>
      <c r="AH256" s="78">
        <v>803.05088999999998</v>
      </c>
      <c r="AI256" s="82">
        <v>0</v>
      </c>
      <c r="AJ256" s="82">
        <v>242.51496000000003</v>
      </c>
      <c r="AK256" s="78">
        <v>0</v>
      </c>
      <c r="AL256" s="78">
        <v>242.51496000000003</v>
      </c>
      <c r="AM256" s="82">
        <v>0</v>
      </c>
      <c r="AN256" s="78">
        <v>0</v>
      </c>
      <c r="AO256" s="79">
        <v>0</v>
      </c>
      <c r="AP256" s="82">
        <v>469.55129999999997</v>
      </c>
      <c r="AQ256" s="78">
        <v>0</v>
      </c>
      <c r="AR256" s="52">
        <v>469.55129999999997</v>
      </c>
      <c r="AS256" s="52">
        <v>0</v>
      </c>
      <c r="AT256" s="78">
        <v>0</v>
      </c>
      <c r="AU256" s="52">
        <v>0</v>
      </c>
      <c r="AV256" s="48">
        <v>5459.6898600000004</v>
      </c>
      <c r="AW256" s="52">
        <v>5459.6898600000004</v>
      </c>
      <c r="AX256" s="52">
        <v>0</v>
      </c>
      <c r="AY256" s="87">
        <v>6974.8070100000004</v>
      </c>
      <c r="AZ256" s="52">
        <v>5459.6898600000004</v>
      </c>
      <c r="BA256" s="52">
        <v>1515.11715</v>
      </c>
      <c r="BB256" s="48"/>
      <c r="BC256" s="57">
        <v>0</v>
      </c>
      <c r="BD256" s="57">
        <v>961.98289999999997</v>
      </c>
      <c r="BE256" s="57">
        <v>1817.7845300000001</v>
      </c>
      <c r="BF256" s="57">
        <v>0</v>
      </c>
      <c r="BG256" s="57">
        <v>2779.7674299999999</v>
      </c>
      <c r="BH256" s="46"/>
      <c r="BI256" s="57">
        <v>0</v>
      </c>
      <c r="BJ256" s="57">
        <v>0</v>
      </c>
      <c r="BK256" s="57">
        <v>0</v>
      </c>
      <c r="BL256" s="57">
        <v>0</v>
      </c>
      <c r="BM256" s="57">
        <v>0</v>
      </c>
      <c r="BN256" s="57">
        <v>0</v>
      </c>
      <c r="BO256" s="57">
        <v>0</v>
      </c>
      <c r="BP256" s="46"/>
      <c r="BQ256" s="87">
        <v>37859.989240000003</v>
      </c>
      <c r="BR256" s="52">
        <v>29942.317490000001</v>
      </c>
      <c r="BS256" s="52">
        <v>7917.6717499999995</v>
      </c>
    </row>
    <row r="257" spans="1:71" ht="12" customHeight="1" x14ac:dyDescent="0.2">
      <c r="A257" s="55">
        <v>2023</v>
      </c>
      <c r="B257" s="55" t="s">
        <v>6</v>
      </c>
      <c r="C257" s="82">
        <v>1027.45261</v>
      </c>
      <c r="D257" s="82">
        <v>9397.4351500000012</v>
      </c>
      <c r="E257" s="78">
        <v>2439.14183</v>
      </c>
      <c r="F257" s="78">
        <v>6958.2933200000007</v>
      </c>
      <c r="G257" s="82">
        <v>1098.05953</v>
      </c>
      <c r="H257" s="82">
        <v>0</v>
      </c>
      <c r="I257" s="82">
        <v>1112.7167299999999</v>
      </c>
      <c r="J257" s="82">
        <v>0</v>
      </c>
      <c r="K257" s="82">
        <v>0</v>
      </c>
      <c r="L257" s="82">
        <v>0</v>
      </c>
      <c r="M257" s="82">
        <v>0</v>
      </c>
      <c r="N257" s="82">
        <v>4840.8125300000002</v>
      </c>
      <c r="O257" s="78">
        <v>4840.8125300000002</v>
      </c>
      <c r="P257" s="78">
        <v>0</v>
      </c>
      <c r="Q257" s="73">
        <v>17476.476549999999</v>
      </c>
      <c r="R257" s="78">
        <v>10518.183230000001</v>
      </c>
      <c r="S257" s="78">
        <v>6958.2933200000007</v>
      </c>
      <c r="T257" s="47"/>
      <c r="U257" s="57">
        <v>0</v>
      </c>
      <c r="V257" s="57">
        <v>9192.8654100000022</v>
      </c>
      <c r="W257" s="57">
        <v>0</v>
      </c>
      <c r="X257" s="57">
        <v>0</v>
      </c>
      <c r="Y257" s="57">
        <v>0</v>
      </c>
      <c r="Z257" s="57">
        <v>0</v>
      </c>
      <c r="AA257" s="57">
        <v>9192.8654100000022</v>
      </c>
      <c r="AB257" s="45"/>
      <c r="AC257" s="57">
        <v>0</v>
      </c>
      <c r="AD257" s="78">
        <v>0</v>
      </c>
      <c r="AE257" s="78">
        <v>0</v>
      </c>
      <c r="AF257" s="82">
        <v>23.475000000000001</v>
      </c>
      <c r="AG257" s="78">
        <v>0</v>
      </c>
      <c r="AH257" s="78">
        <v>23.475000000000001</v>
      </c>
      <c r="AI257" s="82">
        <v>0</v>
      </c>
      <c r="AJ257" s="82">
        <v>1113.2402400000001</v>
      </c>
      <c r="AK257" s="78">
        <v>932.76015000000007</v>
      </c>
      <c r="AL257" s="78">
        <v>180.48008999999999</v>
      </c>
      <c r="AM257" s="82">
        <v>0</v>
      </c>
      <c r="AN257" s="78">
        <v>0</v>
      </c>
      <c r="AO257" s="79">
        <v>0</v>
      </c>
      <c r="AP257" s="82">
        <v>1273.6368399999999</v>
      </c>
      <c r="AQ257" s="78">
        <v>0</v>
      </c>
      <c r="AR257" s="52">
        <v>1273.6368399999999</v>
      </c>
      <c r="AS257" s="52">
        <v>0</v>
      </c>
      <c r="AT257" s="78">
        <v>0</v>
      </c>
      <c r="AU257" s="52">
        <v>0</v>
      </c>
      <c r="AV257" s="48">
        <v>6512.9477800000004</v>
      </c>
      <c r="AW257" s="52">
        <v>6512.9477800000004</v>
      </c>
      <c r="AX257" s="52">
        <v>0</v>
      </c>
      <c r="AY257" s="87">
        <v>8923.299860000001</v>
      </c>
      <c r="AZ257" s="52">
        <v>7445.7079300000005</v>
      </c>
      <c r="BA257" s="52">
        <v>1477.5919299999998</v>
      </c>
      <c r="BB257" s="48"/>
      <c r="BC257" s="57">
        <v>0</v>
      </c>
      <c r="BD257" s="57">
        <v>1940.4524899999999</v>
      </c>
      <c r="BE257" s="57">
        <v>877.3908100000001</v>
      </c>
      <c r="BF257" s="57">
        <v>0</v>
      </c>
      <c r="BG257" s="57">
        <v>2817.8433</v>
      </c>
      <c r="BH257" s="46"/>
      <c r="BI257" s="57">
        <v>0</v>
      </c>
      <c r="BJ257" s="57">
        <v>0</v>
      </c>
      <c r="BK257" s="57">
        <v>0</v>
      </c>
      <c r="BL257" s="57">
        <v>0</v>
      </c>
      <c r="BM257" s="57">
        <v>0</v>
      </c>
      <c r="BN257" s="57">
        <v>0</v>
      </c>
      <c r="BO257" s="57">
        <v>0</v>
      </c>
      <c r="BP257" s="46"/>
      <c r="BQ257" s="87">
        <v>38410.485120000005</v>
      </c>
      <c r="BR257" s="52">
        <v>29974.599870000002</v>
      </c>
      <c r="BS257" s="52">
        <v>8435.8852500000012</v>
      </c>
    </row>
    <row r="258" spans="1:71" ht="12" customHeight="1" x14ac:dyDescent="0.2">
      <c r="A258" s="55">
        <v>2023</v>
      </c>
      <c r="B258" s="55" t="s">
        <v>7</v>
      </c>
      <c r="C258" s="82">
        <v>1031.7608700000001</v>
      </c>
      <c r="D258" s="82">
        <v>9824.5643899999995</v>
      </c>
      <c r="E258" s="78">
        <v>1971.4921000000002</v>
      </c>
      <c r="F258" s="78">
        <v>7853.0722900000001</v>
      </c>
      <c r="G258" s="82">
        <v>0</v>
      </c>
      <c r="H258" s="82">
        <v>0</v>
      </c>
      <c r="I258" s="82">
        <v>0</v>
      </c>
      <c r="J258" s="82">
        <v>0</v>
      </c>
      <c r="K258" s="82">
        <v>0</v>
      </c>
      <c r="L258" s="82">
        <v>0</v>
      </c>
      <c r="M258" s="82">
        <v>0</v>
      </c>
      <c r="N258" s="82">
        <v>6812.9698900000003</v>
      </c>
      <c r="O258" s="78">
        <v>6812.9698900000003</v>
      </c>
      <c r="P258" s="78">
        <v>0</v>
      </c>
      <c r="Q258" s="73">
        <v>17669.295149999998</v>
      </c>
      <c r="R258" s="78">
        <v>9816.2228599999999</v>
      </c>
      <c r="S258" s="78">
        <v>7853.0722900000001</v>
      </c>
      <c r="T258" s="47"/>
      <c r="U258" s="45">
        <v>0</v>
      </c>
      <c r="V258" s="45">
        <v>1964.2686800000001</v>
      </c>
      <c r="W258" s="45">
        <v>0</v>
      </c>
      <c r="X258" s="45">
        <v>0</v>
      </c>
      <c r="Y258" s="45">
        <v>1083.7040200000001</v>
      </c>
      <c r="Z258" s="45">
        <v>1371.53448</v>
      </c>
      <c r="AA258" s="45">
        <v>4419.5071800000005</v>
      </c>
      <c r="AB258" s="45"/>
      <c r="AC258" s="57">
        <v>0</v>
      </c>
      <c r="AD258" s="78">
        <v>0</v>
      </c>
      <c r="AE258" s="78">
        <v>0</v>
      </c>
      <c r="AF258" s="82">
        <v>175.91043000000002</v>
      </c>
      <c r="AG258" s="78">
        <v>0</v>
      </c>
      <c r="AH258" s="78">
        <v>175.91043000000002</v>
      </c>
      <c r="AI258" s="82">
        <v>0</v>
      </c>
      <c r="AJ258" s="82">
        <v>83.809060000000002</v>
      </c>
      <c r="AK258" s="78">
        <v>0</v>
      </c>
      <c r="AL258" s="78">
        <v>83.809060000000002</v>
      </c>
      <c r="AM258" s="82">
        <v>0</v>
      </c>
      <c r="AN258" s="78">
        <v>0</v>
      </c>
      <c r="AO258" s="79">
        <v>0</v>
      </c>
      <c r="AP258" s="82">
        <v>1795.3572900000001</v>
      </c>
      <c r="AQ258" s="78">
        <v>0</v>
      </c>
      <c r="AR258" s="52">
        <v>1795.3572900000001</v>
      </c>
      <c r="AS258" s="52">
        <v>0</v>
      </c>
      <c r="AT258" s="78">
        <v>0</v>
      </c>
      <c r="AU258" s="52">
        <v>0</v>
      </c>
      <c r="AV258" s="48">
        <v>9662.6034600000003</v>
      </c>
      <c r="AW258" s="52">
        <v>9662.6034600000003</v>
      </c>
      <c r="AX258" s="52">
        <v>0</v>
      </c>
      <c r="AY258" s="87">
        <v>11717.680240000002</v>
      </c>
      <c r="AZ258" s="52">
        <v>9662.6034600000003</v>
      </c>
      <c r="BA258" s="52">
        <v>2055.0767800000003</v>
      </c>
      <c r="BB258" s="48"/>
      <c r="BC258" s="57">
        <v>0</v>
      </c>
      <c r="BD258" s="57">
        <v>0</v>
      </c>
      <c r="BE258" s="57">
        <v>876.94779000000005</v>
      </c>
      <c r="BF258" s="57">
        <v>0</v>
      </c>
      <c r="BG258" s="57">
        <v>876.94779000000005</v>
      </c>
      <c r="BH258" s="46"/>
      <c r="BI258" s="57">
        <v>0</v>
      </c>
      <c r="BJ258" s="57">
        <v>0</v>
      </c>
      <c r="BK258" s="57">
        <v>0</v>
      </c>
      <c r="BL258" s="57">
        <v>0</v>
      </c>
      <c r="BM258" s="57">
        <v>0</v>
      </c>
      <c r="BN258" s="57">
        <v>0</v>
      </c>
      <c r="BO258" s="57">
        <v>0</v>
      </c>
      <c r="BP258" s="46"/>
      <c r="BQ258" s="87">
        <v>34683.430359999998</v>
      </c>
      <c r="BR258" s="52">
        <v>24775.281289999999</v>
      </c>
      <c r="BS258" s="52">
        <v>9908.1490699999995</v>
      </c>
    </row>
    <row r="259" spans="1:71" ht="12" customHeight="1" x14ac:dyDescent="0.2">
      <c r="A259" s="55">
        <v>2023</v>
      </c>
      <c r="B259" s="55" t="s">
        <v>8</v>
      </c>
      <c r="C259" s="82">
        <v>0</v>
      </c>
      <c r="D259" s="82">
        <v>6028.5624800000005</v>
      </c>
      <c r="E259" s="78">
        <v>989.13621999999998</v>
      </c>
      <c r="F259" s="78">
        <v>5039.4262600000002</v>
      </c>
      <c r="G259" s="82">
        <v>0</v>
      </c>
      <c r="H259" s="82">
        <v>0</v>
      </c>
      <c r="I259" s="82">
        <v>900.06846999999993</v>
      </c>
      <c r="J259" s="82">
        <v>0</v>
      </c>
      <c r="K259" s="82">
        <v>0</v>
      </c>
      <c r="L259" s="82">
        <v>0</v>
      </c>
      <c r="M259" s="82">
        <v>0</v>
      </c>
      <c r="N259" s="82">
        <v>2878.5253499999994</v>
      </c>
      <c r="O259" s="78">
        <v>2878.5253499999994</v>
      </c>
      <c r="P259" s="78">
        <v>0</v>
      </c>
      <c r="Q259" s="73">
        <v>9807.1562999999987</v>
      </c>
      <c r="R259" s="78">
        <v>4767.7300399999995</v>
      </c>
      <c r="S259" s="78">
        <v>5039.4262600000002</v>
      </c>
      <c r="T259" s="47"/>
      <c r="U259" s="45">
        <v>0</v>
      </c>
      <c r="V259" s="45">
        <v>5289.51271</v>
      </c>
      <c r="W259" s="45">
        <v>0</v>
      </c>
      <c r="X259" s="45">
        <v>0</v>
      </c>
      <c r="Y259" s="45">
        <v>2781.5450000000001</v>
      </c>
      <c r="Z259" s="45">
        <v>0</v>
      </c>
      <c r="AA259" s="45">
        <v>8071.05771</v>
      </c>
      <c r="AB259" s="45"/>
      <c r="AC259" s="57">
        <v>0</v>
      </c>
      <c r="AD259" s="78">
        <v>0</v>
      </c>
      <c r="AE259" s="78">
        <v>0</v>
      </c>
      <c r="AF259" s="82">
        <v>819.79045999999994</v>
      </c>
      <c r="AG259" s="78">
        <v>0</v>
      </c>
      <c r="AH259" s="78">
        <v>819.79045999999994</v>
      </c>
      <c r="AI259" s="82">
        <v>0</v>
      </c>
      <c r="AJ259" s="82">
        <v>180.48008999999999</v>
      </c>
      <c r="AK259" s="78">
        <v>0</v>
      </c>
      <c r="AL259" s="78">
        <v>180.48008999999999</v>
      </c>
      <c r="AM259" s="82">
        <v>0</v>
      </c>
      <c r="AN259" s="78">
        <v>0</v>
      </c>
      <c r="AO259" s="79">
        <v>0</v>
      </c>
      <c r="AP259" s="82">
        <v>1193.6795099999999</v>
      </c>
      <c r="AQ259" s="78">
        <v>0</v>
      </c>
      <c r="AR259" s="52">
        <v>1193.6795099999999</v>
      </c>
      <c r="AS259" s="52">
        <v>0</v>
      </c>
      <c r="AT259" s="78">
        <v>0</v>
      </c>
      <c r="AU259" s="52">
        <v>0</v>
      </c>
      <c r="AV259" s="48">
        <v>7672.9228899999998</v>
      </c>
      <c r="AW259" s="52">
        <v>7672.9228899999998</v>
      </c>
      <c r="AX259" s="52">
        <v>0</v>
      </c>
      <c r="AY259" s="87">
        <v>9866.8729500000009</v>
      </c>
      <c r="AZ259" s="52">
        <v>7672.9228899999998</v>
      </c>
      <c r="BA259" s="52">
        <v>2193.9500600000001</v>
      </c>
      <c r="BB259" s="48"/>
      <c r="BC259" s="57">
        <v>0</v>
      </c>
      <c r="BD259" s="57">
        <v>0</v>
      </c>
      <c r="BE259" s="57">
        <v>876.50864000000001</v>
      </c>
      <c r="BF259" s="57">
        <v>0</v>
      </c>
      <c r="BG259" s="57">
        <v>876.50864000000001</v>
      </c>
      <c r="BH259" s="46"/>
      <c r="BI259" s="57">
        <v>0</v>
      </c>
      <c r="BJ259" s="57">
        <v>0</v>
      </c>
      <c r="BK259" s="57">
        <v>0</v>
      </c>
      <c r="BL259" s="57">
        <v>0</v>
      </c>
      <c r="BM259" s="57">
        <v>0</v>
      </c>
      <c r="BN259" s="57">
        <v>0</v>
      </c>
      <c r="BO259" s="57">
        <v>0</v>
      </c>
      <c r="BP259" s="46"/>
      <c r="BQ259" s="87">
        <v>28621.595600000001</v>
      </c>
      <c r="BR259" s="52">
        <v>21388.219279999998</v>
      </c>
      <c r="BS259" s="52">
        <v>7233.3763200000003</v>
      </c>
    </row>
    <row r="260" spans="1:71" ht="12" customHeight="1" x14ac:dyDescent="0.2">
      <c r="A260" s="55">
        <v>2023</v>
      </c>
      <c r="B260" s="55" t="s">
        <v>9</v>
      </c>
      <c r="C260" s="82">
        <v>1052.2395100000001</v>
      </c>
      <c r="D260" s="82">
        <v>9105.2015300000003</v>
      </c>
      <c r="E260" s="78">
        <v>492.62700000000001</v>
      </c>
      <c r="F260" s="78">
        <v>8612.5745299999999</v>
      </c>
      <c r="G260" s="82">
        <v>0</v>
      </c>
      <c r="H260" s="82">
        <v>0</v>
      </c>
      <c r="I260" s="82">
        <v>0</v>
      </c>
      <c r="J260" s="82">
        <v>0</v>
      </c>
      <c r="K260" s="82">
        <v>0</v>
      </c>
      <c r="L260" s="82">
        <v>0</v>
      </c>
      <c r="M260" s="82">
        <v>0</v>
      </c>
      <c r="N260" s="82">
        <v>3638.90076</v>
      </c>
      <c r="O260" s="78">
        <v>3638.90076</v>
      </c>
      <c r="P260" s="78">
        <v>0</v>
      </c>
      <c r="Q260" s="73">
        <v>13796.3418</v>
      </c>
      <c r="R260" s="78">
        <v>5183.7672700000003</v>
      </c>
      <c r="S260" s="78">
        <v>8612.5745299999999</v>
      </c>
      <c r="T260" s="47"/>
      <c r="U260" s="45">
        <v>0</v>
      </c>
      <c r="V260" s="45">
        <v>3945.1173899999999</v>
      </c>
      <c r="W260" s="45">
        <v>0</v>
      </c>
      <c r="X260" s="45">
        <v>0</v>
      </c>
      <c r="Y260" s="45">
        <v>0</v>
      </c>
      <c r="Z260" s="45">
        <v>1748.96648</v>
      </c>
      <c r="AA260" s="45">
        <v>5694.0838700000004</v>
      </c>
      <c r="AB260" s="45"/>
      <c r="AC260" s="57">
        <v>0</v>
      </c>
      <c r="AD260" s="78">
        <v>0</v>
      </c>
      <c r="AE260" s="78">
        <v>0</v>
      </c>
      <c r="AF260" s="82">
        <v>1516.6300799999999</v>
      </c>
      <c r="AG260" s="78">
        <v>0</v>
      </c>
      <c r="AH260" s="78">
        <v>1516.6300799999999</v>
      </c>
      <c r="AI260" s="82">
        <v>0</v>
      </c>
      <c r="AJ260" s="82">
        <v>186.49609000000001</v>
      </c>
      <c r="AK260" s="78">
        <v>0</v>
      </c>
      <c r="AL260" s="78">
        <v>186.49609000000001</v>
      </c>
      <c r="AM260" s="82">
        <v>0</v>
      </c>
      <c r="AN260" s="78">
        <v>0</v>
      </c>
      <c r="AO260" s="79">
        <v>0</v>
      </c>
      <c r="AP260" s="82">
        <v>866.2781500000001</v>
      </c>
      <c r="AQ260" s="78">
        <v>0</v>
      </c>
      <c r="AR260" s="52">
        <v>866.2781500000001</v>
      </c>
      <c r="AS260" s="52">
        <v>0</v>
      </c>
      <c r="AT260" s="78">
        <v>0</v>
      </c>
      <c r="AU260" s="52">
        <v>0</v>
      </c>
      <c r="AV260" s="48">
        <v>8763.8101700000007</v>
      </c>
      <c r="AW260" s="52">
        <v>8763.8101700000007</v>
      </c>
      <c r="AX260" s="52">
        <v>0</v>
      </c>
      <c r="AY260" s="87">
        <v>11333.21449</v>
      </c>
      <c r="AZ260" s="52">
        <v>8763.8101700000007</v>
      </c>
      <c r="BA260" s="52">
        <v>2569.4043200000001</v>
      </c>
      <c r="BB260" s="48"/>
      <c r="BC260" s="57">
        <v>0</v>
      </c>
      <c r="BD260" s="57">
        <v>0</v>
      </c>
      <c r="BE260" s="57">
        <v>878.64747</v>
      </c>
      <c r="BF260" s="57">
        <v>0</v>
      </c>
      <c r="BG260" s="57">
        <v>878.64747</v>
      </c>
      <c r="BH260" s="46"/>
      <c r="BI260" s="57">
        <v>0</v>
      </c>
      <c r="BJ260" s="57">
        <v>0</v>
      </c>
      <c r="BK260" s="57">
        <v>0</v>
      </c>
      <c r="BL260" s="57">
        <v>0</v>
      </c>
      <c r="BM260" s="57">
        <v>0</v>
      </c>
      <c r="BN260" s="57">
        <v>0</v>
      </c>
      <c r="BO260" s="57">
        <v>0</v>
      </c>
      <c r="BP260" s="46"/>
      <c r="BQ260" s="87">
        <v>31702.287630000003</v>
      </c>
      <c r="BR260" s="52">
        <v>20520.308780000003</v>
      </c>
      <c r="BS260" s="52">
        <v>11181.97885</v>
      </c>
    </row>
    <row r="261" spans="1:71" ht="12" customHeight="1" x14ac:dyDescent="0.2">
      <c r="A261" s="55">
        <v>2023</v>
      </c>
      <c r="B261" s="55" t="s">
        <v>10</v>
      </c>
      <c r="C261" s="82">
        <v>0</v>
      </c>
      <c r="D261" s="82">
        <v>8289.4103500000001</v>
      </c>
      <c r="E261" s="78">
        <v>489.67599999999999</v>
      </c>
      <c r="F261" s="78">
        <v>7799.7343499999997</v>
      </c>
      <c r="G261" s="82">
        <v>0</v>
      </c>
      <c r="H261" s="82">
        <v>0</v>
      </c>
      <c r="I261" s="82">
        <v>0</v>
      </c>
      <c r="J261" s="82">
        <v>0</v>
      </c>
      <c r="K261" s="82">
        <v>0</v>
      </c>
      <c r="L261" s="82">
        <v>0</v>
      </c>
      <c r="M261" s="82">
        <v>0</v>
      </c>
      <c r="N261" s="82">
        <v>5754.2719999999999</v>
      </c>
      <c r="O261" s="78">
        <v>5754.2719999999999</v>
      </c>
      <c r="P261" s="78">
        <v>0</v>
      </c>
      <c r="Q261" s="73">
        <v>14043.682349999999</v>
      </c>
      <c r="R261" s="78">
        <v>6243.9480000000003</v>
      </c>
      <c r="S261" s="78">
        <v>7799.7343499999997</v>
      </c>
      <c r="T261" s="47"/>
      <c r="U261" s="45">
        <v>0</v>
      </c>
      <c r="V261" s="45">
        <v>10894.96924</v>
      </c>
      <c r="W261" s="45">
        <v>0</v>
      </c>
      <c r="X261" s="45">
        <v>0</v>
      </c>
      <c r="Y261" s="45">
        <v>1102.4261399999998</v>
      </c>
      <c r="Z261" s="45">
        <v>0</v>
      </c>
      <c r="AA261" s="45">
        <v>11997.39538</v>
      </c>
      <c r="AB261" s="45"/>
      <c r="AC261" s="57">
        <v>0</v>
      </c>
      <c r="AD261" s="78">
        <v>0</v>
      </c>
      <c r="AE261" s="78">
        <v>0</v>
      </c>
      <c r="AF261" s="82">
        <v>1852.2389499999997</v>
      </c>
      <c r="AG261" s="78">
        <v>0</v>
      </c>
      <c r="AH261" s="78">
        <v>1852.2389499999997</v>
      </c>
      <c r="AI261" s="82">
        <v>0</v>
      </c>
      <c r="AJ261" s="82">
        <v>1118.94498</v>
      </c>
      <c r="AK261" s="78">
        <v>933.12959999999998</v>
      </c>
      <c r="AL261" s="78">
        <v>185.81538</v>
      </c>
      <c r="AM261" s="82">
        <v>0</v>
      </c>
      <c r="AN261" s="78">
        <v>0</v>
      </c>
      <c r="AO261" s="79">
        <v>0</v>
      </c>
      <c r="AP261" s="82">
        <v>582.21103000000005</v>
      </c>
      <c r="AQ261" s="78">
        <v>0</v>
      </c>
      <c r="AR261" s="52">
        <v>582.21103000000005</v>
      </c>
      <c r="AS261" s="52">
        <v>0</v>
      </c>
      <c r="AT261" s="78">
        <v>0</v>
      </c>
      <c r="AU261" s="52">
        <v>0</v>
      </c>
      <c r="AV261" s="48">
        <v>3321.8628100000001</v>
      </c>
      <c r="AW261" s="52">
        <v>3321.8628100000001</v>
      </c>
      <c r="AX261" s="52">
        <v>0</v>
      </c>
      <c r="AY261" s="87">
        <v>6875.2577700000002</v>
      </c>
      <c r="AZ261" s="52">
        <v>4254.9924099999998</v>
      </c>
      <c r="BA261" s="52">
        <v>2620.2653599999999</v>
      </c>
      <c r="BB261" s="48"/>
      <c r="BC261" s="57">
        <v>0</v>
      </c>
      <c r="BD261" s="57">
        <v>0</v>
      </c>
      <c r="BE261" s="57">
        <v>879.53750000000002</v>
      </c>
      <c r="BF261" s="57">
        <v>0</v>
      </c>
      <c r="BG261" s="57">
        <v>879.53750000000002</v>
      </c>
      <c r="BH261" s="46"/>
      <c r="BI261" s="57">
        <v>0</v>
      </c>
      <c r="BJ261" s="57">
        <v>0</v>
      </c>
      <c r="BK261" s="57">
        <v>0</v>
      </c>
      <c r="BL261" s="57">
        <v>0</v>
      </c>
      <c r="BM261" s="57">
        <v>0</v>
      </c>
      <c r="BN261" s="57">
        <v>0</v>
      </c>
      <c r="BO261" s="57">
        <v>0</v>
      </c>
      <c r="BP261" s="46"/>
      <c r="BQ261" s="87">
        <v>33795.873</v>
      </c>
      <c r="BR261" s="52">
        <v>23375.873289999996</v>
      </c>
      <c r="BS261" s="52">
        <v>10419.99971</v>
      </c>
    </row>
    <row r="262" spans="1:71" ht="12" customHeight="1" x14ac:dyDescent="0.2">
      <c r="A262" s="55">
        <v>2023</v>
      </c>
      <c r="B262" s="55" t="s">
        <v>11</v>
      </c>
      <c r="C262" s="82">
        <v>0</v>
      </c>
      <c r="D262" s="82">
        <v>13063.3164</v>
      </c>
      <c r="E262" s="78">
        <v>5053.8361799999993</v>
      </c>
      <c r="F262" s="78">
        <v>8009.4802199999995</v>
      </c>
      <c r="G262" s="82">
        <v>0</v>
      </c>
      <c r="H262" s="82">
        <v>0</v>
      </c>
      <c r="I262" s="82">
        <v>0</v>
      </c>
      <c r="J262" s="82">
        <v>0</v>
      </c>
      <c r="K262" s="82">
        <v>0</v>
      </c>
      <c r="L262" s="82">
        <v>0</v>
      </c>
      <c r="M262" s="82">
        <v>0</v>
      </c>
      <c r="N262" s="82">
        <v>6195.0839700000006</v>
      </c>
      <c r="O262" s="78">
        <v>6195.0839700000006</v>
      </c>
      <c r="P262" s="78">
        <v>0</v>
      </c>
      <c r="Q262" s="73">
        <v>19258.400369999999</v>
      </c>
      <c r="R262" s="78">
        <v>11248.92015</v>
      </c>
      <c r="S262" s="78">
        <v>8009.4802199999995</v>
      </c>
      <c r="T262" s="47"/>
      <c r="U262" s="45">
        <v>0</v>
      </c>
      <c r="V262" s="45">
        <v>3817.1429199999998</v>
      </c>
      <c r="W262" s="45">
        <v>0</v>
      </c>
      <c r="X262" s="45">
        <v>0</v>
      </c>
      <c r="Y262" s="45">
        <v>0</v>
      </c>
      <c r="Z262" s="45">
        <v>0</v>
      </c>
      <c r="AA262" s="45">
        <v>3817.1429199999998</v>
      </c>
      <c r="AB262" s="45"/>
      <c r="AC262" s="57">
        <v>0</v>
      </c>
      <c r="AD262" s="78">
        <v>0</v>
      </c>
      <c r="AE262" s="78">
        <v>0</v>
      </c>
      <c r="AF262" s="82">
        <v>2850.5986200000002</v>
      </c>
      <c r="AG262" s="78">
        <v>1088.653</v>
      </c>
      <c r="AH262" s="78">
        <v>1761.9456200000002</v>
      </c>
      <c r="AI262" s="82">
        <v>0</v>
      </c>
      <c r="AJ262" s="82">
        <v>180.48014000000001</v>
      </c>
      <c r="AK262" s="78">
        <v>0</v>
      </c>
      <c r="AL262" s="78">
        <v>180.48014000000001</v>
      </c>
      <c r="AM262" s="82">
        <v>0</v>
      </c>
      <c r="AN262" s="78">
        <v>0</v>
      </c>
      <c r="AO262" s="79">
        <v>0</v>
      </c>
      <c r="AP262" s="82">
        <v>541.09225000000004</v>
      </c>
      <c r="AQ262" s="78">
        <v>0</v>
      </c>
      <c r="AR262" s="52">
        <v>541.09225000000004</v>
      </c>
      <c r="AS262" s="52">
        <v>0</v>
      </c>
      <c r="AT262" s="78">
        <v>0</v>
      </c>
      <c r="AU262" s="52">
        <v>0</v>
      </c>
      <c r="AV262" s="48">
        <v>3258.7608300000002</v>
      </c>
      <c r="AW262" s="52">
        <v>3258.7608300000002</v>
      </c>
      <c r="AX262" s="52">
        <v>0</v>
      </c>
      <c r="AY262" s="87">
        <v>6830.9318400000011</v>
      </c>
      <c r="AZ262" s="52">
        <v>4347.4138300000004</v>
      </c>
      <c r="BA262" s="52">
        <v>2483.5180100000002</v>
      </c>
      <c r="BB262" s="48"/>
      <c r="BC262" s="57">
        <v>0</v>
      </c>
      <c r="BD262" s="57">
        <v>0</v>
      </c>
      <c r="BE262" s="57">
        <v>877.42651999999998</v>
      </c>
      <c r="BF262" s="57">
        <v>0</v>
      </c>
      <c r="BG262" s="57">
        <v>877.42651999999998</v>
      </c>
      <c r="BH262" s="46"/>
      <c r="BI262" s="57">
        <v>0</v>
      </c>
      <c r="BJ262" s="57">
        <v>0</v>
      </c>
      <c r="BK262" s="57">
        <v>0</v>
      </c>
      <c r="BL262" s="57">
        <v>0</v>
      </c>
      <c r="BM262" s="57">
        <v>0</v>
      </c>
      <c r="BN262" s="57">
        <v>0</v>
      </c>
      <c r="BO262" s="57">
        <v>0</v>
      </c>
      <c r="BP262" s="46"/>
      <c r="BQ262" s="87">
        <v>30783.90165</v>
      </c>
      <c r="BR262" s="52">
        <v>20290.903420000002</v>
      </c>
      <c r="BS262" s="52">
        <v>10492.998229999999</v>
      </c>
    </row>
    <row r="263" spans="1:71" ht="12" customHeight="1" x14ac:dyDescent="0.2">
      <c r="A263" s="55">
        <v>2023</v>
      </c>
      <c r="B263" s="55" t="s">
        <v>12</v>
      </c>
      <c r="C263" s="82">
        <v>0</v>
      </c>
      <c r="D263" s="82">
        <v>15741.162660000002</v>
      </c>
      <c r="E263" s="78">
        <v>6039.8515799999996</v>
      </c>
      <c r="F263" s="78">
        <v>9701.3110800000013</v>
      </c>
      <c r="G263" s="82">
        <v>1102.8101499999998</v>
      </c>
      <c r="H263" s="82">
        <v>0</v>
      </c>
      <c r="I263" s="82">
        <v>0</v>
      </c>
      <c r="J263" s="82">
        <v>0</v>
      </c>
      <c r="K263" s="82">
        <v>0</v>
      </c>
      <c r="L263" s="82">
        <v>0</v>
      </c>
      <c r="M263" s="82">
        <v>0</v>
      </c>
      <c r="N263" s="82">
        <v>1756.1883500000001</v>
      </c>
      <c r="O263" s="78">
        <v>1756.1883500000001</v>
      </c>
      <c r="P263" s="78">
        <v>0</v>
      </c>
      <c r="Q263" s="73">
        <v>18600.161160000003</v>
      </c>
      <c r="R263" s="78">
        <v>8898.8500800000002</v>
      </c>
      <c r="S263" s="78">
        <v>9701.3110800000013</v>
      </c>
      <c r="T263" s="47"/>
      <c r="U263" s="45">
        <v>0</v>
      </c>
      <c r="V263" s="45">
        <v>6984.4337899999991</v>
      </c>
      <c r="W263" s="45">
        <v>0</v>
      </c>
      <c r="X263" s="45">
        <v>0</v>
      </c>
      <c r="Y263" s="45">
        <v>0</v>
      </c>
      <c r="Z263" s="45">
        <v>0</v>
      </c>
      <c r="AA263" s="45">
        <v>6984.4337899999991</v>
      </c>
      <c r="AB263" s="45"/>
      <c r="AC263" s="57">
        <v>0</v>
      </c>
      <c r="AD263" s="78">
        <v>0</v>
      </c>
      <c r="AE263" s="78">
        <v>0</v>
      </c>
      <c r="AF263" s="82">
        <v>503.14040999999992</v>
      </c>
      <c r="AG263" s="78">
        <v>0</v>
      </c>
      <c r="AH263" s="78">
        <v>503.14040999999992</v>
      </c>
      <c r="AI263" s="82">
        <v>0</v>
      </c>
      <c r="AJ263" s="82">
        <v>1106.1792</v>
      </c>
      <c r="AK263" s="78">
        <v>920.10793000000001</v>
      </c>
      <c r="AL263" s="78">
        <v>186.07127</v>
      </c>
      <c r="AM263" s="82">
        <v>0</v>
      </c>
      <c r="AN263" s="78">
        <v>0</v>
      </c>
      <c r="AO263" s="79">
        <v>0</v>
      </c>
      <c r="AP263" s="82">
        <v>514.92079999999999</v>
      </c>
      <c r="AQ263" s="78">
        <v>0</v>
      </c>
      <c r="AR263" s="52">
        <v>514.92079999999999</v>
      </c>
      <c r="AS263" s="52">
        <v>0</v>
      </c>
      <c r="AT263" s="78">
        <v>0</v>
      </c>
      <c r="AU263" s="52">
        <v>0</v>
      </c>
      <c r="AV263" s="48">
        <v>4280.4586899999995</v>
      </c>
      <c r="AW263" s="52">
        <v>4280.4586899999995</v>
      </c>
      <c r="AX263" s="52">
        <v>0</v>
      </c>
      <c r="AY263" s="87">
        <v>6404.6990999999998</v>
      </c>
      <c r="AZ263" s="52">
        <v>5200.5666199999996</v>
      </c>
      <c r="BA263" s="52">
        <v>1204.1324799999998</v>
      </c>
      <c r="BB263" s="48"/>
      <c r="BC263" s="57">
        <v>0</v>
      </c>
      <c r="BD263" s="57">
        <v>0</v>
      </c>
      <c r="BE263" s="57">
        <v>1814.8862099999999</v>
      </c>
      <c r="BF263" s="57">
        <v>0</v>
      </c>
      <c r="BG263" s="57">
        <v>1814.8862099999999</v>
      </c>
      <c r="BH263" s="46"/>
      <c r="BI263" s="57">
        <v>0</v>
      </c>
      <c r="BJ263" s="57">
        <v>0</v>
      </c>
      <c r="BK263" s="57">
        <v>0</v>
      </c>
      <c r="BL263" s="57">
        <v>0</v>
      </c>
      <c r="BM263" s="57">
        <v>0</v>
      </c>
      <c r="BN263" s="57">
        <v>0</v>
      </c>
      <c r="BO263" s="57">
        <v>0</v>
      </c>
      <c r="BP263" s="46"/>
      <c r="BQ263" s="87">
        <v>33804.180260000001</v>
      </c>
      <c r="BR263" s="52">
        <v>22898.736699999998</v>
      </c>
      <c r="BS263" s="52">
        <v>10905.443560000002</v>
      </c>
    </row>
    <row r="264" spans="1:71" ht="12" customHeight="1" x14ac:dyDescent="0.2">
      <c r="A264" s="55">
        <v>2023</v>
      </c>
      <c r="B264" s="55" t="s">
        <v>13</v>
      </c>
      <c r="C264" s="82">
        <v>0</v>
      </c>
      <c r="D264" s="82">
        <v>9495.097819999999</v>
      </c>
      <c r="E264" s="78">
        <v>172.65532999999999</v>
      </c>
      <c r="F264" s="78">
        <v>9322.4424899999995</v>
      </c>
      <c r="G264" s="82">
        <v>0</v>
      </c>
      <c r="H264" s="82">
        <v>0</v>
      </c>
      <c r="I264" s="82">
        <v>0</v>
      </c>
      <c r="J264" s="82">
        <v>0</v>
      </c>
      <c r="K264" s="82">
        <v>0</v>
      </c>
      <c r="L264" s="82">
        <v>0</v>
      </c>
      <c r="M264" s="82">
        <v>0</v>
      </c>
      <c r="N264" s="82">
        <v>3705.9150999999997</v>
      </c>
      <c r="O264" s="78">
        <v>3705.9150999999997</v>
      </c>
      <c r="P264" s="78">
        <v>0</v>
      </c>
      <c r="Q264" s="73">
        <v>13201.012919999999</v>
      </c>
      <c r="R264" s="78">
        <v>3878.5704299999998</v>
      </c>
      <c r="S264" s="78">
        <v>9322.4424899999995</v>
      </c>
      <c r="T264" s="47"/>
      <c r="U264" s="45">
        <v>0</v>
      </c>
      <c r="V264" s="45">
        <v>12734.413540000003</v>
      </c>
      <c r="W264" s="45">
        <v>0</v>
      </c>
      <c r="X264" s="45">
        <v>0</v>
      </c>
      <c r="Y264" s="45">
        <v>0</v>
      </c>
      <c r="Z264" s="45">
        <v>0</v>
      </c>
      <c r="AA264" s="45">
        <v>12734.413540000003</v>
      </c>
      <c r="AB264" s="45"/>
      <c r="AC264" s="57">
        <v>0</v>
      </c>
      <c r="AD264" s="78">
        <v>0</v>
      </c>
      <c r="AE264" s="78">
        <v>0</v>
      </c>
      <c r="AF264" s="82">
        <v>327.60559000000001</v>
      </c>
      <c r="AG264" s="78">
        <v>0</v>
      </c>
      <c r="AH264" s="78">
        <v>327.60559000000001</v>
      </c>
      <c r="AI264" s="82">
        <v>0</v>
      </c>
      <c r="AJ264" s="82">
        <v>180.48008999999999</v>
      </c>
      <c r="AK264" s="78">
        <v>0</v>
      </c>
      <c r="AL264" s="78">
        <v>180.48008999999999</v>
      </c>
      <c r="AM264" s="82">
        <v>0</v>
      </c>
      <c r="AN264" s="78">
        <v>0</v>
      </c>
      <c r="AO264" s="79">
        <v>0</v>
      </c>
      <c r="AP264" s="82">
        <v>696.26294000000007</v>
      </c>
      <c r="AQ264" s="78">
        <v>0</v>
      </c>
      <c r="AR264" s="52">
        <v>696.26294000000007</v>
      </c>
      <c r="AS264" s="52">
        <v>0</v>
      </c>
      <c r="AT264" s="78">
        <v>0</v>
      </c>
      <c r="AU264" s="52">
        <v>0</v>
      </c>
      <c r="AV264" s="48">
        <v>6439.0654100000002</v>
      </c>
      <c r="AW264" s="52">
        <v>6439.0654100000002</v>
      </c>
      <c r="AX264" s="52">
        <v>0</v>
      </c>
      <c r="AY264" s="87">
        <v>7643.4140299999999</v>
      </c>
      <c r="AZ264" s="52">
        <v>6439.0654100000002</v>
      </c>
      <c r="BA264" s="52">
        <v>1204.3486200000002</v>
      </c>
      <c r="BB264" s="48"/>
      <c r="BC264" s="57">
        <v>0</v>
      </c>
      <c r="BD264" s="57">
        <v>0</v>
      </c>
      <c r="BE264" s="57">
        <v>877.81214</v>
      </c>
      <c r="BF264" s="57">
        <v>0</v>
      </c>
      <c r="BG264" s="57">
        <v>877.81214</v>
      </c>
      <c r="BH264" s="46"/>
      <c r="BI264" s="57">
        <v>0</v>
      </c>
      <c r="BJ264" s="57">
        <v>0</v>
      </c>
      <c r="BK264" s="57">
        <v>0</v>
      </c>
      <c r="BL264" s="57">
        <v>0</v>
      </c>
      <c r="BM264" s="57">
        <v>0</v>
      </c>
      <c r="BN264" s="57">
        <v>0</v>
      </c>
      <c r="BO264" s="57">
        <v>0</v>
      </c>
      <c r="BP264" s="46"/>
      <c r="BQ264" s="87">
        <v>34456.652630000004</v>
      </c>
      <c r="BR264" s="52">
        <v>23929.861519999999</v>
      </c>
      <c r="BS264" s="52">
        <v>10526.79111</v>
      </c>
    </row>
    <row r="265" spans="1:71" ht="12" customHeight="1" x14ac:dyDescent="0.2">
      <c r="A265" s="55">
        <v>2023</v>
      </c>
      <c r="B265" s="56" t="s">
        <v>14</v>
      </c>
      <c r="C265" s="45">
        <v>0</v>
      </c>
      <c r="D265" s="45">
        <v>10007.15006</v>
      </c>
      <c r="E265" s="52">
        <v>815.07292999999993</v>
      </c>
      <c r="F265" s="52">
        <v>9192.0771299999997</v>
      </c>
      <c r="G265" s="48">
        <v>0</v>
      </c>
      <c r="H265" s="82">
        <v>0</v>
      </c>
      <c r="I265" s="45">
        <v>820.53637000000003</v>
      </c>
      <c r="J265" s="45">
        <v>0</v>
      </c>
      <c r="K265" s="45">
        <v>0</v>
      </c>
      <c r="L265" s="45">
        <v>0</v>
      </c>
      <c r="M265" s="45">
        <v>0</v>
      </c>
      <c r="N265" s="82">
        <v>2627.4111000000003</v>
      </c>
      <c r="O265" s="52">
        <v>2627.4111000000003</v>
      </c>
      <c r="P265" s="83">
        <v>0</v>
      </c>
      <c r="Q265" s="73">
        <v>13455.097529999999</v>
      </c>
      <c r="R265" s="52">
        <v>4263.0204000000003</v>
      </c>
      <c r="S265" s="78">
        <v>9192.0771299999997</v>
      </c>
      <c r="T265" s="47"/>
      <c r="U265" s="45">
        <v>0</v>
      </c>
      <c r="V265" s="45">
        <v>3700.1957199999997</v>
      </c>
      <c r="W265" s="45">
        <v>0</v>
      </c>
      <c r="X265" s="45">
        <v>0</v>
      </c>
      <c r="Y265" s="45">
        <v>0</v>
      </c>
      <c r="Z265" s="45">
        <v>0</v>
      </c>
      <c r="AA265" s="45">
        <v>3700.1957199999997</v>
      </c>
      <c r="AB265" s="45"/>
      <c r="AC265" s="45">
        <v>0</v>
      </c>
      <c r="AD265" s="52">
        <v>0</v>
      </c>
      <c r="AE265" s="52">
        <v>0</v>
      </c>
      <c r="AF265" s="48">
        <v>1039.4697699999999</v>
      </c>
      <c r="AG265" s="52">
        <v>0</v>
      </c>
      <c r="AH265" s="52">
        <v>1039.4697699999999</v>
      </c>
      <c r="AI265" s="48">
        <v>0</v>
      </c>
      <c r="AJ265" s="48">
        <v>1115.4840900000002</v>
      </c>
      <c r="AK265" s="52">
        <v>928.98800000000006</v>
      </c>
      <c r="AL265" s="52">
        <v>186.49609000000001</v>
      </c>
      <c r="AM265" s="48">
        <v>0</v>
      </c>
      <c r="AN265" s="89">
        <v>0</v>
      </c>
      <c r="AO265" s="52">
        <v>0</v>
      </c>
      <c r="AP265" s="48">
        <v>673.09212000000002</v>
      </c>
      <c r="AQ265" s="88">
        <v>0</v>
      </c>
      <c r="AR265" s="52">
        <v>673.09212000000002</v>
      </c>
      <c r="AS265" s="52">
        <v>0</v>
      </c>
      <c r="AT265" s="88">
        <v>0</v>
      </c>
      <c r="AU265" s="52">
        <v>0</v>
      </c>
      <c r="AV265" s="48">
        <v>5481.0412099999994</v>
      </c>
      <c r="AW265" s="52">
        <v>5481.0412099999994</v>
      </c>
      <c r="AX265" s="52">
        <v>0</v>
      </c>
      <c r="AY265" s="87">
        <v>8309.0871900000002</v>
      </c>
      <c r="AZ265" s="52">
        <v>6410.0292099999997</v>
      </c>
      <c r="BA265" s="52">
        <v>1899.05798</v>
      </c>
      <c r="BB265" s="48"/>
      <c r="BC265" s="45">
        <v>0</v>
      </c>
      <c r="BD265" s="45">
        <v>0</v>
      </c>
      <c r="BE265" s="45">
        <v>1752.2275199999999</v>
      </c>
      <c r="BF265" s="45">
        <v>0</v>
      </c>
      <c r="BG265" s="45">
        <v>1752.2275199999999</v>
      </c>
      <c r="BH265" s="46"/>
      <c r="BI265" s="45">
        <v>0</v>
      </c>
      <c r="BJ265" s="45">
        <v>0</v>
      </c>
      <c r="BK265" s="45">
        <v>0</v>
      </c>
      <c r="BL265" s="45">
        <v>0</v>
      </c>
      <c r="BM265" s="45">
        <v>0</v>
      </c>
      <c r="BN265" s="45">
        <v>0</v>
      </c>
      <c r="BO265" s="45">
        <v>0</v>
      </c>
      <c r="BP265" s="46"/>
      <c r="BQ265" s="87">
        <v>27216.607960000001</v>
      </c>
      <c r="BR265" s="52">
        <v>16125.47285</v>
      </c>
      <c r="BS265" s="52">
        <v>11091.135109999999</v>
      </c>
    </row>
    <row r="266" spans="1:71" ht="12" customHeight="1" x14ac:dyDescent="0.2">
      <c r="A266" s="55">
        <v>2023</v>
      </c>
      <c r="B266" s="56" t="s">
        <v>15</v>
      </c>
      <c r="C266" s="45">
        <v>3111.4529900000007</v>
      </c>
      <c r="D266" s="45">
        <v>116252.24666999999</v>
      </c>
      <c r="E266" s="52">
        <v>21410.233569999997</v>
      </c>
      <c r="F266" s="52">
        <v>94842.013100000011</v>
      </c>
      <c r="G266" s="48">
        <v>4275.9516699999995</v>
      </c>
      <c r="H266" s="82">
        <v>0</v>
      </c>
      <c r="I266" s="45">
        <v>4474.6065199999994</v>
      </c>
      <c r="J266" s="45">
        <v>1891.05603</v>
      </c>
      <c r="K266" s="45">
        <v>0</v>
      </c>
      <c r="L266" s="45">
        <v>0</v>
      </c>
      <c r="M266" s="45">
        <v>0</v>
      </c>
      <c r="N266" s="82">
        <v>53853.793309999986</v>
      </c>
      <c r="O266" s="52">
        <v>53853.793309999986</v>
      </c>
      <c r="P266" s="83">
        <v>0</v>
      </c>
      <c r="Q266" s="73">
        <v>183859.10718999998</v>
      </c>
      <c r="R266" s="52">
        <v>89017.094089999984</v>
      </c>
      <c r="S266" s="78">
        <v>94842.013100000011</v>
      </c>
      <c r="T266" s="47"/>
      <c r="U266" s="45">
        <v>0</v>
      </c>
      <c r="V266" s="45">
        <v>82858.469680000009</v>
      </c>
      <c r="W266" s="45">
        <v>0</v>
      </c>
      <c r="X266" s="45">
        <v>0</v>
      </c>
      <c r="Y266" s="45">
        <v>4967.6751599999998</v>
      </c>
      <c r="Z266" s="45">
        <v>5522.7250800000002</v>
      </c>
      <c r="AA266" s="45">
        <v>93348.869920000012</v>
      </c>
      <c r="AB266" s="45"/>
      <c r="AC266" s="45">
        <v>0</v>
      </c>
      <c r="AD266" s="52">
        <v>0</v>
      </c>
      <c r="AE266" s="52">
        <v>0</v>
      </c>
      <c r="AF266" s="48">
        <v>13396.89522</v>
      </c>
      <c r="AG266" s="52">
        <v>1088.653</v>
      </c>
      <c r="AH266" s="52">
        <v>12308.24222</v>
      </c>
      <c r="AI266" s="48">
        <v>0</v>
      </c>
      <c r="AJ266" s="48">
        <v>5863.0531099999998</v>
      </c>
      <c r="AK266" s="52">
        <v>3714.9856799999998</v>
      </c>
      <c r="AL266" s="52">
        <v>2148.0674300000001</v>
      </c>
      <c r="AM266" s="48">
        <v>0</v>
      </c>
      <c r="AN266" s="89">
        <v>0</v>
      </c>
      <c r="AO266" s="52">
        <v>0</v>
      </c>
      <c r="AP266" s="48">
        <v>10058.00835</v>
      </c>
      <c r="AQ266" s="88">
        <v>0</v>
      </c>
      <c r="AR266" s="52">
        <v>10058.00835</v>
      </c>
      <c r="AS266" s="48">
        <v>74.692499999999995</v>
      </c>
      <c r="AT266" s="52">
        <v>74.692499999999995</v>
      </c>
      <c r="AU266" s="52">
        <v>0</v>
      </c>
      <c r="AV266" s="48">
        <v>72690.413539999994</v>
      </c>
      <c r="AW266" s="52">
        <v>72690.413539999994</v>
      </c>
      <c r="AX266" s="52">
        <v>0</v>
      </c>
      <c r="AY266" s="87">
        <v>102083.06272</v>
      </c>
      <c r="AZ266" s="52">
        <v>77568.744719999988</v>
      </c>
      <c r="BA266" s="52">
        <v>24514.318000000003</v>
      </c>
      <c r="BB266" s="48"/>
      <c r="BC266" s="45">
        <v>0</v>
      </c>
      <c r="BD266" s="45">
        <v>2902.4353899999996</v>
      </c>
      <c r="BE266" s="45">
        <v>14170.311169999999</v>
      </c>
      <c r="BF266" s="45">
        <v>0</v>
      </c>
      <c r="BG266" s="45">
        <v>17072.74656</v>
      </c>
      <c r="BH266" s="46"/>
      <c r="BI266" s="45">
        <v>70.424530000000004</v>
      </c>
      <c r="BJ266" s="45">
        <v>0</v>
      </c>
      <c r="BK266" s="45">
        <v>0</v>
      </c>
      <c r="BL266" s="45">
        <v>0</v>
      </c>
      <c r="BM266" s="45">
        <v>0</v>
      </c>
      <c r="BN266" s="45">
        <v>0</v>
      </c>
      <c r="BO266" s="45">
        <v>70.424530000000004</v>
      </c>
      <c r="BP266" s="46"/>
      <c r="BQ266" s="87">
        <v>396434.21091999998</v>
      </c>
      <c r="BR266" s="52">
        <v>277077.87981999997</v>
      </c>
      <c r="BS266" s="52">
        <v>119356.33110000001</v>
      </c>
    </row>
    <row r="267" spans="1:71" ht="12" customHeight="1" x14ac:dyDescent="0.2">
      <c r="A267" s="59">
        <v>2024</v>
      </c>
      <c r="B267" s="60" t="s">
        <v>3</v>
      </c>
      <c r="C267" s="45">
        <v>0</v>
      </c>
      <c r="D267" s="45">
        <v>9969.1086299999988</v>
      </c>
      <c r="E267" s="52">
        <v>987.04587000000004</v>
      </c>
      <c r="F267" s="52">
        <v>8982.0627599999989</v>
      </c>
      <c r="G267" s="48">
        <v>0</v>
      </c>
      <c r="H267" s="48">
        <v>0</v>
      </c>
      <c r="I267" s="45">
        <v>0</v>
      </c>
      <c r="J267" s="45">
        <v>0</v>
      </c>
      <c r="K267" s="45">
        <v>0</v>
      </c>
      <c r="L267" s="45">
        <v>0</v>
      </c>
      <c r="M267" s="45">
        <v>0</v>
      </c>
      <c r="N267" s="82">
        <v>1133.80819</v>
      </c>
      <c r="O267" s="52">
        <v>1133.80819</v>
      </c>
      <c r="P267" s="84">
        <v>0</v>
      </c>
      <c r="Q267" s="73">
        <v>11102.916819999999</v>
      </c>
      <c r="R267" s="78">
        <v>2120.8540600000001</v>
      </c>
      <c r="S267" s="78">
        <v>8982.0627599999989</v>
      </c>
      <c r="T267" s="47"/>
      <c r="U267" s="45">
        <v>0</v>
      </c>
      <c r="V267" s="45">
        <v>9446.6679299999996</v>
      </c>
      <c r="W267" s="45">
        <v>0</v>
      </c>
      <c r="X267" s="45">
        <v>0</v>
      </c>
      <c r="Y267" s="45">
        <v>0</v>
      </c>
      <c r="Z267" s="45">
        <v>0</v>
      </c>
      <c r="AA267" s="45">
        <v>9446.6679299999996</v>
      </c>
      <c r="AB267" s="45"/>
      <c r="AC267" s="45">
        <v>0</v>
      </c>
      <c r="AD267" s="52">
        <v>0</v>
      </c>
      <c r="AE267" s="52">
        <v>0</v>
      </c>
      <c r="AF267" s="48">
        <v>1404.0448399999998</v>
      </c>
      <c r="AG267" s="52">
        <v>0</v>
      </c>
      <c r="AH267" s="52">
        <v>1404.0448399999998</v>
      </c>
      <c r="AI267" s="48">
        <v>0</v>
      </c>
      <c r="AJ267" s="48">
        <v>186.49609000000001</v>
      </c>
      <c r="AK267" s="52">
        <v>0</v>
      </c>
      <c r="AL267" s="52">
        <v>186.49609000000001</v>
      </c>
      <c r="AM267" s="48">
        <v>0</v>
      </c>
      <c r="AN267" s="90">
        <v>0</v>
      </c>
      <c r="AO267" s="52">
        <v>0</v>
      </c>
      <c r="AP267" s="48">
        <v>574.63936000000001</v>
      </c>
      <c r="AQ267" s="88">
        <v>0</v>
      </c>
      <c r="AR267" s="52">
        <v>574.63936000000001</v>
      </c>
      <c r="AS267" s="52">
        <v>0</v>
      </c>
      <c r="AT267" s="88">
        <v>0</v>
      </c>
      <c r="AU267" s="52">
        <v>0</v>
      </c>
      <c r="AV267" s="48">
        <v>8687.2031500000012</v>
      </c>
      <c r="AW267" s="52">
        <v>8687.2031500000012</v>
      </c>
      <c r="AX267" s="52">
        <v>0</v>
      </c>
      <c r="AY267" s="87">
        <v>10852.383440000001</v>
      </c>
      <c r="AZ267" s="52">
        <v>8687.2031500000012</v>
      </c>
      <c r="BA267" s="52">
        <v>2165.1802899999998</v>
      </c>
      <c r="BB267" s="48"/>
      <c r="BC267" s="45">
        <v>0</v>
      </c>
      <c r="BD267" s="45">
        <v>0</v>
      </c>
      <c r="BE267" s="45">
        <v>876.75328000000002</v>
      </c>
      <c r="BF267" s="45">
        <v>0</v>
      </c>
      <c r="BG267" s="45">
        <v>876.75328000000002</v>
      </c>
      <c r="BH267" s="46"/>
      <c r="BI267" s="45">
        <v>0</v>
      </c>
      <c r="BJ267" s="45">
        <v>0</v>
      </c>
      <c r="BK267" s="45">
        <v>0</v>
      </c>
      <c r="BL267" s="45">
        <v>0</v>
      </c>
      <c r="BM267" s="45">
        <v>0</v>
      </c>
      <c r="BN267" s="45">
        <v>0</v>
      </c>
      <c r="BO267" s="45">
        <v>0</v>
      </c>
      <c r="BP267" s="46"/>
      <c r="BQ267" s="87">
        <v>32278.72147</v>
      </c>
      <c r="BR267" s="52">
        <v>21131.478420000003</v>
      </c>
      <c r="BS267" s="52">
        <v>11147.243049999999</v>
      </c>
    </row>
    <row r="268" spans="1:71" ht="12" customHeight="1" x14ac:dyDescent="0.2">
      <c r="A268" s="59">
        <v>2024</v>
      </c>
      <c r="B268" s="60" t="s">
        <v>4</v>
      </c>
      <c r="C268" s="45">
        <v>0</v>
      </c>
      <c r="D268" s="45">
        <v>8601.3798600000009</v>
      </c>
      <c r="E268" s="52">
        <v>493.24220000000003</v>
      </c>
      <c r="F268" s="52">
        <v>8108.1376600000003</v>
      </c>
      <c r="G268" s="48">
        <v>0</v>
      </c>
      <c r="H268" s="48">
        <v>0</v>
      </c>
      <c r="I268" s="45">
        <v>0</v>
      </c>
      <c r="J268" s="45">
        <v>0</v>
      </c>
      <c r="K268" s="45">
        <v>0</v>
      </c>
      <c r="L268" s="45">
        <v>0</v>
      </c>
      <c r="M268" s="45">
        <v>0</v>
      </c>
      <c r="N268" s="82">
        <v>5005.4172900000003</v>
      </c>
      <c r="O268" s="52">
        <v>5005.4172900000003</v>
      </c>
      <c r="P268" s="84">
        <v>0</v>
      </c>
      <c r="Q268" s="73">
        <v>13606.79715</v>
      </c>
      <c r="R268" s="78">
        <v>5498.65949</v>
      </c>
      <c r="S268" s="78">
        <v>8108.1376600000003</v>
      </c>
      <c r="T268" s="47"/>
      <c r="U268" s="45">
        <v>0</v>
      </c>
      <c r="V268" s="45">
        <v>8008.5782700000018</v>
      </c>
      <c r="W268" s="45">
        <v>0</v>
      </c>
      <c r="X268" s="45">
        <v>0</v>
      </c>
      <c r="Y268" s="45">
        <v>0</v>
      </c>
      <c r="Z268" s="45">
        <v>0</v>
      </c>
      <c r="AA268" s="45">
        <v>8008.5782700000018</v>
      </c>
      <c r="AB268" s="45"/>
      <c r="AC268" s="45">
        <v>0</v>
      </c>
      <c r="AD268" s="52">
        <v>0</v>
      </c>
      <c r="AE268" s="52">
        <v>0</v>
      </c>
      <c r="AF268" s="48">
        <v>788.77404000000001</v>
      </c>
      <c r="AG268" s="52">
        <v>0</v>
      </c>
      <c r="AH268" s="52">
        <v>788.77404000000001</v>
      </c>
      <c r="AI268" s="48">
        <v>0</v>
      </c>
      <c r="AJ268" s="48">
        <v>1101.20102</v>
      </c>
      <c r="AK268" s="52">
        <v>926.73693000000003</v>
      </c>
      <c r="AL268" s="52">
        <v>174.46409</v>
      </c>
      <c r="AM268" s="48">
        <v>0</v>
      </c>
      <c r="AN268" s="90">
        <v>0</v>
      </c>
      <c r="AO268" s="52">
        <v>0</v>
      </c>
      <c r="AP268" s="48">
        <v>1017.87737</v>
      </c>
      <c r="AQ268" s="88">
        <v>0</v>
      </c>
      <c r="AR268" s="52">
        <v>1017.87737</v>
      </c>
      <c r="AS268" s="52">
        <v>0</v>
      </c>
      <c r="AT268" s="88">
        <v>0</v>
      </c>
      <c r="AU268" s="52">
        <v>0</v>
      </c>
      <c r="AV268" s="48">
        <v>5337.1553899999999</v>
      </c>
      <c r="AW268" s="52">
        <v>5337.1553899999999</v>
      </c>
      <c r="AX268" s="52">
        <v>0</v>
      </c>
      <c r="AY268" s="87">
        <v>8245.0078199999989</v>
      </c>
      <c r="AZ268" s="52">
        <v>6263.8923199999999</v>
      </c>
      <c r="BA268" s="52">
        <v>1981.1154999999999</v>
      </c>
      <c r="BB268" s="48"/>
      <c r="BC268" s="45">
        <v>0</v>
      </c>
      <c r="BD268" s="45">
        <v>0</v>
      </c>
      <c r="BE268" s="45">
        <v>872.49808999999993</v>
      </c>
      <c r="BF268" s="45">
        <v>0</v>
      </c>
      <c r="BG268" s="45">
        <v>872.49808999999993</v>
      </c>
      <c r="BH268" s="46"/>
      <c r="BI268" s="45">
        <v>0</v>
      </c>
      <c r="BJ268" s="45">
        <v>0</v>
      </c>
      <c r="BK268" s="45">
        <v>0</v>
      </c>
      <c r="BL268" s="45">
        <v>0</v>
      </c>
      <c r="BM268" s="45">
        <v>0</v>
      </c>
      <c r="BN268" s="45">
        <v>0</v>
      </c>
      <c r="BO268" s="45">
        <v>0</v>
      </c>
      <c r="BP268" s="46"/>
      <c r="BQ268" s="87">
        <v>30732.881330000004</v>
      </c>
      <c r="BR268" s="52">
        <v>20643.628170000004</v>
      </c>
      <c r="BS268" s="52">
        <v>10089.25316</v>
      </c>
    </row>
    <row r="269" spans="1:71" ht="12" customHeight="1" x14ac:dyDescent="0.2">
      <c r="A269" s="59">
        <v>2024</v>
      </c>
      <c r="B269" s="60" t="s">
        <v>5</v>
      </c>
      <c r="C269" s="45">
        <v>0</v>
      </c>
      <c r="D269" s="45">
        <v>12230.110410000001</v>
      </c>
      <c r="E269" s="52">
        <v>3521.6715600000002</v>
      </c>
      <c r="F269" s="52">
        <v>8708.4388500000005</v>
      </c>
      <c r="G269" s="48">
        <v>0</v>
      </c>
      <c r="H269" s="48">
        <v>0</v>
      </c>
      <c r="I269" s="45">
        <v>0</v>
      </c>
      <c r="J269" s="45">
        <v>0</v>
      </c>
      <c r="K269" s="45">
        <v>0</v>
      </c>
      <c r="L269" s="45">
        <v>0</v>
      </c>
      <c r="M269" s="45">
        <v>0</v>
      </c>
      <c r="N269" s="82">
        <v>882.20888000000002</v>
      </c>
      <c r="O269" s="52">
        <v>882.20888000000002</v>
      </c>
      <c r="P269" s="84">
        <v>0</v>
      </c>
      <c r="Q269" s="73">
        <v>13112.319289999999</v>
      </c>
      <c r="R269" s="78">
        <v>4403.8804399999999</v>
      </c>
      <c r="S269" s="78">
        <v>8708.4388500000005</v>
      </c>
      <c r="T269" s="47"/>
      <c r="U269" s="45">
        <v>0</v>
      </c>
      <c r="V269" s="45">
        <v>5282.2227400000002</v>
      </c>
      <c r="W269" s="45">
        <v>0</v>
      </c>
      <c r="X269" s="45">
        <v>0</v>
      </c>
      <c r="Y269" s="45">
        <v>0</v>
      </c>
      <c r="Z269" s="45">
        <v>0</v>
      </c>
      <c r="AA269" s="45">
        <v>5282.2227400000002</v>
      </c>
      <c r="AB269" s="45"/>
      <c r="AC269" s="45">
        <v>1022.36314</v>
      </c>
      <c r="AD269" s="52">
        <v>1022.36314</v>
      </c>
      <c r="AE269" s="52">
        <v>0</v>
      </c>
      <c r="AF269" s="48">
        <v>565.33778000000007</v>
      </c>
      <c r="AG269" s="52">
        <v>0</v>
      </c>
      <c r="AH269" s="52">
        <v>565.33778000000007</v>
      </c>
      <c r="AI269" s="48">
        <v>0</v>
      </c>
      <c r="AJ269" s="48">
        <v>186.24543</v>
      </c>
      <c r="AK269" s="52">
        <v>0</v>
      </c>
      <c r="AL269" s="52">
        <v>186.24543</v>
      </c>
      <c r="AM269" s="48">
        <v>0</v>
      </c>
      <c r="AN269" s="90">
        <v>0</v>
      </c>
      <c r="AO269" s="52">
        <v>0</v>
      </c>
      <c r="AP269" s="48">
        <v>548.22838000000002</v>
      </c>
      <c r="AQ269" s="88">
        <v>0</v>
      </c>
      <c r="AR269" s="52">
        <v>548.22838000000002</v>
      </c>
      <c r="AS269" s="52">
        <v>0</v>
      </c>
      <c r="AT269" s="88">
        <v>0</v>
      </c>
      <c r="AU269" s="52">
        <v>0</v>
      </c>
      <c r="AV269" s="48">
        <v>7486.9133100000008</v>
      </c>
      <c r="AW269" s="52">
        <v>7486.9133100000008</v>
      </c>
      <c r="AX269" s="52">
        <v>0</v>
      </c>
      <c r="AY269" s="87">
        <v>9809.0880400000005</v>
      </c>
      <c r="AZ269" s="52">
        <v>8509.2764500000012</v>
      </c>
      <c r="BA269" s="52">
        <v>1299.81159</v>
      </c>
      <c r="BB269" s="48"/>
      <c r="BC269" s="45">
        <v>0</v>
      </c>
      <c r="BD269" s="45">
        <v>0</v>
      </c>
      <c r="BE269" s="45">
        <v>873.44798000000003</v>
      </c>
      <c r="BF269" s="45">
        <v>0</v>
      </c>
      <c r="BG269" s="45">
        <v>873.44798000000003</v>
      </c>
      <c r="BH269" s="46"/>
      <c r="BI269" s="45">
        <v>0</v>
      </c>
      <c r="BJ269" s="45">
        <v>0</v>
      </c>
      <c r="BK269" s="45">
        <v>0</v>
      </c>
      <c r="BL269" s="45">
        <v>0</v>
      </c>
      <c r="BM269" s="45">
        <v>0</v>
      </c>
      <c r="BN269" s="45">
        <v>0</v>
      </c>
      <c r="BO269" s="45">
        <v>0</v>
      </c>
      <c r="BP269" s="46"/>
      <c r="BQ269" s="87">
        <v>29077.07805</v>
      </c>
      <c r="BR269" s="52">
        <v>19068.827610000004</v>
      </c>
      <c r="BS269" s="52">
        <v>10008.25044</v>
      </c>
    </row>
    <row r="270" spans="1:71" ht="12" customHeight="1" x14ac:dyDescent="0.2">
      <c r="A270" s="59">
        <v>2024</v>
      </c>
      <c r="B270" s="60" t="s">
        <v>6</v>
      </c>
      <c r="C270" s="45">
        <v>0</v>
      </c>
      <c r="D270" s="45">
        <v>12351.013609999998</v>
      </c>
      <c r="E270" s="52">
        <v>3932.7930200000001</v>
      </c>
      <c r="F270" s="52">
        <v>8418.220589999999</v>
      </c>
      <c r="G270" s="48">
        <v>0</v>
      </c>
      <c r="H270" s="48">
        <v>0</v>
      </c>
      <c r="I270" s="45">
        <v>0</v>
      </c>
      <c r="J270" s="45">
        <v>0</v>
      </c>
      <c r="K270" s="45">
        <v>0</v>
      </c>
      <c r="L270" s="45">
        <v>0</v>
      </c>
      <c r="M270" s="45">
        <v>0</v>
      </c>
      <c r="N270" s="82">
        <v>2681.6341000000002</v>
      </c>
      <c r="O270" s="52">
        <v>2681.6341000000002</v>
      </c>
      <c r="P270" s="84">
        <v>0</v>
      </c>
      <c r="Q270" s="73">
        <v>15032.647709999999</v>
      </c>
      <c r="R270" s="78">
        <v>6614.4271200000003</v>
      </c>
      <c r="S270" s="78">
        <v>8418.220589999999</v>
      </c>
      <c r="T270" s="47"/>
      <c r="U270" s="45">
        <v>0</v>
      </c>
      <c r="V270" s="45">
        <v>2142.7067099999999</v>
      </c>
      <c r="W270" s="45">
        <v>0</v>
      </c>
      <c r="X270" s="45">
        <v>0</v>
      </c>
      <c r="Y270" s="45">
        <v>0</v>
      </c>
      <c r="Z270" s="45">
        <v>0</v>
      </c>
      <c r="AA270" s="45">
        <v>2142.7067099999999</v>
      </c>
      <c r="AB270" s="45"/>
      <c r="AC270" s="45">
        <v>1106.1198400000001</v>
      </c>
      <c r="AD270" s="52">
        <v>1106.1198400000001</v>
      </c>
      <c r="AE270" s="52">
        <v>0</v>
      </c>
      <c r="AF270" s="48">
        <v>985.10920999999996</v>
      </c>
      <c r="AG270" s="52">
        <v>0</v>
      </c>
      <c r="AH270" s="52">
        <v>985.10920999999996</v>
      </c>
      <c r="AI270" s="48">
        <v>0</v>
      </c>
      <c r="AJ270" s="48">
        <v>1101.0665899999999</v>
      </c>
      <c r="AK270" s="52">
        <v>920.5865</v>
      </c>
      <c r="AL270" s="52">
        <v>180.48008999999999</v>
      </c>
      <c r="AM270" s="48">
        <v>0</v>
      </c>
      <c r="AN270" s="90">
        <v>0</v>
      </c>
      <c r="AO270" s="52">
        <v>0</v>
      </c>
      <c r="AP270" s="48">
        <v>1046.4230500000001</v>
      </c>
      <c r="AQ270" s="88">
        <v>0</v>
      </c>
      <c r="AR270" s="52">
        <v>1046.4230500000001</v>
      </c>
      <c r="AS270" s="52">
        <v>0</v>
      </c>
      <c r="AT270" s="88">
        <v>0</v>
      </c>
      <c r="AU270" s="52">
        <v>0</v>
      </c>
      <c r="AV270" s="48">
        <v>5342.3344500000003</v>
      </c>
      <c r="AW270" s="52">
        <v>5342.3344500000003</v>
      </c>
      <c r="AX270" s="52">
        <v>0</v>
      </c>
      <c r="AY270" s="87">
        <v>9581.05314</v>
      </c>
      <c r="AZ270" s="52">
        <v>7369.0407900000009</v>
      </c>
      <c r="BA270" s="52">
        <v>2212.01235</v>
      </c>
      <c r="BB270" s="48"/>
      <c r="BC270" s="45">
        <v>0</v>
      </c>
      <c r="BD270" s="45">
        <v>0</v>
      </c>
      <c r="BE270" s="45">
        <v>0</v>
      </c>
      <c r="BF270" s="45">
        <v>0</v>
      </c>
      <c r="BG270" s="45">
        <v>0</v>
      </c>
      <c r="BH270" s="46"/>
      <c r="BI270" s="45">
        <v>0</v>
      </c>
      <c r="BJ270" s="45">
        <v>0</v>
      </c>
      <c r="BK270" s="45">
        <v>0</v>
      </c>
      <c r="BL270" s="45">
        <v>0</v>
      </c>
      <c r="BM270" s="45">
        <v>0</v>
      </c>
      <c r="BN270" s="45">
        <v>0</v>
      </c>
      <c r="BO270" s="45">
        <v>0</v>
      </c>
      <c r="BP270" s="46"/>
      <c r="BQ270" s="87">
        <v>26756.40756</v>
      </c>
      <c r="BR270" s="52">
        <v>16126.174620000002</v>
      </c>
      <c r="BS270" s="52">
        <v>10630.232939999998</v>
      </c>
    </row>
    <row r="271" spans="1:71" ht="12" customHeight="1" x14ac:dyDescent="0.2">
      <c r="A271" s="59">
        <v>2024</v>
      </c>
      <c r="B271" s="60" t="s">
        <v>7</v>
      </c>
      <c r="C271" s="45">
        <v>0</v>
      </c>
      <c r="D271" s="45">
        <v>10267.720849999998</v>
      </c>
      <c r="E271" s="52">
        <v>1477.1916200000001</v>
      </c>
      <c r="F271" s="52">
        <v>8790.5292299999983</v>
      </c>
      <c r="G271" s="48">
        <v>0</v>
      </c>
      <c r="H271" s="48">
        <v>0</v>
      </c>
      <c r="I271" s="45">
        <v>0</v>
      </c>
      <c r="J271" s="45">
        <v>0</v>
      </c>
      <c r="K271" s="45">
        <v>0</v>
      </c>
      <c r="L271" s="45">
        <v>0</v>
      </c>
      <c r="M271" s="45">
        <v>0</v>
      </c>
      <c r="N271" s="82">
        <v>2931.54862</v>
      </c>
      <c r="O271" s="52">
        <v>2931.54862</v>
      </c>
      <c r="P271" s="84">
        <v>0</v>
      </c>
      <c r="Q271" s="73">
        <v>13199.269469999999</v>
      </c>
      <c r="R271" s="78">
        <v>4408.7402400000001</v>
      </c>
      <c r="S271" s="78">
        <v>8790.5292299999983</v>
      </c>
      <c r="T271" s="47"/>
      <c r="U271" s="45">
        <v>0</v>
      </c>
      <c r="V271" s="45">
        <v>4926.8498900000004</v>
      </c>
      <c r="W271" s="45">
        <v>0</v>
      </c>
      <c r="X271" s="45">
        <v>0</v>
      </c>
      <c r="Y271" s="45">
        <v>0</v>
      </c>
      <c r="Z271" s="45">
        <v>821.27071000000001</v>
      </c>
      <c r="AA271" s="45">
        <v>5748.1206000000002</v>
      </c>
      <c r="AB271" s="45"/>
      <c r="AC271" s="45">
        <v>0</v>
      </c>
      <c r="AD271" s="52">
        <v>0</v>
      </c>
      <c r="AE271" s="52">
        <v>0</v>
      </c>
      <c r="AF271" s="48">
        <v>1223.6614199999985</v>
      </c>
      <c r="AG271" s="52">
        <v>0</v>
      </c>
      <c r="AH271" s="52">
        <v>1223.6614199999985</v>
      </c>
      <c r="AI271" s="48">
        <v>0</v>
      </c>
      <c r="AJ271" s="48">
        <v>186.49596</v>
      </c>
      <c r="AK271" s="52">
        <v>0</v>
      </c>
      <c r="AL271" s="52">
        <v>186.49596</v>
      </c>
      <c r="AM271" s="48">
        <v>0</v>
      </c>
      <c r="AN271" s="90">
        <v>0</v>
      </c>
      <c r="AO271" s="52">
        <v>0</v>
      </c>
      <c r="AP271" s="48">
        <v>742.95623999999987</v>
      </c>
      <c r="AQ271" s="88">
        <v>0</v>
      </c>
      <c r="AR271" s="52">
        <v>742.95623999999987</v>
      </c>
      <c r="AS271" s="52">
        <v>0</v>
      </c>
      <c r="AT271" s="88">
        <v>0</v>
      </c>
      <c r="AU271" s="52">
        <v>0</v>
      </c>
      <c r="AV271" s="48">
        <v>6415.6247800000001</v>
      </c>
      <c r="AW271" s="52">
        <v>6415.6247800000001</v>
      </c>
      <c r="AX271" s="52">
        <v>0</v>
      </c>
      <c r="AY271" s="87">
        <v>8568.7383999999984</v>
      </c>
      <c r="AZ271" s="52">
        <v>6415.6247800000001</v>
      </c>
      <c r="BA271" s="52">
        <v>2153.1136199999983</v>
      </c>
      <c r="BB271" s="48"/>
      <c r="BC271" s="45">
        <v>0</v>
      </c>
      <c r="BD271" s="45">
        <v>0</v>
      </c>
      <c r="BE271" s="45">
        <v>1741.7198999999998</v>
      </c>
      <c r="BF271" s="45">
        <v>0</v>
      </c>
      <c r="BG271" s="45">
        <v>1741.7198999999998</v>
      </c>
      <c r="BH271" s="46"/>
      <c r="BI271" s="45">
        <v>0</v>
      </c>
      <c r="BJ271" s="45">
        <v>0</v>
      </c>
      <c r="BK271" s="45">
        <v>0</v>
      </c>
      <c r="BL271" s="45">
        <v>0</v>
      </c>
      <c r="BM271" s="45">
        <v>0</v>
      </c>
      <c r="BN271" s="45">
        <v>0</v>
      </c>
      <c r="BO271" s="45">
        <v>0</v>
      </c>
      <c r="BP271" s="46"/>
      <c r="BQ271" s="87">
        <v>29257.84837</v>
      </c>
      <c r="BR271" s="52">
        <v>18314.20552</v>
      </c>
      <c r="BS271" s="52">
        <v>10943.642849999997</v>
      </c>
    </row>
    <row r="272" spans="1:71" ht="12" customHeight="1" x14ac:dyDescent="0.2">
      <c r="A272" s="59">
        <v>2024</v>
      </c>
      <c r="B272" s="60" t="s">
        <v>8</v>
      </c>
      <c r="C272" s="45">
        <v>0</v>
      </c>
      <c r="D272" s="45">
        <v>12936.086710000001</v>
      </c>
      <c r="E272" s="52">
        <v>4289.9479900000006</v>
      </c>
      <c r="F272" s="52">
        <v>8646.1387200000008</v>
      </c>
      <c r="G272" s="48">
        <v>0</v>
      </c>
      <c r="H272" s="48">
        <v>606.61608999999999</v>
      </c>
      <c r="I272" s="45">
        <v>0</v>
      </c>
      <c r="J272" s="45">
        <v>0</v>
      </c>
      <c r="K272" s="45">
        <v>0</v>
      </c>
      <c r="L272" s="45">
        <v>0</v>
      </c>
      <c r="M272" s="45">
        <v>0</v>
      </c>
      <c r="N272" s="82">
        <v>956.26487999999995</v>
      </c>
      <c r="O272" s="52">
        <v>956.26487999999995</v>
      </c>
      <c r="P272" s="84">
        <v>0</v>
      </c>
      <c r="Q272" s="73">
        <v>14498.967680000002</v>
      </c>
      <c r="R272" s="78">
        <v>5852.8289600000007</v>
      </c>
      <c r="S272" s="78">
        <v>8646.1387200000008</v>
      </c>
      <c r="T272" s="47"/>
      <c r="U272" s="45">
        <v>0</v>
      </c>
      <c r="V272" s="45">
        <v>3278.2017000000001</v>
      </c>
      <c r="W272" s="45">
        <v>0</v>
      </c>
      <c r="X272" s="45">
        <v>0</v>
      </c>
      <c r="Y272" s="45">
        <v>1139.23523</v>
      </c>
      <c r="Z272" s="45">
        <v>0</v>
      </c>
      <c r="AA272" s="45">
        <v>4417.4369299999998</v>
      </c>
      <c r="AB272" s="45"/>
      <c r="AC272" s="45">
        <v>0</v>
      </c>
      <c r="AD272" s="52">
        <v>0</v>
      </c>
      <c r="AE272" s="52">
        <v>0</v>
      </c>
      <c r="AF272" s="48">
        <v>861.05008999999995</v>
      </c>
      <c r="AG272" s="52">
        <v>0</v>
      </c>
      <c r="AH272" s="52">
        <v>861.05008999999995</v>
      </c>
      <c r="AI272" s="48">
        <v>0</v>
      </c>
      <c r="AJ272" s="48">
        <v>1110.58077</v>
      </c>
      <c r="AK272" s="52">
        <v>930.10068000000001</v>
      </c>
      <c r="AL272" s="52">
        <v>180.48008999999999</v>
      </c>
      <c r="AM272" s="48">
        <v>0</v>
      </c>
      <c r="AN272" s="90">
        <v>0</v>
      </c>
      <c r="AO272" s="52">
        <v>0</v>
      </c>
      <c r="AP272" s="48">
        <v>1725.61319</v>
      </c>
      <c r="AQ272" s="88">
        <v>0</v>
      </c>
      <c r="AR272" s="52">
        <v>1725.61319</v>
      </c>
      <c r="AS272" s="52">
        <v>0</v>
      </c>
      <c r="AT272" s="88">
        <v>0</v>
      </c>
      <c r="AU272" s="52">
        <v>0</v>
      </c>
      <c r="AV272" s="48">
        <v>5680.9023699999998</v>
      </c>
      <c r="AW272" s="52">
        <v>5680.9023699999998</v>
      </c>
      <c r="AX272" s="52">
        <v>0</v>
      </c>
      <c r="AY272" s="87">
        <v>9378.1464199999991</v>
      </c>
      <c r="AZ272" s="52">
        <v>6611.0030499999993</v>
      </c>
      <c r="BA272" s="52">
        <v>2767.1433699999998</v>
      </c>
      <c r="BB272" s="48"/>
      <c r="BC272" s="45">
        <v>0</v>
      </c>
      <c r="BD272" s="45">
        <v>0</v>
      </c>
      <c r="BE272" s="45">
        <v>0</v>
      </c>
      <c r="BF272" s="45">
        <v>0</v>
      </c>
      <c r="BG272" s="45">
        <v>0</v>
      </c>
      <c r="BH272" s="46"/>
      <c r="BI272" s="45">
        <v>0</v>
      </c>
      <c r="BJ272" s="45">
        <v>0</v>
      </c>
      <c r="BK272" s="45">
        <v>0</v>
      </c>
      <c r="BL272" s="45">
        <v>0</v>
      </c>
      <c r="BM272" s="45">
        <v>0</v>
      </c>
      <c r="BN272" s="45">
        <v>0</v>
      </c>
      <c r="BO272" s="45">
        <v>0</v>
      </c>
      <c r="BP272" s="46"/>
      <c r="BQ272" s="87">
        <v>28294.551030000002</v>
      </c>
      <c r="BR272" s="52">
        <v>16881.268940000002</v>
      </c>
      <c r="BS272" s="52">
        <v>11413.282090000001</v>
      </c>
    </row>
    <row r="273" spans="1:71" ht="12" customHeight="1" x14ac:dyDescent="0.2">
      <c r="A273" s="59">
        <v>2024</v>
      </c>
      <c r="B273" s="60" t="s">
        <v>9</v>
      </c>
      <c r="C273" s="45">
        <v>0</v>
      </c>
      <c r="D273" s="45">
        <v>8561.3345000000008</v>
      </c>
      <c r="E273" s="52">
        <v>0</v>
      </c>
      <c r="F273" s="52">
        <v>8561.3345000000008</v>
      </c>
      <c r="G273" s="48">
        <v>0</v>
      </c>
      <c r="H273" s="48">
        <v>0</v>
      </c>
      <c r="I273" s="45">
        <v>0</v>
      </c>
      <c r="J273" s="45">
        <v>0</v>
      </c>
      <c r="K273" s="45">
        <v>0</v>
      </c>
      <c r="L273" s="45">
        <v>0</v>
      </c>
      <c r="M273" s="45">
        <v>0</v>
      </c>
      <c r="N273" s="82">
        <v>1718.06131</v>
      </c>
      <c r="O273" s="52">
        <v>1718.06131</v>
      </c>
      <c r="P273" s="84">
        <v>0</v>
      </c>
      <c r="Q273" s="73">
        <v>10279.395810000002</v>
      </c>
      <c r="R273" s="78">
        <v>1718.06131</v>
      </c>
      <c r="S273" s="78">
        <v>8561.3345000000008</v>
      </c>
      <c r="T273" s="47"/>
      <c r="U273" s="45">
        <v>0</v>
      </c>
      <c r="V273" s="45">
        <v>4531.6787700000004</v>
      </c>
      <c r="W273" s="45">
        <v>0</v>
      </c>
      <c r="X273" s="45">
        <v>0</v>
      </c>
      <c r="Y273" s="45">
        <v>0</v>
      </c>
      <c r="Z273" s="45">
        <v>0</v>
      </c>
      <c r="AA273" s="45">
        <v>4531.6787700000004</v>
      </c>
      <c r="AB273" s="45"/>
      <c r="AC273" s="45">
        <v>1092.69274</v>
      </c>
      <c r="AD273" s="52">
        <v>1092.69274</v>
      </c>
      <c r="AE273" s="52">
        <v>0</v>
      </c>
      <c r="AF273" s="48">
        <v>1546.6971799999999</v>
      </c>
      <c r="AG273" s="52">
        <v>0</v>
      </c>
      <c r="AH273" s="52">
        <v>1546.6971799999999</v>
      </c>
      <c r="AI273" s="48">
        <v>0</v>
      </c>
      <c r="AJ273" s="48">
        <v>186.47797</v>
      </c>
      <c r="AK273" s="52">
        <v>0</v>
      </c>
      <c r="AL273" s="52">
        <v>186.47797</v>
      </c>
      <c r="AM273" s="48">
        <v>0</v>
      </c>
      <c r="AN273" s="90">
        <v>0</v>
      </c>
      <c r="AO273" s="52">
        <v>0</v>
      </c>
      <c r="AP273" s="48">
        <v>1632.1897300000001</v>
      </c>
      <c r="AQ273" s="88">
        <v>0</v>
      </c>
      <c r="AR273" s="52">
        <v>1632.1897300000001</v>
      </c>
      <c r="AS273" s="52">
        <v>0</v>
      </c>
      <c r="AT273" s="88">
        <v>0</v>
      </c>
      <c r="AU273" s="52">
        <v>0</v>
      </c>
      <c r="AV273" s="48">
        <v>7617.1841499999991</v>
      </c>
      <c r="AW273" s="52">
        <v>7617.1841499999991</v>
      </c>
      <c r="AX273" s="52">
        <v>0</v>
      </c>
      <c r="AY273" s="87">
        <v>12075.241770000001</v>
      </c>
      <c r="AZ273" s="52">
        <v>8709.8768899999995</v>
      </c>
      <c r="BA273" s="52">
        <v>3365.3648800000001</v>
      </c>
      <c r="BB273" s="48"/>
      <c r="BC273" s="45">
        <v>0</v>
      </c>
      <c r="BD273" s="45">
        <v>0</v>
      </c>
      <c r="BE273" s="45">
        <v>846.97526000000005</v>
      </c>
      <c r="BF273" s="45">
        <v>0</v>
      </c>
      <c r="BG273" s="45">
        <v>846.97526000000005</v>
      </c>
      <c r="BH273" s="46"/>
      <c r="BI273" s="45">
        <v>0</v>
      </c>
      <c r="BJ273" s="45">
        <v>0</v>
      </c>
      <c r="BK273" s="45">
        <v>0</v>
      </c>
      <c r="BL273" s="45">
        <v>0</v>
      </c>
      <c r="BM273" s="45">
        <v>0</v>
      </c>
      <c r="BN273" s="45">
        <v>0</v>
      </c>
      <c r="BO273" s="45">
        <v>0</v>
      </c>
      <c r="BP273" s="46"/>
      <c r="BQ273" s="87">
        <v>27733.29161</v>
      </c>
      <c r="BR273" s="52">
        <v>15806.592229999998</v>
      </c>
      <c r="BS273" s="52">
        <v>11926.699380000002</v>
      </c>
    </row>
    <row r="274" spans="1:71" ht="12" customHeight="1" x14ac:dyDescent="0.2">
      <c r="A274" s="59">
        <v>2024</v>
      </c>
      <c r="B274" s="60" t="s">
        <v>10</v>
      </c>
      <c r="C274" s="45">
        <v>0</v>
      </c>
      <c r="D274" s="45">
        <v>9357.7271500000006</v>
      </c>
      <c r="E274" s="52">
        <v>492.50324999999998</v>
      </c>
      <c r="F274" s="52">
        <v>8865.2239000000009</v>
      </c>
      <c r="G274" s="48">
        <v>0</v>
      </c>
      <c r="H274" s="48">
        <v>511.52508</v>
      </c>
      <c r="I274" s="45">
        <v>0</v>
      </c>
      <c r="J274" s="45">
        <v>0</v>
      </c>
      <c r="K274" s="45">
        <v>0</v>
      </c>
      <c r="L274" s="45">
        <v>0</v>
      </c>
      <c r="M274" s="45">
        <v>0</v>
      </c>
      <c r="N274" s="82">
        <v>838.18197999999995</v>
      </c>
      <c r="O274" s="52">
        <v>838.18197999999995</v>
      </c>
      <c r="P274" s="84">
        <v>0</v>
      </c>
      <c r="Q274" s="73">
        <v>10707.434210000001</v>
      </c>
      <c r="R274" s="78">
        <v>1842.2103099999999</v>
      </c>
      <c r="S274" s="78">
        <v>8865.2239000000009</v>
      </c>
      <c r="T274" s="47"/>
      <c r="U274" s="45">
        <v>0</v>
      </c>
      <c r="V274" s="45">
        <v>4913.30987</v>
      </c>
      <c r="W274" s="45">
        <v>0</v>
      </c>
      <c r="X274" s="45">
        <v>0</v>
      </c>
      <c r="Y274" s="45">
        <v>0</v>
      </c>
      <c r="Z274" s="45">
        <v>622.59061999999994</v>
      </c>
      <c r="AA274" s="45">
        <v>5535.90049</v>
      </c>
      <c r="AB274" s="45"/>
      <c r="AC274" s="45">
        <v>0</v>
      </c>
      <c r="AD274" s="52">
        <v>0</v>
      </c>
      <c r="AE274" s="52">
        <v>0</v>
      </c>
      <c r="AF274" s="48">
        <v>1882.97945</v>
      </c>
      <c r="AG274" s="52">
        <v>0</v>
      </c>
      <c r="AH274" s="52">
        <v>1882.97945</v>
      </c>
      <c r="AI274" s="48">
        <v>0</v>
      </c>
      <c r="AJ274" s="48">
        <v>185.63669000000002</v>
      </c>
      <c r="AK274" s="52">
        <v>0</v>
      </c>
      <c r="AL274" s="52">
        <v>185.63669000000002</v>
      </c>
      <c r="AM274" s="48">
        <v>0</v>
      </c>
      <c r="AN274" s="90">
        <v>0</v>
      </c>
      <c r="AO274" s="52">
        <v>0</v>
      </c>
      <c r="AP274" s="48">
        <v>1233.4716000000001</v>
      </c>
      <c r="AQ274" s="88">
        <v>0</v>
      </c>
      <c r="AR274" s="52">
        <v>1233.4716000000001</v>
      </c>
      <c r="AS274" s="52">
        <v>0</v>
      </c>
      <c r="AT274" s="88">
        <v>0</v>
      </c>
      <c r="AU274" s="52">
        <v>0</v>
      </c>
      <c r="AV274" s="48">
        <v>6366.7844299999997</v>
      </c>
      <c r="AW274" s="52">
        <v>6366.7844299999997</v>
      </c>
      <c r="AX274" s="52">
        <v>0</v>
      </c>
      <c r="AY274" s="87">
        <v>9668.8721699999987</v>
      </c>
      <c r="AZ274" s="52">
        <v>6366.7844299999997</v>
      </c>
      <c r="BA274" s="52">
        <v>3302.0877399999999</v>
      </c>
      <c r="BB274" s="48"/>
      <c r="BC274" s="45">
        <v>0</v>
      </c>
      <c r="BD274" s="45">
        <v>0</v>
      </c>
      <c r="BE274" s="45">
        <v>865.14893999999993</v>
      </c>
      <c r="BF274" s="45">
        <v>0</v>
      </c>
      <c r="BG274" s="45">
        <v>865.14893999999993</v>
      </c>
      <c r="BH274" s="46"/>
      <c r="BI274" s="45">
        <v>0</v>
      </c>
      <c r="BJ274" s="45">
        <v>0</v>
      </c>
      <c r="BK274" s="45">
        <v>0</v>
      </c>
      <c r="BL274" s="45">
        <v>0</v>
      </c>
      <c r="BM274" s="45">
        <v>0</v>
      </c>
      <c r="BN274" s="45">
        <v>0</v>
      </c>
      <c r="BO274" s="45">
        <v>0</v>
      </c>
      <c r="BP274" s="46"/>
      <c r="BQ274" s="87">
        <v>26777.355810000001</v>
      </c>
      <c r="BR274" s="52">
        <v>14610.044169999999</v>
      </c>
      <c r="BS274" s="52">
        <v>12167.31164</v>
      </c>
    </row>
    <row r="275" spans="1:71" ht="12" customHeight="1" x14ac:dyDescent="0.2">
      <c r="A275" s="59">
        <v>2024</v>
      </c>
      <c r="B275" s="60" t="s">
        <v>11</v>
      </c>
      <c r="C275" s="45">
        <v>0</v>
      </c>
      <c r="D275" s="45">
        <v>9715.7715200000002</v>
      </c>
      <c r="E275" s="52">
        <v>2936.3705700000005</v>
      </c>
      <c r="F275" s="52">
        <v>6779.4009499999993</v>
      </c>
      <c r="G275" s="48">
        <v>0</v>
      </c>
      <c r="H275" s="48">
        <v>907.75756999999999</v>
      </c>
      <c r="I275" s="45">
        <v>0</v>
      </c>
      <c r="J275" s="45">
        <v>0</v>
      </c>
      <c r="K275" s="45">
        <v>0</v>
      </c>
      <c r="L275" s="45">
        <v>0</v>
      </c>
      <c r="M275" s="45">
        <v>0</v>
      </c>
      <c r="N275" s="82">
        <v>1147.3048200000001</v>
      </c>
      <c r="O275" s="52">
        <v>1147.3048200000001</v>
      </c>
      <c r="P275" s="84">
        <v>0</v>
      </c>
      <c r="Q275" s="73">
        <v>11770.833909999999</v>
      </c>
      <c r="R275" s="78">
        <v>4991.4329600000001</v>
      </c>
      <c r="S275" s="78">
        <v>6779.4009499999993</v>
      </c>
      <c r="T275" s="47"/>
      <c r="U275" s="45">
        <v>0</v>
      </c>
      <c r="V275" s="45">
        <v>6029.1077500000001</v>
      </c>
      <c r="W275" s="45">
        <v>0</v>
      </c>
      <c r="X275" s="45">
        <v>0</v>
      </c>
      <c r="Y275" s="45">
        <v>0</v>
      </c>
      <c r="Z275" s="45">
        <v>0</v>
      </c>
      <c r="AA275" s="45">
        <v>6029.1077500000001</v>
      </c>
      <c r="AB275" s="45"/>
      <c r="AC275" s="45">
        <v>0</v>
      </c>
      <c r="AD275" s="52">
        <v>0</v>
      </c>
      <c r="AE275" s="52">
        <v>0</v>
      </c>
      <c r="AF275" s="48">
        <v>2034.81854</v>
      </c>
      <c r="AG275" s="52">
        <v>0</v>
      </c>
      <c r="AH275" s="52">
        <v>2034.81854</v>
      </c>
      <c r="AI275" s="48">
        <v>0</v>
      </c>
      <c r="AJ275" s="48">
        <v>177.77657000000002</v>
      </c>
      <c r="AK275" s="52">
        <v>0</v>
      </c>
      <c r="AL275" s="52">
        <v>177.77657000000002</v>
      </c>
      <c r="AM275" s="48">
        <v>0</v>
      </c>
      <c r="AN275" s="90">
        <v>0</v>
      </c>
      <c r="AO275" s="52">
        <v>0</v>
      </c>
      <c r="AP275" s="48">
        <v>1609.15365</v>
      </c>
      <c r="AQ275" s="88">
        <v>0</v>
      </c>
      <c r="AR275" s="52">
        <v>1609.15365</v>
      </c>
      <c r="AS275" s="52">
        <v>0</v>
      </c>
      <c r="AT275" s="88">
        <v>0</v>
      </c>
      <c r="AU275" s="52">
        <v>0</v>
      </c>
      <c r="AV275" s="48">
        <v>3368.0388599999997</v>
      </c>
      <c r="AW275" s="52">
        <v>3368.0388599999997</v>
      </c>
      <c r="AX275" s="52">
        <v>0</v>
      </c>
      <c r="AY275" s="87">
        <v>7189.7876200000001</v>
      </c>
      <c r="AZ275" s="52">
        <v>3368.0388599999997</v>
      </c>
      <c r="BA275" s="52">
        <v>3821.7487600000004</v>
      </c>
      <c r="BB275" s="48"/>
      <c r="BC275" s="45">
        <v>0</v>
      </c>
      <c r="BD275" s="45">
        <v>0</v>
      </c>
      <c r="BE275" s="45">
        <v>869.46942000000001</v>
      </c>
      <c r="BF275" s="45">
        <v>0</v>
      </c>
      <c r="BG275" s="45">
        <v>869.46942000000001</v>
      </c>
      <c r="BH275" s="46"/>
      <c r="BI275" s="45">
        <v>0</v>
      </c>
      <c r="BJ275" s="45">
        <v>0</v>
      </c>
      <c r="BK275" s="45">
        <v>0</v>
      </c>
      <c r="BL275" s="45">
        <v>0</v>
      </c>
      <c r="BM275" s="45">
        <v>0</v>
      </c>
      <c r="BN275" s="45">
        <v>0</v>
      </c>
      <c r="BO275" s="45">
        <v>0</v>
      </c>
      <c r="BP275" s="46"/>
      <c r="BQ275" s="87">
        <v>25859.198700000001</v>
      </c>
      <c r="BR275" s="52">
        <v>15258.048990000001</v>
      </c>
      <c r="BS275" s="52">
        <v>10601.14971</v>
      </c>
    </row>
    <row r="276" spans="1:71" ht="12" customHeight="1" x14ac:dyDescent="0.2">
      <c r="A276" s="59">
        <v>2024</v>
      </c>
      <c r="B276" s="60" t="s">
        <v>12</v>
      </c>
      <c r="C276" s="45">
        <v>1032.87364</v>
      </c>
      <c r="D276" s="45">
        <v>13753.97119</v>
      </c>
      <c r="E276" s="52">
        <v>3457.6623999999997</v>
      </c>
      <c r="F276" s="52">
        <v>10296.308790000001</v>
      </c>
      <c r="G276" s="48">
        <v>0</v>
      </c>
      <c r="H276" s="48">
        <v>769.27896999999996</v>
      </c>
      <c r="I276" s="45">
        <v>0</v>
      </c>
      <c r="J276" s="45">
        <v>0</v>
      </c>
      <c r="K276" s="45">
        <v>0</v>
      </c>
      <c r="L276" s="45">
        <v>0</v>
      </c>
      <c r="M276" s="45">
        <v>0</v>
      </c>
      <c r="N276" s="82">
        <v>1867.7470000000001</v>
      </c>
      <c r="O276" s="52">
        <v>1867.7470000000001</v>
      </c>
      <c r="P276" s="84">
        <v>0</v>
      </c>
      <c r="Q276" s="73">
        <v>17423.870800000001</v>
      </c>
      <c r="R276" s="78">
        <v>7127.5620099999996</v>
      </c>
      <c r="S276" s="78">
        <v>10296.308790000001</v>
      </c>
      <c r="T276" s="47"/>
      <c r="U276" s="45">
        <v>0</v>
      </c>
      <c r="V276" s="45">
        <v>2080.2833100000003</v>
      </c>
      <c r="W276" s="45">
        <v>0</v>
      </c>
      <c r="X276" s="45">
        <v>0</v>
      </c>
      <c r="Y276" s="45">
        <v>0</v>
      </c>
      <c r="Z276" s="45">
        <v>0</v>
      </c>
      <c r="AA276" s="45">
        <v>2080.2833100000003</v>
      </c>
      <c r="AB276" s="45"/>
      <c r="AC276" s="45">
        <v>0</v>
      </c>
      <c r="AD276" s="52">
        <v>0</v>
      </c>
      <c r="AE276" s="52">
        <v>0</v>
      </c>
      <c r="AF276" s="48">
        <v>520.85002000000031</v>
      </c>
      <c r="AG276" s="52">
        <v>0</v>
      </c>
      <c r="AH276" s="52">
        <v>520.85002000000031</v>
      </c>
      <c r="AI276" s="48">
        <v>0</v>
      </c>
      <c r="AJ276" s="48">
        <v>83.921700000000001</v>
      </c>
      <c r="AK276" s="52">
        <v>0</v>
      </c>
      <c r="AL276" s="52">
        <v>83.921700000000001</v>
      </c>
      <c r="AM276" s="48">
        <v>0</v>
      </c>
      <c r="AN276" s="90">
        <v>0</v>
      </c>
      <c r="AO276" s="52">
        <v>0</v>
      </c>
      <c r="AP276" s="48">
        <v>660.03667000000007</v>
      </c>
      <c r="AQ276" s="88">
        <v>0</v>
      </c>
      <c r="AR276" s="52">
        <v>660.03667000000007</v>
      </c>
      <c r="AS276" s="52">
        <v>0</v>
      </c>
      <c r="AT276" s="88">
        <v>0</v>
      </c>
      <c r="AU276" s="52">
        <v>0</v>
      </c>
      <c r="AV276" s="48">
        <v>4168.9944100000002</v>
      </c>
      <c r="AW276" s="52">
        <v>4168.9944100000002</v>
      </c>
      <c r="AX276" s="52">
        <v>0</v>
      </c>
      <c r="AY276" s="87">
        <v>5433.8028000000004</v>
      </c>
      <c r="AZ276" s="52">
        <v>4168.9944100000002</v>
      </c>
      <c r="BA276" s="52">
        <v>1264.8083900000004</v>
      </c>
      <c r="BB276" s="48"/>
      <c r="BC276" s="45">
        <v>0</v>
      </c>
      <c r="BD276" s="45">
        <v>0</v>
      </c>
      <c r="BE276" s="45">
        <v>863.79723999999999</v>
      </c>
      <c r="BF276" s="45">
        <v>0</v>
      </c>
      <c r="BG276" s="45">
        <v>863.79723999999999</v>
      </c>
      <c r="BH276" s="46"/>
      <c r="BI276" s="45">
        <v>0</v>
      </c>
      <c r="BJ276" s="45">
        <v>0</v>
      </c>
      <c r="BK276" s="45">
        <v>0</v>
      </c>
      <c r="BL276" s="45">
        <v>79.695959999999999</v>
      </c>
      <c r="BM276" s="45">
        <v>0</v>
      </c>
      <c r="BN276" s="45">
        <v>0</v>
      </c>
      <c r="BO276" s="45">
        <v>79.695959999999999</v>
      </c>
      <c r="BP276" s="46"/>
      <c r="BQ276" s="87">
        <v>25881.450110000002</v>
      </c>
      <c r="BR276" s="52">
        <v>14320.332929999999</v>
      </c>
      <c r="BS276" s="52">
        <v>11561.117180000001</v>
      </c>
    </row>
    <row r="277" spans="1:71" ht="12" customHeight="1" x14ac:dyDescent="0.2">
      <c r="A277" s="59">
        <v>2024</v>
      </c>
      <c r="B277" s="60" t="s">
        <v>13</v>
      </c>
      <c r="C277" s="45">
        <v>1020.601</v>
      </c>
      <c r="D277" s="45">
        <v>13693.72977</v>
      </c>
      <c r="E277" s="52">
        <v>3723.0098700000003</v>
      </c>
      <c r="F277" s="52">
        <v>9970.7199000000001</v>
      </c>
      <c r="G277" s="48">
        <v>0</v>
      </c>
      <c r="H277" s="48">
        <v>0</v>
      </c>
      <c r="I277" s="45">
        <v>0</v>
      </c>
      <c r="J277" s="45">
        <v>0</v>
      </c>
      <c r="K277" s="45">
        <v>0</v>
      </c>
      <c r="L277" s="45">
        <v>0</v>
      </c>
      <c r="M277" s="45">
        <v>0</v>
      </c>
      <c r="N277" s="82">
        <v>2086.5732400000002</v>
      </c>
      <c r="O277" s="52">
        <v>2086.5732400000002</v>
      </c>
      <c r="P277" s="84">
        <v>0</v>
      </c>
      <c r="Q277" s="73">
        <v>16800.904009999998</v>
      </c>
      <c r="R277" s="78">
        <v>6830.1841100000001</v>
      </c>
      <c r="S277" s="78">
        <v>9970.7199000000001</v>
      </c>
      <c r="T277" s="47"/>
      <c r="U277" s="45">
        <v>0</v>
      </c>
      <c r="V277" s="45">
        <v>3233.3952700000004</v>
      </c>
      <c r="W277" s="45">
        <v>0</v>
      </c>
      <c r="X277" s="45">
        <v>0</v>
      </c>
      <c r="Y277" s="45">
        <v>0</v>
      </c>
      <c r="Z277" s="45">
        <v>0</v>
      </c>
      <c r="AA277" s="45">
        <v>3233.3952700000004</v>
      </c>
      <c r="AB277" s="45"/>
      <c r="AC277" s="45">
        <v>0</v>
      </c>
      <c r="AD277" s="52">
        <v>0</v>
      </c>
      <c r="AE277" s="52">
        <v>0</v>
      </c>
      <c r="AF277" s="48">
        <v>662.96428999999989</v>
      </c>
      <c r="AG277" s="52">
        <v>0</v>
      </c>
      <c r="AH277" s="52">
        <v>662.96428999999989</v>
      </c>
      <c r="AI277" s="48">
        <v>0</v>
      </c>
      <c r="AJ277" s="48">
        <v>81.105539999999991</v>
      </c>
      <c r="AK277" s="52">
        <v>0</v>
      </c>
      <c r="AL277" s="52">
        <v>81.105539999999991</v>
      </c>
      <c r="AM277" s="48">
        <v>0</v>
      </c>
      <c r="AN277" s="90">
        <v>0</v>
      </c>
      <c r="AO277" s="52">
        <v>0</v>
      </c>
      <c r="AP277" s="48">
        <v>875.45695999999998</v>
      </c>
      <c r="AQ277" s="88">
        <v>0</v>
      </c>
      <c r="AR277" s="52">
        <v>875.45695999999998</v>
      </c>
      <c r="AS277" s="52">
        <v>0</v>
      </c>
      <c r="AT277" s="52">
        <v>0</v>
      </c>
      <c r="AU277" s="48">
        <v>0</v>
      </c>
      <c r="AV277" s="48">
        <v>6404.14005</v>
      </c>
      <c r="AW277" s="52">
        <v>6404.14005</v>
      </c>
      <c r="AX277" s="52">
        <v>0</v>
      </c>
      <c r="AY277" s="87">
        <v>8023.6668399999999</v>
      </c>
      <c r="AZ277" s="52">
        <v>6404.14005</v>
      </c>
      <c r="BA277" s="52">
        <v>1619.5267899999999</v>
      </c>
      <c r="BB277" s="48"/>
      <c r="BC277" s="45">
        <v>0</v>
      </c>
      <c r="BD277" s="45">
        <v>0</v>
      </c>
      <c r="BE277" s="45">
        <v>1725.5145600000001</v>
      </c>
      <c r="BF277" s="45">
        <v>0</v>
      </c>
      <c r="BG277" s="45">
        <v>1725.5145600000001</v>
      </c>
      <c r="BH277" s="46"/>
      <c r="BI277" s="45">
        <v>0</v>
      </c>
      <c r="BJ277" s="45">
        <v>0</v>
      </c>
      <c r="BK277" s="45">
        <v>0</v>
      </c>
      <c r="BL277" s="45">
        <v>0</v>
      </c>
      <c r="BM277" s="45">
        <v>0</v>
      </c>
      <c r="BN277" s="45">
        <v>0</v>
      </c>
      <c r="BO277" s="45">
        <v>0</v>
      </c>
      <c r="BP277" s="46"/>
      <c r="BQ277" s="87">
        <v>29783.480679999997</v>
      </c>
      <c r="BR277" s="52">
        <v>18193.233990000001</v>
      </c>
      <c r="BS277" s="52">
        <v>11590.24669</v>
      </c>
    </row>
    <row r="278" spans="1:71" ht="12" customHeight="1" x14ac:dyDescent="0.2">
      <c r="A278" s="59">
        <v>2024</v>
      </c>
      <c r="B278" s="60" t="s">
        <v>14</v>
      </c>
      <c r="C278" s="45">
        <v>0</v>
      </c>
      <c r="D278" s="45">
        <v>9764.3110399999987</v>
      </c>
      <c r="E278" s="52">
        <v>0</v>
      </c>
      <c r="F278" s="52">
        <v>9764.3110399999987</v>
      </c>
      <c r="G278" s="48">
        <v>0</v>
      </c>
      <c r="H278" s="48">
        <v>0</v>
      </c>
      <c r="I278" s="45">
        <v>0</v>
      </c>
      <c r="J278" s="45">
        <v>0</v>
      </c>
      <c r="K278" s="45">
        <v>0</v>
      </c>
      <c r="L278" s="45">
        <v>0</v>
      </c>
      <c r="M278" s="45">
        <v>0</v>
      </c>
      <c r="N278" s="82">
        <v>3099.8552300000001</v>
      </c>
      <c r="O278" s="52">
        <v>3099.8552300000001</v>
      </c>
      <c r="P278" s="84">
        <v>0</v>
      </c>
      <c r="Q278" s="73">
        <v>12864.166269999998</v>
      </c>
      <c r="R278" s="78">
        <v>3099.8552300000001</v>
      </c>
      <c r="S278" s="78">
        <v>9764.3110399999987</v>
      </c>
      <c r="T278" s="47"/>
      <c r="U278" s="45">
        <v>0</v>
      </c>
      <c r="V278" s="45">
        <v>3025.6372299999998</v>
      </c>
      <c r="W278" s="45">
        <v>0</v>
      </c>
      <c r="X278" s="45">
        <v>0</v>
      </c>
      <c r="Y278" s="45">
        <v>0</v>
      </c>
      <c r="Z278" s="45">
        <v>1183.7452599999999</v>
      </c>
      <c r="AA278" s="45">
        <v>4209.38249</v>
      </c>
      <c r="AB278" s="45"/>
      <c r="AC278" s="45">
        <v>0</v>
      </c>
      <c r="AD278" s="52">
        <v>0</v>
      </c>
      <c r="AE278" s="52">
        <v>0</v>
      </c>
      <c r="AF278" s="48">
        <v>1694.9374999999966</v>
      </c>
      <c r="AG278" s="52">
        <v>0</v>
      </c>
      <c r="AH278" s="52">
        <v>1694.9374999999966</v>
      </c>
      <c r="AI278" s="48">
        <v>0</v>
      </c>
      <c r="AJ278" s="48">
        <v>83.809060000000002</v>
      </c>
      <c r="AK278" s="52">
        <v>0</v>
      </c>
      <c r="AL278" s="52">
        <v>83.809060000000002</v>
      </c>
      <c r="AM278" s="48">
        <v>0</v>
      </c>
      <c r="AN278" s="90">
        <v>0</v>
      </c>
      <c r="AO278" s="52">
        <v>0</v>
      </c>
      <c r="AP278" s="48">
        <v>637.17290000000003</v>
      </c>
      <c r="AQ278" s="88">
        <v>0</v>
      </c>
      <c r="AR278" s="52">
        <v>637.17290000000003</v>
      </c>
      <c r="AS278" s="52">
        <v>0</v>
      </c>
      <c r="AT278" s="52">
        <v>0</v>
      </c>
      <c r="AU278" s="48">
        <v>0</v>
      </c>
      <c r="AV278" s="48">
        <v>5485.0536199999997</v>
      </c>
      <c r="AW278" s="52">
        <v>5485.0536199999997</v>
      </c>
      <c r="AX278" s="52">
        <v>0</v>
      </c>
      <c r="AY278" s="87">
        <v>7900.9730799999961</v>
      </c>
      <c r="AZ278" s="52">
        <v>5485.0536199999997</v>
      </c>
      <c r="BA278" s="52">
        <v>2415.9194599999964</v>
      </c>
      <c r="BB278" s="48"/>
      <c r="BC278" s="45">
        <v>0</v>
      </c>
      <c r="BD278" s="45">
        <v>0</v>
      </c>
      <c r="BE278" s="45">
        <v>1745.75468</v>
      </c>
      <c r="BF278" s="45">
        <v>0</v>
      </c>
      <c r="BG278" s="45">
        <v>1745.75468</v>
      </c>
      <c r="BH278" s="46"/>
      <c r="BI278" s="45">
        <v>0</v>
      </c>
      <c r="BJ278" s="45">
        <v>0</v>
      </c>
      <c r="BK278" s="45">
        <v>0</v>
      </c>
      <c r="BL278" s="45">
        <v>0</v>
      </c>
      <c r="BM278" s="45">
        <v>0</v>
      </c>
      <c r="BN278" s="45">
        <v>0</v>
      </c>
      <c r="BO278" s="45">
        <v>0</v>
      </c>
      <c r="BP278" s="46"/>
      <c r="BQ278" s="87">
        <v>26720.276519999992</v>
      </c>
      <c r="BR278" s="52">
        <v>14540.04602</v>
      </c>
      <c r="BS278" s="52">
        <v>12180.230499999994</v>
      </c>
    </row>
    <row r="279" spans="1:71" ht="12" customHeight="1" x14ac:dyDescent="0.2">
      <c r="A279" s="59">
        <v>2024</v>
      </c>
      <c r="B279" s="60" t="s">
        <v>15</v>
      </c>
      <c r="C279" s="45">
        <v>2053.4746399999999</v>
      </c>
      <c r="D279" s="45">
        <v>131202.26523999998</v>
      </c>
      <c r="E279" s="52">
        <v>25311.438350000004</v>
      </c>
      <c r="F279" s="52">
        <v>105890.82688999998</v>
      </c>
      <c r="G279" s="48">
        <v>0</v>
      </c>
      <c r="H279" s="84">
        <v>2795.1777099999999</v>
      </c>
      <c r="I279" s="45">
        <v>0</v>
      </c>
      <c r="J279" s="45">
        <v>0</v>
      </c>
      <c r="K279" s="45">
        <v>0</v>
      </c>
      <c r="L279" s="45">
        <v>0</v>
      </c>
      <c r="M279" s="45">
        <v>0</v>
      </c>
      <c r="N279" s="97">
        <v>24348.60554</v>
      </c>
      <c r="O279" s="52">
        <v>24348.60554</v>
      </c>
      <c r="P279" s="84">
        <v>0</v>
      </c>
      <c r="Q279" s="97">
        <v>160399.52312999999</v>
      </c>
      <c r="R279" s="78">
        <v>54508.696240000005</v>
      </c>
      <c r="S279" s="78">
        <v>105890.82688999998</v>
      </c>
      <c r="T279" s="47"/>
      <c r="U279" s="45">
        <v>0</v>
      </c>
      <c r="V279" s="45">
        <v>56898.639439999999</v>
      </c>
      <c r="W279" s="45">
        <v>0</v>
      </c>
      <c r="X279" s="45">
        <v>0</v>
      </c>
      <c r="Y279" s="45">
        <v>1139.23523</v>
      </c>
      <c r="Z279" s="45">
        <v>2627.6065899999999</v>
      </c>
      <c r="AA279" s="45">
        <v>60665.48126</v>
      </c>
      <c r="AB279" s="45"/>
      <c r="AC279" s="45">
        <v>3221.1757200000002</v>
      </c>
      <c r="AD279" s="52">
        <v>3221.1757200000002</v>
      </c>
      <c r="AE279" s="52">
        <v>0</v>
      </c>
      <c r="AF279" s="48">
        <v>14171.224359999995</v>
      </c>
      <c r="AG279" s="52">
        <v>0</v>
      </c>
      <c r="AH279" s="52">
        <v>14171.224359999995</v>
      </c>
      <c r="AI279" s="48">
        <v>0</v>
      </c>
      <c r="AJ279" s="48">
        <v>4670.8133899999993</v>
      </c>
      <c r="AK279" s="52">
        <v>2777.4241099999999</v>
      </c>
      <c r="AL279" s="52">
        <v>1893.3892800000001</v>
      </c>
      <c r="AM279" s="48">
        <v>0</v>
      </c>
      <c r="AN279" s="90">
        <v>0</v>
      </c>
      <c r="AO279" s="52">
        <v>0</v>
      </c>
      <c r="AP279" s="48">
        <v>12303.2191</v>
      </c>
      <c r="AQ279" s="88">
        <v>0</v>
      </c>
      <c r="AR279" s="52">
        <v>12303.2191</v>
      </c>
      <c r="AS279" s="48">
        <v>0</v>
      </c>
      <c r="AT279" s="78">
        <v>0</v>
      </c>
      <c r="AU279" s="52">
        <v>0</v>
      </c>
      <c r="AV279" s="48">
        <v>72360.328970000002</v>
      </c>
      <c r="AW279" s="52">
        <v>72360.328970000002</v>
      </c>
      <c r="AX279" s="52">
        <v>0</v>
      </c>
      <c r="AY279" s="87">
        <v>106726.76154000001</v>
      </c>
      <c r="AZ279" s="52">
        <v>78358.928800000009</v>
      </c>
      <c r="BA279" s="52">
        <v>28367.832739999998</v>
      </c>
      <c r="BB279" s="48"/>
      <c r="BC279" s="45">
        <v>0</v>
      </c>
      <c r="BD279" s="45">
        <v>0</v>
      </c>
      <c r="BE279" s="45">
        <v>11281.07935</v>
      </c>
      <c r="BF279" s="45">
        <v>0</v>
      </c>
      <c r="BG279" s="45">
        <v>11281.07935</v>
      </c>
      <c r="BH279" s="46"/>
      <c r="BI279" s="45">
        <v>0</v>
      </c>
      <c r="BJ279" s="45">
        <v>0</v>
      </c>
      <c r="BK279" s="45">
        <v>0</v>
      </c>
      <c r="BL279" s="45">
        <v>79.695959999999999</v>
      </c>
      <c r="BM279" s="45">
        <v>0</v>
      </c>
      <c r="BN279" s="45">
        <v>0</v>
      </c>
      <c r="BO279" s="45">
        <v>79.695959999999999</v>
      </c>
      <c r="BP279" s="46"/>
      <c r="BQ279" s="87">
        <v>339152.54123999999</v>
      </c>
      <c r="BR279" s="52">
        <v>204893.88161000001</v>
      </c>
      <c r="BS279" s="52">
        <v>134258.65962999998</v>
      </c>
    </row>
    <row r="280" spans="1:71" ht="12" customHeight="1" x14ac:dyDescent="0.2">
      <c r="A280" s="55">
        <v>2025</v>
      </c>
      <c r="B280" s="56" t="s">
        <v>3</v>
      </c>
      <c r="C280" s="45">
        <v>1025.3706</v>
      </c>
      <c r="D280" s="45">
        <v>10119.332779999999</v>
      </c>
      <c r="E280" s="52">
        <v>0</v>
      </c>
      <c r="F280" s="52">
        <v>10119.332779999999</v>
      </c>
      <c r="G280" s="48">
        <v>979.07078999999999</v>
      </c>
      <c r="H280" s="83">
        <v>0</v>
      </c>
      <c r="I280" s="45">
        <v>0</v>
      </c>
      <c r="J280" s="45">
        <v>0</v>
      </c>
      <c r="K280" s="45">
        <v>0</v>
      </c>
      <c r="L280" s="45">
        <v>0</v>
      </c>
      <c r="M280" s="45">
        <v>0</v>
      </c>
      <c r="N280" s="82">
        <v>3178.6401700000001</v>
      </c>
      <c r="O280" s="52">
        <v>3178.6401700000001</v>
      </c>
      <c r="P280" s="83">
        <v>0</v>
      </c>
      <c r="Q280" s="73">
        <v>15302.414339999999</v>
      </c>
      <c r="R280" s="52">
        <v>5183.0815599999996</v>
      </c>
      <c r="S280" s="78">
        <v>10119.332779999999</v>
      </c>
      <c r="T280" s="47"/>
      <c r="U280" s="45">
        <v>0</v>
      </c>
      <c r="V280" s="45">
        <v>10452.64716</v>
      </c>
      <c r="W280" s="45">
        <v>0</v>
      </c>
      <c r="X280" s="45">
        <v>0</v>
      </c>
      <c r="Y280" s="45">
        <v>1038.8891999999998</v>
      </c>
      <c r="Z280" s="45">
        <v>0</v>
      </c>
      <c r="AA280" s="45">
        <v>11491.53636</v>
      </c>
      <c r="AB280" s="45"/>
      <c r="AC280" s="45">
        <v>0</v>
      </c>
      <c r="AD280" s="52">
        <v>0</v>
      </c>
      <c r="AE280" s="52">
        <v>0</v>
      </c>
      <c r="AF280" s="48">
        <v>627.01986999999917</v>
      </c>
      <c r="AG280" s="52">
        <v>0</v>
      </c>
      <c r="AH280" s="52">
        <v>627.01986999999917</v>
      </c>
      <c r="AI280" s="48">
        <v>0</v>
      </c>
      <c r="AJ280" s="48">
        <v>83.809060000000002</v>
      </c>
      <c r="AK280" s="52">
        <v>0</v>
      </c>
      <c r="AL280" s="52">
        <v>83.809060000000002</v>
      </c>
      <c r="AM280" s="48">
        <v>0</v>
      </c>
      <c r="AN280" s="89">
        <v>0</v>
      </c>
      <c r="AO280" s="52">
        <v>0</v>
      </c>
      <c r="AP280" s="48">
        <v>690.99894000000006</v>
      </c>
      <c r="AQ280" s="88">
        <v>0</v>
      </c>
      <c r="AR280" s="52">
        <v>690.99894000000006</v>
      </c>
      <c r="AS280" s="52">
        <v>0</v>
      </c>
      <c r="AT280" s="78">
        <v>0</v>
      </c>
      <c r="AU280" s="52">
        <v>0</v>
      </c>
      <c r="AV280" s="48">
        <v>6463.684220000001</v>
      </c>
      <c r="AW280" s="52">
        <v>6463.684220000001</v>
      </c>
      <c r="AX280" s="52">
        <v>0</v>
      </c>
      <c r="AY280" s="87">
        <v>7865.5120900000002</v>
      </c>
      <c r="AZ280" s="52">
        <v>6463.684220000001</v>
      </c>
      <c r="BA280" s="52">
        <v>1401.8278699999992</v>
      </c>
      <c r="BB280" s="48"/>
      <c r="BC280" s="45">
        <v>0</v>
      </c>
      <c r="BD280" s="45">
        <v>0</v>
      </c>
      <c r="BE280" s="45">
        <v>826.45103000000006</v>
      </c>
      <c r="BF280" s="45">
        <v>0</v>
      </c>
      <c r="BG280" s="45">
        <v>826.45103000000006</v>
      </c>
      <c r="BH280" s="46"/>
      <c r="BI280" s="45">
        <v>0</v>
      </c>
      <c r="BJ280" s="45">
        <v>0</v>
      </c>
      <c r="BK280" s="45">
        <v>0</v>
      </c>
      <c r="BL280" s="45">
        <v>0</v>
      </c>
      <c r="BM280" s="45">
        <v>0</v>
      </c>
      <c r="BN280" s="45">
        <v>0</v>
      </c>
      <c r="BO280" s="45">
        <v>0</v>
      </c>
      <c r="BP280" s="46"/>
      <c r="BQ280" s="87">
        <v>35485.913820000002</v>
      </c>
      <c r="BR280" s="52">
        <v>23964.75317</v>
      </c>
      <c r="BS280" s="52">
        <v>11521.160649999998</v>
      </c>
    </row>
    <row r="281" spans="1:71" ht="12" customHeight="1" x14ac:dyDescent="0.2">
      <c r="A281" s="55">
        <v>2025</v>
      </c>
      <c r="B281" s="56" t="s">
        <v>4</v>
      </c>
      <c r="C281" s="45">
        <v>1022.2932099999999</v>
      </c>
      <c r="D281" s="45">
        <v>9188.0476900000012</v>
      </c>
      <c r="E281" s="52">
        <v>0</v>
      </c>
      <c r="F281" s="52">
        <v>9188.0476900000012</v>
      </c>
      <c r="G281" s="48">
        <v>0</v>
      </c>
      <c r="H281" s="83">
        <v>886.69507999999996</v>
      </c>
      <c r="I281" s="45">
        <v>0</v>
      </c>
      <c r="J281" s="45">
        <v>0</v>
      </c>
      <c r="K281" s="45">
        <v>0</v>
      </c>
      <c r="L281" s="45">
        <v>0</v>
      </c>
      <c r="M281" s="45">
        <v>0</v>
      </c>
      <c r="N281" s="82">
        <v>2106.5151800000003</v>
      </c>
      <c r="O281" s="52">
        <v>2106.5151800000003</v>
      </c>
      <c r="P281" s="83">
        <v>0</v>
      </c>
      <c r="Q281" s="73">
        <v>13203.551160000001</v>
      </c>
      <c r="R281" s="52">
        <v>4015.5034700000001</v>
      </c>
      <c r="S281" s="78">
        <v>9188.0476900000012</v>
      </c>
      <c r="T281" s="47"/>
      <c r="U281" s="45">
        <v>0</v>
      </c>
      <c r="V281" s="45">
        <v>9257.8814500000008</v>
      </c>
      <c r="W281" s="45">
        <v>0</v>
      </c>
      <c r="X281" s="45">
        <v>0</v>
      </c>
      <c r="Y281" s="45">
        <v>0</v>
      </c>
      <c r="Z281" s="45">
        <v>0</v>
      </c>
      <c r="AA281" s="45">
        <v>9257.8814500000008</v>
      </c>
      <c r="AB281" s="45"/>
      <c r="AC281" s="45">
        <v>0</v>
      </c>
      <c r="AD281" s="52">
        <v>0</v>
      </c>
      <c r="AE281" s="52">
        <v>0</v>
      </c>
      <c r="AF281" s="48">
        <v>158.07939999999999</v>
      </c>
      <c r="AG281" s="52">
        <v>0</v>
      </c>
      <c r="AH281" s="52">
        <v>158.07939999999999</v>
      </c>
      <c r="AI281" s="48">
        <v>0</v>
      </c>
      <c r="AJ281" s="48">
        <v>75.698499999999996</v>
      </c>
      <c r="AK281" s="52">
        <v>0</v>
      </c>
      <c r="AL281" s="52">
        <v>75.698499999999996</v>
      </c>
      <c r="AM281" s="48">
        <v>0</v>
      </c>
      <c r="AN281" s="89">
        <v>0</v>
      </c>
      <c r="AO281" s="52">
        <v>0</v>
      </c>
      <c r="AP281" s="48">
        <v>509.35975000000002</v>
      </c>
      <c r="AQ281" s="88">
        <v>0</v>
      </c>
      <c r="AR281" s="52">
        <v>509.35975000000002</v>
      </c>
      <c r="AS281" s="52">
        <v>0</v>
      </c>
      <c r="AT281" s="78">
        <v>0</v>
      </c>
      <c r="AU281" s="52">
        <v>0</v>
      </c>
      <c r="AV281" s="48">
        <v>2190.2616499999999</v>
      </c>
      <c r="AW281" s="52">
        <v>2190.2616499999999</v>
      </c>
      <c r="AX281" s="52">
        <v>0</v>
      </c>
      <c r="AY281" s="87">
        <v>2933.3993</v>
      </c>
      <c r="AZ281" s="52">
        <v>2190.2616499999999</v>
      </c>
      <c r="BA281" s="52">
        <v>743.13765000000001</v>
      </c>
      <c r="BB281" s="48"/>
      <c r="BC281" s="45">
        <v>0</v>
      </c>
      <c r="BD281" s="45">
        <v>0</v>
      </c>
      <c r="BE281" s="45">
        <v>824.29251999999997</v>
      </c>
      <c r="BF281" s="45">
        <v>0</v>
      </c>
      <c r="BG281" s="45">
        <v>824.29251999999997</v>
      </c>
      <c r="BH281" s="46"/>
      <c r="BI281" s="45">
        <v>0</v>
      </c>
      <c r="BJ281" s="45">
        <v>0</v>
      </c>
      <c r="BK281" s="45">
        <v>0</v>
      </c>
      <c r="BL281" s="45">
        <v>0</v>
      </c>
      <c r="BM281" s="45">
        <v>0</v>
      </c>
      <c r="BN281" s="45">
        <v>0</v>
      </c>
      <c r="BO281" s="45">
        <v>0</v>
      </c>
      <c r="BP281" s="46"/>
      <c r="BQ281" s="87">
        <v>26219.124430000003</v>
      </c>
      <c r="BR281" s="52">
        <v>16287.93909</v>
      </c>
      <c r="BS281" s="52">
        <v>9931.1853400000018</v>
      </c>
    </row>
    <row r="282" spans="1:71" ht="12" customHeight="1" x14ac:dyDescent="0.2">
      <c r="A282" s="55">
        <v>2025</v>
      </c>
      <c r="B282" s="56" t="s">
        <v>5</v>
      </c>
      <c r="C282" s="45">
        <v>3069.35223</v>
      </c>
      <c r="D282" s="45">
        <v>12211.31338</v>
      </c>
      <c r="E282" s="52">
        <v>2702.0170400000002</v>
      </c>
      <c r="F282" s="52">
        <v>9509.296339999999</v>
      </c>
      <c r="G282" s="48">
        <v>0</v>
      </c>
      <c r="H282" s="83">
        <v>0</v>
      </c>
      <c r="I282" s="45">
        <v>0</v>
      </c>
      <c r="J282" s="45">
        <v>0</v>
      </c>
      <c r="K282" s="45">
        <v>0</v>
      </c>
      <c r="L282" s="45">
        <v>0</v>
      </c>
      <c r="M282" s="45">
        <v>0</v>
      </c>
      <c r="N282" s="82">
        <v>2002.5617400000001</v>
      </c>
      <c r="O282" s="52">
        <v>2002.5617400000001</v>
      </c>
      <c r="P282" s="83">
        <v>0</v>
      </c>
      <c r="Q282" s="73">
        <v>17283.227350000001</v>
      </c>
      <c r="R282" s="52">
        <v>7773.9310100000002</v>
      </c>
      <c r="S282" s="78">
        <v>9509.296339999999</v>
      </c>
      <c r="T282" s="47"/>
      <c r="U282" s="45">
        <v>0</v>
      </c>
      <c r="V282" s="45">
        <v>11832.890730000001</v>
      </c>
      <c r="W282" s="45">
        <v>0</v>
      </c>
      <c r="X282" s="45">
        <v>0</v>
      </c>
      <c r="Y282" s="45">
        <v>0</v>
      </c>
      <c r="Z282" s="45">
        <v>0</v>
      </c>
      <c r="AA282" s="45">
        <v>11832.890730000001</v>
      </c>
      <c r="AB282" s="45"/>
      <c r="AC282" s="45">
        <v>0</v>
      </c>
      <c r="AD282" s="52">
        <v>0</v>
      </c>
      <c r="AE282" s="52">
        <v>0</v>
      </c>
      <c r="AF282" s="48">
        <v>287.53195000000022</v>
      </c>
      <c r="AG282" s="52">
        <v>0</v>
      </c>
      <c r="AH282" s="52">
        <v>287.53195000000022</v>
      </c>
      <c r="AI282" s="48">
        <v>0</v>
      </c>
      <c r="AJ282" s="48">
        <v>742.22156000000007</v>
      </c>
      <c r="AK282" s="52">
        <v>658.52515000000005</v>
      </c>
      <c r="AL282" s="52">
        <v>83.69641</v>
      </c>
      <c r="AM282" s="48">
        <v>0</v>
      </c>
      <c r="AN282" s="89">
        <v>0</v>
      </c>
      <c r="AO282" s="52">
        <v>0</v>
      </c>
      <c r="AP282" s="48">
        <v>329.04199</v>
      </c>
      <c r="AQ282" s="88">
        <v>0</v>
      </c>
      <c r="AR282" s="52">
        <v>329.04199</v>
      </c>
      <c r="AS282" s="52">
        <v>0</v>
      </c>
      <c r="AT282" s="78">
        <v>0</v>
      </c>
      <c r="AU282" s="52">
        <v>0</v>
      </c>
      <c r="AV282" s="48">
        <v>4393.3217599999998</v>
      </c>
      <c r="AW282" s="52">
        <v>4393.3217599999998</v>
      </c>
      <c r="AX282" s="52">
        <v>0</v>
      </c>
      <c r="AY282" s="87">
        <v>5752.1172600000009</v>
      </c>
      <c r="AZ282" s="52">
        <v>5051.8469100000002</v>
      </c>
      <c r="BA282" s="52">
        <v>700.27035000000024</v>
      </c>
      <c r="BB282" s="48"/>
      <c r="BC282" s="45">
        <v>0</v>
      </c>
      <c r="BD282" s="45">
        <v>0</v>
      </c>
      <c r="BE282" s="45">
        <v>1651.6282099999999</v>
      </c>
      <c r="BF282" s="45">
        <v>0</v>
      </c>
      <c r="BG282" s="45">
        <v>1651.6282099999999</v>
      </c>
      <c r="BH282" s="46"/>
      <c r="BI282" s="45">
        <v>0</v>
      </c>
      <c r="BJ282" s="45">
        <v>0</v>
      </c>
      <c r="BK282" s="45">
        <v>0</v>
      </c>
      <c r="BL282" s="45">
        <v>0</v>
      </c>
      <c r="BM282" s="45">
        <v>0</v>
      </c>
      <c r="BN282" s="45">
        <v>0</v>
      </c>
      <c r="BO282" s="45">
        <v>0</v>
      </c>
      <c r="BP282" s="46"/>
      <c r="BQ282" s="87">
        <v>36519.863550000002</v>
      </c>
      <c r="BR282" s="52">
        <v>26310.296859999999</v>
      </c>
      <c r="BS282" s="52">
        <v>10209.56669</v>
      </c>
    </row>
    <row r="283" spans="1:71" ht="12" customHeight="1" x14ac:dyDescent="0.2">
      <c r="A283" s="55">
        <v>2025</v>
      </c>
      <c r="B283" s="56" t="s">
        <v>6</v>
      </c>
      <c r="C283" s="45">
        <v>0</v>
      </c>
      <c r="D283" s="45">
        <v>9867.8750099999997</v>
      </c>
      <c r="E283" s="52">
        <v>2050.5681600000003</v>
      </c>
      <c r="F283" s="52">
        <v>7817.3068499999999</v>
      </c>
      <c r="G283" s="48">
        <v>0</v>
      </c>
      <c r="H283" s="83">
        <v>917.64629000000002</v>
      </c>
      <c r="I283" s="45">
        <v>0</v>
      </c>
      <c r="J283" s="45">
        <v>0</v>
      </c>
      <c r="K283" s="45">
        <v>0</v>
      </c>
      <c r="L283" s="45">
        <v>0</v>
      </c>
      <c r="M283" s="45">
        <v>0</v>
      </c>
      <c r="N283" s="82">
        <v>0</v>
      </c>
      <c r="O283" s="52">
        <v>0</v>
      </c>
      <c r="P283" s="83">
        <v>0</v>
      </c>
      <c r="Q283" s="73">
        <v>10785.5213</v>
      </c>
      <c r="R283" s="52">
        <v>2968.2144500000004</v>
      </c>
      <c r="S283" s="78">
        <v>7817.3068499999999</v>
      </c>
      <c r="T283" s="47"/>
      <c r="U283" s="45">
        <v>0</v>
      </c>
      <c r="V283" s="45">
        <v>14454.13888</v>
      </c>
      <c r="W283" s="45">
        <v>0</v>
      </c>
      <c r="X283" s="45">
        <v>0</v>
      </c>
      <c r="Y283" s="45">
        <v>1104.1993799999998</v>
      </c>
      <c r="Z283" s="45">
        <v>0</v>
      </c>
      <c r="AA283" s="45">
        <v>15558.33826</v>
      </c>
      <c r="AB283" s="45"/>
      <c r="AC283" s="45">
        <v>0</v>
      </c>
      <c r="AD283" s="52">
        <v>0</v>
      </c>
      <c r="AE283" s="52">
        <v>0</v>
      </c>
      <c r="AF283" s="48">
        <v>22.002480000000002</v>
      </c>
      <c r="AG283" s="52">
        <v>0</v>
      </c>
      <c r="AH283" s="52">
        <v>22.002480000000002</v>
      </c>
      <c r="AI283" s="48">
        <v>0</v>
      </c>
      <c r="AJ283" s="48">
        <v>693.89944000000003</v>
      </c>
      <c r="AK283" s="52">
        <v>612.79390000000001</v>
      </c>
      <c r="AL283" s="52">
        <v>81.105539999999991</v>
      </c>
      <c r="AM283" s="48">
        <v>0</v>
      </c>
      <c r="AN283" s="89">
        <v>0</v>
      </c>
      <c r="AO283" s="52">
        <v>0</v>
      </c>
      <c r="AP283" s="48">
        <v>1411.3266299999998</v>
      </c>
      <c r="AQ283" s="88">
        <v>0</v>
      </c>
      <c r="AR283" s="52">
        <v>1411.3266299999998</v>
      </c>
      <c r="AS283" s="52">
        <v>0</v>
      </c>
      <c r="AT283" s="78">
        <v>0</v>
      </c>
      <c r="AU283" s="52">
        <v>0</v>
      </c>
      <c r="AV283" s="48">
        <v>4387.6225100000001</v>
      </c>
      <c r="AW283" s="52">
        <v>4387.6225100000001</v>
      </c>
      <c r="AX283" s="52">
        <v>0</v>
      </c>
      <c r="AY283" s="87">
        <v>6514.8510599999991</v>
      </c>
      <c r="AZ283" s="52">
        <v>5000.4164099999998</v>
      </c>
      <c r="BA283" s="52">
        <v>1514.4346499999997</v>
      </c>
      <c r="BB283" s="48"/>
      <c r="BC283" s="45">
        <v>0</v>
      </c>
      <c r="BD283" s="45">
        <v>0</v>
      </c>
      <c r="BE283" s="45">
        <v>0</v>
      </c>
      <c r="BF283" s="45">
        <v>0</v>
      </c>
      <c r="BG283" s="45">
        <v>0</v>
      </c>
      <c r="BH283" s="46"/>
      <c r="BI283" s="45">
        <v>0</v>
      </c>
      <c r="BJ283" s="45">
        <v>0</v>
      </c>
      <c r="BK283" s="45">
        <v>0</v>
      </c>
      <c r="BL283" s="45">
        <v>0</v>
      </c>
      <c r="BM283" s="45">
        <v>0</v>
      </c>
      <c r="BN283" s="45">
        <v>0</v>
      </c>
      <c r="BO283" s="45">
        <v>0</v>
      </c>
      <c r="BP283" s="46"/>
      <c r="BQ283" s="87">
        <v>32858.710619999998</v>
      </c>
      <c r="BR283" s="52">
        <v>23526.969120000002</v>
      </c>
      <c r="BS283" s="52">
        <v>9331.7415000000001</v>
      </c>
    </row>
    <row r="284" spans="1:71" ht="12" customHeight="1" x14ac:dyDescent="0.2">
      <c r="A284" s="55">
        <v>2025</v>
      </c>
      <c r="B284" s="56" t="s">
        <v>7</v>
      </c>
      <c r="C284" s="45">
        <v>1009.232</v>
      </c>
      <c r="D284" s="45">
        <v>8140.6637000000001</v>
      </c>
      <c r="E284" s="52">
        <v>0</v>
      </c>
      <c r="F284" s="52">
        <v>8140.6637000000001</v>
      </c>
      <c r="G284" s="48">
        <v>0</v>
      </c>
      <c r="H284" s="45">
        <v>0</v>
      </c>
      <c r="I284" s="45">
        <v>0</v>
      </c>
      <c r="J284" s="45">
        <v>0</v>
      </c>
      <c r="K284" s="45">
        <v>0</v>
      </c>
      <c r="L284" s="45">
        <v>0</v>
      </c>
      <c r="M284" s="52">
        <v>0</v>
      </c>
      <c r="N284" s="82">
        <v>4948.6422300000004</v>
      </c>
      <c r="O284" s="52">
        <v>4948.6422300000004</v>
      </c>
      <c r="P284" s="83">
        <v>0</v>
      </c>
      <c r="Q284" s="73">
        <v>14098.53793</v>
      </c>
      <c r="R284" s="52">
        <v>5957.8742300000004</v>
      </c>
      <c r="S284" s="78">
        <v>8140.6637000000001</v>
      </c>
      <c r="T284" s="47"/>
      <c r="U284" s="45">
        <v>0</v>
      </c>
      <c r="V284" s="45">
        <v>9169.7361899999996</v>
      </c>
      <c r="W284" s="45">
        <v>167.58339000000001</v>
      </c>
      <c r="X284" s="45">
        <v>0</v>
      </c>
      <c r="Y284" s="45">
        <v>0</v>
      </c>
      <c r="Z284" s="45">
        <v>0</v>
      </c>
      <c r="AA284" s="45">
        <v>9337.3195799999994</v>
      </c>
      <c r="AB284" s="45"/>
      <c r="AC284" s="45">
        <v>0</v>
      </c>
      <c r="AD284" s="52">
        <v>0</v>
      </c>
      <c r="AE284" s="52">
        <v>0</v>
      </c>
      <c r="AF284" s="48">
        <v>188.77864</v>
      </c>
      <c r="AG284" s="52">
        <v>0</v>
      </c>
      <c r="AH284" s="52">
        <v>188.77864</v>
      </c>
      <c r="AI284" s="48">
        <v>0</v>
      </c>
      <c r="AJ284" s="48">
        <v>83.809060000000002</v>
      </c>
      <c r="AK284" s="52">
        <v>0</v>
      </c>
      <c r="AL284" s="52">
        <v>83.809060000000002</v>
      </c>
      <c r="AM284" s="48">
        <v>0</v>
      </c>
      <c r="AN284" s="89">
        <v>0</v>
      </c>
      <c r="AO284" s="52">
        <v>0</v>
      </c>
      <c r="AP284" s="48">
        <v>756.35961999999995</v>
      </c>
      <c r="AQ284" s="88">
        <v>0</v>
      </c>
      <c r="AR284" s="52">
        <v>756.35961999999995</v>
      </c>
      <c r="AS284" s="52">
        <v>0</v>
      </c>
      <c r="AT284" s="78">
        <v>0</v>
      </c>
      <c r="AU284" s="52">
        <v>0</v>
      </c>
      <c r="AV284" s="48">
        <v>5505.0633100000005</v>
      </c>
      <c r="AW284" s="52">
        <v>5505.0633100000005</v>
      </c>
      <c r="AX284" s="52">
        <v>0</v>
      </c>
      <c r="AY284" s="87">
        <v>6534.0106300000007</v>
      </c>
      <c r="AZ284" s="52">
        <v>5505.0633100000005</v>
      </c>
      <c r="BA284" s="52">
        <v>1028.94732</v>
      </c>
      <c r="BB284" s="48"/>
      <c r="BC284" s="45">
        <v>0</v>
      </c>
      <c r="BD284" s="45">
        <v>0</v>
      </c>
      <c r="BE284" s="45">
        <v>779.90799000000004</v>
      </c>
      <c r="BF284" s="45">
        <v>0</v>
      </c>
      <c r="BG284" s="45">
        <v>779.90799000000004</v>
      </c>
      <c r="BH284" s="46"/>
      <c r="BI284" s="45">
        <v>0</v>
      </c>
      <c r="BJ284" s="45">
        <v>0</v>
      </c>
      <c r="BK284" s="45">
        <v>0</v>
      </c>
      <c r="BL284" s="45">
        <v>0</v>
      </c>
      <c r="BM284" s="45">
        <v>0</v>
      </c>
      <c r="BN284" s="45">
        <v>0</v>
      </c>
      <c r="BO284" s="45">
        <v>0</v>
      </c>
      <c r="BP284" s="46"/>
      <c r="BQ284" s="87">
        <v>30749.776130000002</v>
      </c>
      <c r="BR284" s="52">
        <v>21580.165110000002</v>
      </c>
      <c r="BS284" s="52">
        <v>9169.6110200000003</v>
      </c>
    </row>
    <row r="285" spans="1:71" ht="12" customHeight="1" x14ac:dyDescent="0.2">
      <c r="A285" s="55">
        <v>2025</v>
      </c>
      <c r="B285" s="56" t="s">
        <v>8</v>
      </c>
      <c r="C285" s="45">
        <v>3151.3115400000002</v>
      </c>
      <c r="D285" s="45">
        <v>12038.41877</v>
      </c>
      <c r="E285" s="52">
        <v>4148.2799500000001</v>
      </c>
      <c r="F285" s="52">
        <v>7890.1388199999992</v>
      </c>
      <c r="G285" s="48">
        <v>0</v>
      </c>
      <c r="H285" s="45">
        <v>0</v>
      </c>
      <c r="I285" s="45">
        <v>0</v>
      </c>
      <c r="J285" s="45">
        <v>0</v>
      </c>
      <c r="K285" s="45">
        <v>0</v>
      </c>
      <c r="L285" s="45">
        <v>0</v>
      </c>
      <c r="M285" s="52">
        <v>0</v>
      </c>
      <c r="N285" s="82">
        <v>2046.8216200000002</v>
      </c>
      <c r="O285" s="52">
        <v>2046.8216200000002</v>
      </c>
      <c r="P285" s="83">
        <v>0</v>
      </c>
      <c r="Q285" s="73">
        <v>17236.551930000001</v>
      </c>
      <c r="R285" s="52">
        <v>9346.4131100000013</v>
      </c>
      <c r="S285" s="78">
        <v>7890.1388199999992</v>
      </c>
      <c r="T285" s="47"/>
      <c r="U285" s="45">
        <v>0</v>
      </c>
      <c r="V285" s="45">
        <v>4133.7673199999999</v>
      </c>
      <c r="W285" s="45">
        <v>0</v>
      </c>
      <c r="X285" s="45">
        <v>0</v>
      </c>
      <c r="Y285" s="45">
        <v>2205.7420000000002</v>
      </c>
      <c r="Z285" s="45">
        <v>0</v>
      </c>
      <c r="AA285" s="45">
        <v>6339.5093200000001</v>
      </c>
      <c r="AB285" s="45"/>
      <c r="AC285" s="45">
        <v>0</v>
      </c>
      <c r="AD285" s="52">
        <v>0</v>
      </c>
      <c r="AE285" s="52">
        <v>0</v>
      </c>
      <c r="AF285" s="48">
        <v>519.27330000000029</v>
      </c>
      <c r="AG285" s="52">
        <v>0</v>
      </c>
      <c r="AH285" s="52">
        <v>519.27330000000029</v>
      </c>
      <c r="AI285" s="48">
        <v>0</v>
      </c>
      <c r="AJ285" s="48">
        <v>81.105539999999991</v>
      </c>
      <c r="AK285" s="52">
        <v>0</v>
      </c>
      <c r="AL285" s="52">
        <v>81.105539999999991</v>
      </c>
      <c r="AM285" s="48">
        <v>0</v>
      </c>
      <c r="AN285" s="89">
        <v>0</v>
      </c>
      <c r="AO285" s="52">
        <v>0</v>
      </c>
      <c r="AP285" s="48">
        <v>143.38491999999999</v>
      </c>
      <c r="AQ285" s="88">
        <v>0</v>
      </c>
      <c r="AR285" s="52">
        <v>143.38491999999999</v>
      </c>
      <c r="AS285" s="52">
        <v>0</v>
      </c>
      <c r="AT285" s="78">
        <v>0</v>
      </c>
      <c r="AU285" s="52">
        <v>0</v>
      </c>
      <c r="AV285" s="48">
        <v>3267.5845899999999</v>
      </c>
      <c r="AW285" s="52">
        <v>3267.5845899999999</v>
      </c>
      <c r="AX285" s="52">
        <v>0</v>
      </c>
      <c r="AY285" s="87">
        <v>4011.3483500000002</v>
      </c>
      <c r="AZ285" s="52">
        <v>3267.5845899999999</v>
      </c>
      <c r="BA285" s="52">
        <v>743.76376000000027</v>
      </c>
      <c r="BB285" s="48"/>
      <c r="BC285" s="45">
        <v>0</v>
      </c>
      <c r="BD285" s="45">
        <v>0</v>
      </c>
      <c r="BE285" s="45">
        <v>0</v>
      </c>
      <c r="BF285" s="45">
        <v>0</v>
      </c>
      <c r="BG285" s="45">
        <v>0</v>
      </c>
      <c r="BH285" s="46"/>
      <c r="BI285" s="45">
        <v>0</v>
      </c>
      <c r="BJ285" s="45">
        <v>0</v>
      </c>
      <c r="BK285" s="45">
        <v>0</v>
      </c>
      <c r="BL285" s="45">
        <v>0</v>
      </c>
      <c r="BM285" s="45">
        <v>0</v>
      </c>
      <c r="BN285" s="45">
        <v>0</v>
      </c>
      <c r="BO285" s="45">
        <v>0</v>
      </c>
      <c r="BP285" s="46"/>
      <c r="BQ285" s="87">
        <v>27587.409600000003</v>
      </c>
      <c r="BR285" s="52">
        <v>18953.507020000001</v>
      </c>
      <c r="BS285" s="52">
        <v>8633.9025799999999</v>
      </c>
    </row>
    <row r="286" spans="1:71" ht="12" customHeight="1" x14ac:dyDescent="0.2">
      <c r="A286" s="55">
        <v>2025</v>
      </c>
      <c r="B286" s="56" t="s">
        <v>9</v>
      </c>
      <c r="C286" s="45">
        <v>4112.3976500000008</v>
      </c>
      <c r="D286" s="45">
        <v>10210.299150000001</v>
      </c>
      <c r="E286" s="52">
        <v>880.69758999999999</v>
      </c>
      <c r="F286" s="52">
        <v>9329.601560000001</v>
      </c>
      <c r="G286" s="48">
        <v>0</v>
      </c>
      <c r="H286" s="45">
        <v>0</v>
      </c>
      <c r="I286" s="45">
        <v>0</v>
      </c>
      <c r="J286" s="45">
        <v>0</v>
      </c>
      <c r="K286" s="45">
        <v>0</v>
      </c>
      <c r="L286" s="45">
        <v>0</v>
      </c>
      <c r="M286" s="52">
        <v>0</v>
      </c>
      <c r="N286" s="82">
        <v>3010.8199300000001</v>
      </c>
      <c r="O286" s="52">
        <v>3010.8199300000001</v>
      </c>
      <c r="P286" s="83">
        <v>0</v>
      </c>
      <c r="Q286" s="73">
        <v>17333.516730000003</v>
      </c>
      <c r="R286" s="52">
        <v>8003.9151700000011</v>
      </c>
      <c r="S286" s="78">
        <v>9329.601560000001</v>
      </c>
      <c r="T286" s="47"/>
      <c r="U286" s="45">
        <v>0</v>
      </c>
      <c r="V286" s="45">
        <v>7381.36175</v>
      </c>
      <c r="W286" s="45">
        <v>0</v>
      </c>
      <c r="X286" s="45">
        <v>0</v>
      </c>
      <c r="Y286" s="45">
        <v>1094.7975300000001</v>
      </c>
      <c r="Z286" s="45">
        <v>0</v>
      </c>
      <c r="AA286" s="45">
        <v>8476.1592799999999</v>
      </c>
      <c r="AB286" s="45"/>
      <c r="AC286" s="45">
        <v>0</v>
      </c>
      <c r="AD286" s="52">
        <v>0</v>
      </c>
      <c r="AE286" s="52">
        <v>0</v>
      </c>
      <c r="AF286" s="48">
        <v>1511.0023100000003</v>
      </c>
      <c r="AG286" s="52">
        <v>0</v>
      </c>
      <c r="AH286" s="52">
        <v>1511.0023100000003</v>
      </c>
      <c r="AI286" s="48">
        <v>0</v>
      </c>
      <c r="AJ286" s="48">
        <v>956.72011000000009</v>
      </c>
      <c r="AK286" s="52">
        <v>872.91105000000005</v>
      </c>
      <c r="AL286" s="52">
        <v>83.809060000000002</v>
      </c>
      <c r="AM286" s="48">
        <v>0</v>
      </c>
      <c r="AN286" s="89">
        <v>0</v>
      </c>
      <c r="AO286" s="52">
        <v>0</v>
      </c>
      <c r="AP286" s="48">
        <v>520.75828000000001</v>
      </c>
      <c r="AQ286" s="88">
        <v>0</v>
      </c>
      <c r="AR286" s="52">
        <v>520.75828000000001</v>
      </c>
      <c r="AS286" s="52">
        <v>0</v>
      </c>
      <c r="AT286" s="78">
        <v>0</v>
      </c>
      <c r="AU286" s="52">
        <v>0</v>
      </c>
      <c r="AV286" s="48">
        <v>2149.5288399999999</v>
      </c>
      <c r="AW286" s="52">
        <v>2149.5288399999999</v>
      </c>
      <c r="AX286" s="52">
        <v>0</v>
      </c>
      <c r="AY286" s="87">
        <v>5138.0095400000009</v>
      </c>
      <c r="AZ286" s="52">
        <v>3022.4398900000001</v>
      </c>
      <c r="BA286" s="52">
        <v>2115.5696500000004</v>
      </c>
      <c r="BB286" s="48"/>
      <c r="BC286" s="45">
        <v>0</v>
      </c>
      <c r="BD286" s="45">
        <v>0</v>
      </c>
      <c r="BE286" s="45">
        <v>0</v>
      </c>
      <c r="BF286" s="45">
        <v>0</v>
      </c>
      <c r="BG286" s="45">
        <v>0</v>
      </c>
      <c r="BH286" s="46"/>
      <c r="BI286" s="45">
        <v>0</v>
      </c>
      <c r="BJ286" s="45">
        <v>0</v>
      </c>
      <c r="BK286" s="45">
        <v>0</v>
      </c>
      <c r="BL286" s="45">
        <v>0</v>
      </c>
      <c r="BM286" s="45">
        <v>0</v>
      </c>
      <c r="BN286" s="45">
        <v>0</v>
      </c>
      <c r="BO286" s="45">
        <v>0</v>
      </c>
      <c r="BP286" s="46"/>
      <c r="BQ286" s="87">
        <v>30947.685550000002</v>
      </c>
      <c r="BR286" s="52">
        <v>19502.514340000002</v>
      </c>
      <c r="BS286" s="52">
        <v>11445.17121</v>
      </c>
    </row>
    <row r="287" spans="1:71" ht="12" customHeight="1" x14ac:dyDescent="0.2">
      <c r="A287" s="55">
        <v>2025</v>
      </c>
      <c r="B287" s="56" t="s">
        <v>10</v>
      </c>
      <c r="C287" s="45">
        <v>0</v>
      </c>
      <c r="D287" s="45">
        <v>10092.752769999997</v>
      </c>
      <c r="E287" s="52">
        <v>970.05718999999999</v>
      </c>
      <c r="F287" s="52">
        <v>9122.6955799999978</v>
      </c>
      <c r="G287" s="48">
        <v>0</v>
      </c>
      <c r="H287" s="45">
        <v>0</v>
      </c>
      <c r="I287" s="45">
        <v>0</v>
      </c>
      <c r="J287" s="45">
        <v>0</v>
      </c>
      <c r="K287" s="45">
        <v>0</v>
      </c>
      <c r="L287" s="45">
        <v>0</v>
      </c>
      <c r="M287" s="52">
        <v>0</v>
      </c>
      <c r="N287" s="82">
        <v>1861.76865</v>
      </c>
      <c r="O287" s="52">
        <v>1861.76865</v>
      </c>
      <c r="P287" s="83">
        <v>0</v>
      </c>
      <c r="Q287" s="73">
        <v>11954.521419999997</v>
      </c>
      <c r="R287" s="52">
        <v>2831.82584</v>
      </c>
      <c r="S287" s="78">
        <v>9122.6955799999978</v>
      </c>
      <c r="T287" s="47"/>
      <c r="U287" s="45">
        <v>0</v>
      </c>
      <c r="V287" s="45">
        <v>10580.44371</v>
      </c>
      <c r="W287" s="45">
        <v>0</v>
      </c>
      <c r="X287" s="45">
        <v>0</v>
      </c>
      <c r="Y287" s="45">
        <v>0</v>
      </c>
      <c r="Z287" s="45">
        <v>0</v>
      </c>
      <c r="AA287" s="45">
        <v>10580.44371</v>
      </c>
      <c r="AB287" s="45"/>
      <c r="AC287" s="45">
        <v>0</v>
      </c>
      <c r="AD287" s="52">
        <v>0</v>
      </c>
      <c r="AE287" s="52">
        <v>0</v>
      </c>
      <c r="AF287" s="48">
        <v>1453.6913100000004</v>
      </c>
      <c r="AG287" s="52">
        <v>0</v>
      </c>
      <c r="AH287" s="52">
        <v>1453.6913100000004</v>
      </c>
      <c r="AI287" s="48">
        <v>0</v>
      </c>
      <c r="AJ287" s="48">
        <v>83.809060000000002</v>
      </c>
      <c r="AK287" s="52">
        <v>0</v>
      </c>
      <c r="AL287" s="52">
        <v>83.809060000000002</v>
      </c>
      <c r="AM287" s="48">
        <v>0</v>
      </c>
      <c r="AN287" s="89">
        <v>0</v>
      </c>
      <c r="AO287" s="52">
        <v>0</v>
      </c>
      <c r="AP287" s="48">
        <v>701.91727000000003</v>
      </c>
      <c r="AQ287" s="88">
        <v>0</v>
      </c>
      <c r="AR287" s="52">
        <v>701.91727000000003</v>
      </c>
      <c r="AS287" s="52">
        <v>0</v>
      </c>
      <c r="AT287" s="78">
        <v>0</v>
      </c>
      <c r="AU287" s="52">
        <v>0</v>
      </c>
      <c r="AV287" s="48">
        <v>2151.7972400000003</v>
      </c>
      <c r="AW287" s="52">
        <v>2151.7972400000003</v>
      </c>
      <c r="AX287" s="52">
        <v>0</v>
      </c>
      <c r="AY287" s="87">
        <v>4391.2148800000014</v>
      </c>
      <c r="AZ287" s="52">
        <v>2151.7972400000003</v>
      </c>
      <c r="BA287" s="52">
        <v>2239.4176400000006</v>
      </c>
      <c r="BB287" s="48"/>
      <c r="BC287" s="45">
        <v>0</v>
      </c>
      <c r="BD287" s="45">
        <v>0</v>
      </c>
      <c r="BE287" s="45">
        <v>784.88043000000005</v>
      </c>
      <c r="BF287" s="45">
        <v>0</v>
      </c>
      <c r="BG287" s="45">
        <v>784.88043000000005</v>
      </c>
      <c r="BH287" s="46"/>
      <c r="BI287" s="45">
        <v>0</v>
      </c>
      <c r="BJ287" s="45">
        <v>0</v>
      </c>
      <c r="BK287" s="45">
        <v>0</v>
      </c>
      <c r="BL287" s="45">
        <v>0</v>
      </c>
      <c r="BM287" s="45">
        <v>0</v>
      </c>
      <c r="BN287" s="45">
        <v>0</v>
      </c>
      <c r="BO287" s="45">
        <v>0</v>
      </c>
      <c r="BP287" s="46"/>
      <c r="BQ287" s="87">
        <v>27711.060439999997</v>
      </c>
      <c r="BR287" s="52">
        <v>16348.947219999998</v>
      </c>
      <c r="BS287" s="52">
        <v>11362.113219999999</v>
      </c>
    </row>
    <row r="288" spans="1:71" ht="12" customHeight="1" x14ac:dyDescent="0.2">
      <c r="A288" s="55">
        <v>2025</v>
      </c>
      <c r="B288" s="56" t="s">
        <v>11</v>
      </c>
      <c r="C288" s="45">
        <v>2141.7457200000003</v>
      </c>
      <c r="D288" s="45">
        <v>10242.86196</v>
      </c>
      <c r="E288" s="52">
        <v>2902.7926200000002</v>
      </c>
      <c r="F288" s="52">
        <v>7340.06934</v>
      </c>
      <c r="G288" s="48">
        <v>0</v>
      </c>
      <c r="H288" s="45">
        <v>0</v>
      </c>
      <c r="I288" s="45">
        <v>1033.6419799999999</v>
      </c>
      <c r="J288" s="45">
        <v>0</v>
      </c>
      <c r="K288" s="45">
        <v>0</v>
      </c>
      <c r="L288" s="45">
        <v>0</v>
      </c>
      <c r="M288" s="52">
        <v>0</v>
      </c>
      <c r="N288" s="82">
        <v>3020.7073100000002</v>
      </c>
      <c r="O288" s="52">
        <v>3020.7073100000002</v>
      </c>
      <c r="P288" s="83">
        <v>0</v>
      </c>
      <c r="Q288" s="73">
        <v>16438.956969999999</v>
      </c>
      <c r="R288" s="52">
        <v>9098.8876300000011</v>
      </c>
      <c r="S288" s="78">
        <v>7340.06934</v>
      </c>
      <c r="T288" s="47"/>
      <c r="U288" s="45">
        <v>0</v>
      </c>
      <c r="V288" s="45">
        <v>7439.2576000000008</v>
      </c>
      <c r="W288" s="45">
        <v>0</v>
      </c>
      <c r="X288" s="45">
        <v>0</v>
      </c>
      <c r="Y288" s="45">
        <v>0</v>
      </c>
      <c r="Z288" s="45">
        <v>854.10956999999996</v>
      </c>
      <c r="AA288" s="45">
        <v>8293.3671700000014</v>
      </c>
      <c r="AB288" s="45"/>
      <c r="AC288" s="45">
        <v>0</v>
      </c>
      <c r="AD288" s="52">
        <v>0</v>
      </c>
      <c r="AE288" s="52">
        <v>0</v>
      </c>
      <c r="AF288" s="48">
        <v>1093.4146100000003</v>
      </c>
      <c r="AG288" s="52">
        <v>0</v>
      </c>
      <c r="AH288" s="52">
        <v>1093.4146100000003</v>
      </c>
      <c r="AI288" s="48">
        <v>0</v>
      </c>
      <c r="AJ288" s="48">
        <v>12.16582</v>
      </c>
      <c r="AK288" s="52">
        <v>0</v>
      </c>
      <c r="AL288" s="52">
        <v>12.16582</v>
      </c>
      <c r="AM288" s="48">
        <v>0</v>
      </c>
      <c r="AN288" s="89">
        <v>0</v>
      </c>
      <c r="AO288" s="52">
        <v>0</v>
      </c>
      <c r="AP288" s="48">
        <v>546.56534999999997</v>
      </c>
      <c r="AQ288" s="88">
        <v>0</v>
      </c>
      <c r="AR288" s="52">
        <v>546.56534999999997</v>
      </c>
      <c r="AS288" s="52">
        <v>0</v>
      </c>
      <c r="AT288" s="78">
        <v>0</v>
      </c>
      <c r="AU288" s="52">
        <v>0</v>
      </c>
      <c r="AV288" s="48">
        <v>1127.8874499999999</v>
      </c>
      <c r="AW288" s="52">
        <v>1127.8874499999999</v>
      </c>
      <c r="AX288" s="52">
        <v>0</v>
      </c>
      <c r="AY288" s="87">
        <v>2780.03323</v>
      </c>
      <c r="AZ288" s="52">
        <v>1127.8874499999999</v>
      </c>
      <c r="BA288" s="52">
        <v>1652.1457800000003</v>
      </c>
      <c r="BB288" s="48"/>
      <c r="BC288" s="45">
        <v>0</v>
      </c>
      <c r="BD288" s="45">
        <v>0</v>
      </c>
      <c r="BE288" s="45">
        <v>0</v>
      </c>
      <c r="BF288" s="45">
        <v>0</v>
      </c>
      <c r="BG288" s="45">
        <v>0</v>
      </c>
      <c r="BH288" s="46"/>
      <c r="BI288" s="45">
        <v>0</v>
      </c>
      <c r="BJ288" s="45">
        <v>0</v>
      </c>
      <c r="BK288" s="45">
        <v>0</v>
      </c>
      <c r="BL288" s="45">
        <v>0</v>
      </c>
      <c r="BM288" s="45">
        <v>0</v>
      </c>
      <c r="BN288" s="45">
        <v>0</v>
      </c>
      <c r="BO288" s="45">
        <v>0</v>
      </c>
      <c r="BP288" s="46"/>
      <c r="BQ288" s="87">
        <v>27512.357370000002</v>
      </c>
      <c r="BR288" s="52">
        <v>18520.142250000001</v>
      </c>
      <c r="BS288" s="52">
        <v>8992.2151200000008</v>
      </c>
    </row>
    <row r="289" spans="1:71" ht="12" customHeight="1" x14ac:dyDescent="0.2">
      <c r="A289" s="55">
        <v>2025</v>
      </c>
      <c r="B289" s="56" t="s">
        <v>12</v>
      </c>
      <c r="C289" s="45">
        <v>1023.0934100000001</v>
      </c>
      <c r="D289" s="45">
        <v>13826.778760000001</v>
      </c>
      <c r="E289" s="52">
        <v>3770.0287799999996</v>
      </c>
      <c r="F289" s="52">
        <v>10056.749980000001</v>
      </c>
      <c r="G289" s="48">
        <v>0</v>
      </c>
      <c r="H289" s="45">
        <v>0</v>
      </c>
      <c r="I289" s="45">
        <v>0</v>
      </c>
      <c r="J289" s="45">
        <v>1128.8587399999999</v>
      </c>
      <c r="K289" s="45">
        <v>0</v>
      </c>
      <c r="L289" s="45">
        <v>0</v>
      </c>
      <c r="M289" s="52">
        <v>0</v>
      </c>
      <c r="N289" s="82">
        <v>2077.5693699999997</v>
      </c>
      <c r="O289" s="52">
        <v>2077.5693699999997</v>
      </c>
      <c r="P289" s="83">
        <v>0</v>
      </c>
      <c r="Q289" s="73">
        <v>18056.300279999999</v>
      </c>
      <c r="R289" s="52">
        <v>7999.5502999999999</v>
      </c>
      <c r="S289" s="78">
        <v>10056.749980000001</v>
      </c>
      <c r="T289" s="47"/>
      <c r="U289" s="45">
        <v>0</v>
      </c>
      <c r="V289" s="45">
        <v>13702.10311</v>
      </c>
      <c r="W289" s="45">
        <v>0</v>
      </c>
      <c r="X289" s="45">
        <v>0</v>
      </c>
      <c r="Y289" s="45">
        <v>0</v>
      </c>
      <c r="Z289" s="45">
        <v>991.92318999999998</v>
      </c>
      <c r="AA289" s="45">
        <v>14694.0263</v>
      </c>
      <c r="AB289" s="45"/>
      <c r="AC289" s="45">
        <v>0</v>
      </c>
      <c r="AD289" s="52">
        <v>0</v>
      </c>
      <c r="AE289" s="52">
        <v>0</v>
      </c>
      <c r="AF289" s="48">
        <v>222.83724000000026</v>
      </c>
      <c r="AG289" s="52">
        <v>0</v>
      </c>
      <c r="AH289" s="52">
        <v>222.83724000000026</v>
      </c>
      <c r="AI289" s="48">
        <v>0</v>
      </c>
      <c r="AJ289" s="48">
        <v>83.921700000000001</v>
      </c>
      <c r="AK289" s="52">
        <v>0</v>
      </c>
      <c r="AL289" s="52">
        <v>83.921700000000001</v>
      </c>
      <c r="AM289" s="48">
        <v>0</v>
      </c>
      <c r="AN289" s="89">
        <v>0</v>
      </c>
      <c r="AO289" s="52">
        <v>0</v>
      </c>
      <c r="AP289" s="48">
        <v>1.7162500000000001</v>
      </c>
      <c r="AQ289" s="88">
        <v>0</v>
      </c>
      <c r="AR289" s="52">
        <v>1.7162500000000001</v>
      </c>
      <c r="AS289" s="52">
        <v>0</v>
      </c>
      <c r="AT289" s="78">
        <v>0</v>
      </c>
      <c r="AU289" s="52">
        <v>0</v>
      </c>
      <c r="AV289" s="48">
        <v>1078.0788400000001</v>
      </c>
      <c r="AW289" s="52">
        <v>1078.0788400000001</v>
      </c>
      <c r="AX289" s="52">
        <v>0</v>
      </c>
      <c r="AY289" s="87">
        <v>1386.5540300000005</v>
      </c>
      <c r="AZ289" s="52">
        <v>1078.0788400000001</v>
      </c>
      <c r="BA289" s="52">
        <v>308.47519000000028</v>
      </c>
      <c r="BB289" s="48"/>
      <c r="BC289" s="45">
        <v>0</v>
      </c>
      <c r="BD289" s="45">
        <v>0</v>
      </c>
      <c r="BE289" s="45">
        <v>768.69637999999998</v>
      </c>
      <c r="BF289" s="45">
        <v>0</v>
      </c>
      <c r="BG289" s="45">
        <v>768.69637999999998</v>
      </c>
      <c r="BH289" s="46"/>
      <c r="BI289" s="45">
        <v>0</v>
      </c>
      <c r="BJ289" s="45">
        <v>0</v>
      </c>
      <c r="BK289" s="45">
        <v>0</v>
      </c>
      <c r="BL289" s="45">
        <v>0</v>
      </c>
      <c r="BM289" s="45">
        <v>0</v>
      </c>
      <c r="BN289" s="45">
        <v>0</v>
      </c>
      <c r="BO289" s="45">
        <v>0</v>
      </c>
      <c r="BP289" s="46"/>
      <c r="BQ289" s="87">
        <v>34905.576990000001</v>
      </c>
      <c r="BR289" s="52">
        <v>24540.351820000003</v>
      </c>
      <c r="BS289" s="52">
        <v>10365.225170000002</v>
      </c>
    </row>
    <row r="290" spans="1:71" ht="12" customHeight="1" x14ac:dyDescent="0.2">
      <c r="A290" s="55">
        <v>2025</v>
      </c>
      <c r="B290" s="56" t="s">
        <v>13</v>
      </c>
      <c r="C290" s="45">
        <v>2050.5729200000001</v>
      </c>
      <c r="D290" s="45">
        <v>13569.90179</v>
      </c>
      <c r="E290" s="52">
        <v>3898.8756800000001</v>
      </c>
      <c r="F290" s="52">
        <v>9671.0261100000007</v>
      </c>
      <c r="G290" s="48">
        <v>0</v>
      </c>
      <c r="H290" s="45">
        <v>685.27945999999997</v>
      </c>
      <c r="I290" s="45">
        <v>0</v>
      </c>
      <c r="J290" s="45">
        <v>0</v>
      </c>
      <c r="K290" s="45">
        <v>0</v>
      </c>
      <c r="L290" s="45">
        <v>0</v>
      </c>
      <c r="M290" s="52">
        <v>0</v>
      </c>
      <c r="N290" s="82">
        <v>1022.97515</v>
      </c>
      <c r="O290" s="52">
        <v>1022.97515</v>
      </c>
      <c r="P290" s="83">
        <v>0</v>
      </c>
      <c r="Q290" s="73">
        <v>17328.729319999999</v>
      </c>
      <c r="R290" s="52">
        <v>7657.7032099999997</v>
      </c>
      <c r="S290" s="78">
        <v>9671.0261100000007</v>
      </c>
      <c r="T290" s="47"/>
      <c r="U290" s="45">
        <v>0</v>
      </c>
      <c r="V290" s="45">
        <v>7241.8979200000003</v>
      </c>
      <c r="W290" s="45">
        <v>0</v>
      </c>
      <c r="X290" s="45">
        <v>0</v>
      </c>
      <c r="Y290" s="45">
        <v>0</v>
      </c>
      <c r="Z290" s="45">
        <v>826.81478000000004</v>
      </c>
      <c r="AA290" s="45">
        <v>8068.7127</v>
      </c>
      <c r="AB290" s="45"/>
      <c r="AC290" s="45">
        <v>0</v>
      </c>
      <c r="AD290" s="52">
        <v>0</v>
      </c>
      <c r="AE290" s="52">
        <v>0</v>
      </c>
      <c r="AF290" s="48">
        <v>1011.3156800000008</v>
      </c>
      <c r="AG290" s="52">
        <v>0</v>
      </c>
      <c r="AH290" s="52">
        <v>1011.3156800000008</v>
      </c>
      <c r="AI290" s="48">
        <v>0</v>
      </c>
      <c r="AJ290" s="48">
        <v>29.738700000000001</v>
      </c>
      <c r="AK290" s="52">
        <v>0</v>
      </c>
      <c r="AL290" s="52">
        <v>29.738700000000001</v>
      </c>
      <c r="AM290" s="48">
        <v>0</v>
      </c>
      <c r="AN290" s="89">
        <v>0</v>
      </c>
      <c r="AO290" s="52">
        <v>0</v>
      </c>
      <c r="AP290" s="48">
        <v>265.83138000000002</v>
      </c>
      <c r="AQ290" s="88">
        <v>0</v>
      </c>
      <c r="AR290" s="52">
        <v>265.83138000000002</v>
      </c>
      <c r="AS290" s="52">
        <v>0</v>
      </c>
      <c r="AT290" s="78">
        <v>0</v>
      </c>
      <c r="AU290" s="52">
        <v>0</v>
      </c>
      <c r="AV290" s="48">
        <v>3304.9502199999997</v>
      </c>
      <c r="AW290" s="52">
        <v>3304.9502199999997</v>
      </c>
      <c r="AX290" s="52">
        <v>0</v>
      </c>
      <c r="AY290" s="87">
        <v>4611.8359800000007</v>
      </c>
      <c r="AZ290" s="52">
        <v>3304.9502199999997</v>
      </c>
      <c r="BA290" s="52">
        <v>1306.885760000001</v>
      </c>
      <c r="BB290" s="48"/>
      <c r="BC290" s="45">
        <v>0</v>
      </c>
      <c r="BD290" s="45">
        <v>0</v>
      </c>
      <c r="BE290" s="45">
        <v>0</v>
      </c>
      <c r="BF290" s="45">
        <v>0</v>
      </c>
      <c r="BG290" s="45">
        <v>0</v>
      </c>
      <c r="BH290" s="46"/>
      <c r="BI290" s="45">
        <v>0</v>
      </c>
      <c r="BJ290" s="45">
        <v>0</v>
      </c>
      <c r="BK290" s="45">
        <v>0</v>
      </c>
      <c r="BL290" s="45">
        <v>0</v>
      </c>
      <c r="BM290" s="45">
        <v>0</v>
      </c>
      <c r="BN290" s="45">
        <v>0</v>
      </c>
      <c r="BO290" s="45">
        <v>0</v>
      </c>
      <c r="BP290" s="46"/>
      <c r="BQ290" s="87">
        <v>30009.277999999998</v>
      </c>
      <c r="BR290" s="52">
        <v>19031.366129999999</v>
      </c>
      <c r="BS290" s="52">
        <v>10977.911870000002</v>
      </c>
    </row>
    <row r="291" spans="1:71" ht="12" customHeight="1" x14ac:dyDescent="0.2">
      <c r="A291" s="99">
        <v>2025</v>
      </c>
      <c r="B291" s="56" t="s">
        <v>14</v>
      </c>
      <c r="C291" s="45">
        <v>2053.7712700000002</v>
      </c>
      <c r="D291" s="45">
        <v>8993.8577699999987</v>
      </c>
      <c r="E291" s="52">
        <v>0</v>
      </c>
      <c r="F291" s="52">
        <v>8993.8577699999987</v>
      </c>
      <c r="G291" s="48">
        <v>0</v>
      </c>
      <c r="H291" s="45">
        <v>0</v>
      </c>
      <c r="I291" s="45">
        <v>0</v>
      </c>
      <c r="J291" s="45">
        <v>1086.20445</v>
      </c>
      <c r="K291" s="45">
        <v>0</v>
      </c>
      <c r="L291" s="45">
        <v>0</v>
      </c>
      <c r="M291" s="52">
        <v>0</v>
      </c>
      <c r="N291" s="82">
        <v>1879.73883</v>
      </c>
      <c r="O291" s="52">
        <v>1879.73883</v>
      </c>
      <c r="P291" s="83">
        <v>0</v>
      </c>
      <c r="Q291" s="73">
        <v>14013.572319999999</v>
      </c>
      <c r="R291" s="52">
        <v>5019.7145500000006</v>
      </c>
      <c r="S291" s="78">
        <v>8993.8577699999987</v>
      </c>
      <c r="T291" s="47"/>
      <c r="U291" s="45">
        <v>0</v>
      </c>
      <c r="V291" s="45">
        <v>6050.278659999999</v>
      </c>
      <c r="W291" s="45">
        <v>0</v>
      </c>
      <c r="X291" s="45">
        <v>0</v>
      </c>
      <c r="Y291" s="45">
        <v>1105.3626000000002</v>
      </c>
      <c r="Z291" s="45">
        <v>0</v>
      </c>
      <c r="AA291" s="45">
        <v>7155.6412599999994</v>
      </c>
      <c r="AB291" s="45"/>
      <c r="AC291" s="45">
        <v>0</v>
      </c>
      <c r="AD291" s="52">
        <v>0</v>
      </c>
      <c r="AE291" s="52">
        <v>0</v>
      </c>
      <c r="AF291" s="48">
        <v>2093.8499600000005</v>
      </c>
      <c r="AG291" s="52">
        <v>0</v>
      </c>
      <c r="AH291" s="52">
        <v>2093.8499600000005</v>
      </c>
      <c r="AI291" s="48">
        <v>0</v>
      </c>
      <c r="AJ291" s="48">
        <v>83.809060000000002</v>
      </c>
      <c r="AK291" s="52">
        <v>0</v>
      </c>
      <c r="AL291" s="52">
        <v>83.809060000000002</v>
      </c>
      <c r="AM291" s="48">
        <v>0</v>
      </c>
      <c r="AN291" s="89">
        <v>0</v>
      </c>
      <c r="AO291" s="52">
        <v>0</v>
      </c>
      <c r="AP291" s="48">
        <v>491.94903000000005</v>
      </c>
      <c r="AQ291" s="88">
        <v>0</v>
      </c>
      <c r="AR291" s="52">
        <v>491.94903000000005</v>
      </c>
      <c r="AS291" s="52">
        <v>0</v>
      </c>
      <c r="AT291" s="78">
        <v>0</v>
      </c>
      <c r="AU291" s="52">
        <v>0</v>
      </c>
      <c r="AV291" s="48">
        <v>6608.7934000000005</v>
      </c>
      <c r="AW291" s="52">
        <v>6608.7934000000005</v>
      </c>
      <c r="AX291" s="52">
        <v>0</v>
      </c>
      <c r="AY291" s="87">
        <v>9278.4014500000012</v>
      </c>
      <c r="AZ291" s="52">
        <v>6608.7934000000005</v>
      </c>
      <c r="BA291" s="52">
        <v>2669.6080500000007</v>
      </c>
      <c r="BB291" s="48"/>
      <c r="BC291" s="45">
        <v>0</v>
      </c>
      <c r="BD291" s="45">
        <v>0</v>
      </c>
      <c r="BE291" s="45">
        <v>766.96986000000004</v>
      </c>
      <c r="BF291" s="45">
        <v>0</v>
      </c>
      <c r="BG291" s="45">
        <v>766.96986000000004</v>
      </c>
      <c r="BH291" s="46"/>
      <c r="BI291" s="45">
        <v>0</v>
      </c>
      <c r="BJ291" s="45">
        <v>0</v>
      </c>
      <c r="BK291" s="45">
        <v>0</v>
      </c>
      <c r="BL291" s="45">
        <v>0</v>
      </c>
      <c r="BM291" s="45">
        <v>0</v>
      </c>
      <c r="BN291" s="45">
        <v>0</v>
      </c>
      <c r="BO291" s="45">
        <v>0</v>
      </c>
      <c r="BP291" s="46"/>
      <c r="BQ291" s="87">
        <v>31214.584890000002</v>
      </c>
      <c r="BR291" s="52">
        <v>19551.119070000004</v>
      </c>
      <c r="BS291" s="52">
        <v>11663.465819999999</v>
      </c>
    </row>
    <row r="292" spans="1:71" ht="12" customHeight="1" x14ac:dyDescent="0.2">
      <c r="A292" s="99">
        <v>2025</v>
      </c>
      <c r="B292" s="56" t="s">
        <v>15</v>
      </c>
      <c r="C292" s="45">
        <v>20659.140550000004</v>
      </c>
      <c r="D292" s="45">
        <v>128502.10352999999</v>
      </c>
      <c r="E292" s="52">
        <v>21323.317010000002</v>
      </c>
      <c r="F292" s="52">
        <v>107178.78651999999</v>
      </c>
      <c r="G292" s="48">
        <v>979.07078999999999</v>
      </c>
      <c r="H292" s="45">
        <v>2489.6208299999998</v>
      </c>
      <c r="I292" s="45">
        <v>1033.6419799999999</v>
      </c>
      <c r="J292" s="45">
        <v>2215.0631899999998</v>
      </c>
      <c r="K292" s="45">
        <v>0</v>
      </c>
      <c r="L292" s="45">
        <v>0</v>
      </c>
      <c r="M292" s="52">
        <v>0</v>
      </c>
      <c r="N292" s="97">
        <v>27156.760180000001</v>
      </c>
      <c r="O292" s="52">
        <v>27156.760180000001</v>
      </c>
      <c r="P292" s="83">
        <v>0</v>
      </c>
      <c r="Q292" s="73">
        <v>183035.40105000001</v>
      </c>
      <c r="R292" s="52">
        <v>75856.614530000006</v>
      </c>
      <c r="S292" s="78">
        <v>107178.78651999999</v>
      </c>
      <c r="T292" s="47"/>
      <c r="U292" s="45">
        <v>0</v>
      </c>
      <c r="V292" s="45">
        <v>111696.40447999998</v>
      </c>
      <c r="W292" s="45">
        <v>167.58339000000001</v>
      </c>
      <c r="X292" s="45">
        <v>0</v>
      </c>
      <c r="Y292" s="45">
        <v>6548.99071</v>
      </c>
      <c r="Z292" s="45">
        <v>2672.8475400000002</v>
      </c>
      <c r="AA292" s="45">
        <v>121085.82611999998</v>
      </c>
      <c r="AB292" s="45"/>
      <c r="AC292" s="45">
        <v>0</v>
      </c>
      <c r="AD292" s="52">
        <v>0</v>
      </c>
      <c r="AE292" s="52">
        <v>0</v>
      </c>
      <c r="AF292" s="48">
        <v>9188.7967500000013</v>
      </c>
      <c r="AG292" s="52">
        <v>0</v>
      </c>
      <c r="AH292" s="52">
        <v>9188.7967500000013</v>
      </c>
      <c r="AI292" s="48">
        <v>0</v>
      </c>
      <c r="AJ292" s="48">
        <v>3010.7076100000004</v>
      </c>
      <c r="AK292" s="52">
        <v>2144.2301000000002</v>
      </c>
      <c r="AL292" s="52">
        <v>866.47751000000017</v>
      </c>
      <c r="AM292" s="48">
        <v>0</v>
      </c>
      <c r="AN292" s="89">
        <v>0</v>
      </c>
      <c r="AO292" s="52">
        <v>0</v>
      </c>
      <c r="AP292" s="48">
        <v>6369.2094099999995</v>
      </c>
      <c r="AQ292" s="88">
        <v>0</v>
      </c>
      <c r="AR292" s="52">
        <v>6369.2094099999995</v>
      </c>
      <c r="AS292" s="52">
        <v>0</v>
      </c>
      <c r="AT292" s="78">
        <v>0</v>
      </c>
      <c r="AU292" s="52">
        <v>0</v>
      </c>
      <c r="AV292" s="48">
        <v>42628.574030000003</v>
      </c>
      <c r="AW292" s="52">
        <v>42628.574030000003</v>
      </c>
      <c r="AX292" s="52">
        <v>0</v>
      </c>
      <c r="AY292" s="87">
        <v>61197.287800000006</v>
      </c>
      <c r="AZ292" s="52">
        <v>44772.804130000004</v>
      </c>
      <c r="BA292" s="52">
        <v>16424.483670000005</v>
      </c>
      <c r="BB292" s="48"/>
      <c r="BC292" s="45">
        <v>0</v>
      </c>
      <c r="BD292" s="45">
        <v>0</v>
      </c>
      <c r="BE292" s="45">
        <v>6402.8264200000003</v>
      </c>
      <c r="BF292" s="45">
        <v>0</v>
      </c>
      <c r="BG292" s="45">
        <v>6402.8264200000003</v>
      </c>
      <c r="BH292" s="46"/>
      <c r="BI292" s="45">
        <v>0</v>
      </c>
      <c r="BJ292" s="45">
        <v>0</v>
      </c>
      <c r="BK292" s="45">
        <v>0</v>
      </c>
      <c r="BL292" s="45">
        <v>0</v>
      </c>
      <c r="BM292" s="45">
        <v>0</v>
      </c>
      <c r="BN292" s="45">
        <v>0</v>
      </c>
      <c r="BO292" s="45">
        <v>0</v>
      </c>
      <c r="BP292" s="46"/>
      <c r="BQ292" s="87">
        <v>371721.34138999996</v>
      </c>
      <c r="BR292" s="52">
        <v>248118.07120000001</v>
      </c>
      <c r="BS292" s="52">
        <v>123603.27019</v>
      </c>
    </row>
    <row r="293" spans="1:71" ht="12" customHeight="1" x14ac:dyDescent="0.2">
      <c r="A293" s="59">
        <v>2026</v>
      </c>
      <c r="B293" s="60" t="s">
        <v>3</v>
      </c>
      <c r="C293" s="45">
        <v>0</v>
      </c>
      <c r="D293" s="45">
        <v>10092.385219999998</v>
      </c>
      <c r="E293" s="52">
        <v>0</v>
      </c>
      <c r="F293" s="52">
        <v>10092.385219999998</v>
      </c>
      <c r="G293" s="48">
        <v>0</v>
      </c>
      <c r="H293" s="48">
        <v>888.32225000000005</v>
      </c>
      <c r="I293" s="45">
        <v>0</v>
      </c>
      <c r="J293" s="45">
        <v>0</v>
      </c>
      <c r="K293" s="45">
        <v>0</v>
      </c>
      <c r="L293" s="45">
        <v>0</v>
      </c>
      <c r="M293" s="45">
        <v>0</v>
      </c>
      <c r="N293" s="82">
        <v>920.77691000000004</v>
      </c>
      <c r="O293" s="52">
        <v>920.77691000000004</v>
      </c>
      <c r="P293" s="84">
        <v>0</v>
      </c>
      <c r="Q293" s="73">
        <v>11901.484379999998</v>
      </c>
      <c r="R293" s="78">
        <v>1809.0991600000002</v>
      </c>
      <c r="S293" s="78">
        <v>10092.385219999998</v>
      </c>
      <c r="T293" s="47"/>
      <c r="U293" s="45">
        <v>0</v>
      </c>
      <c r="V293" s="45">
        <v>15284.363469999998</v>
      </c>
      <c r="W293" s="45">
        <v>0</v>
      </c>
      <c r="X293" s="45">
        <v>0</v>
      </c>
      <c r="Y293" s="45">
        <v>0</v>
      </c>
      <c r="Z293" s="45">
        <v>0</v>
      </c>
      <c r="AA293" s="45">
        <v>15284.363469999998</v>
      </c>
      <c r="AB293" s="45"/>
      <c r="AC293" s="45">
        <v>0</v>
      </c>
      <c r="AD293" s="52">
        <v>0</v>
      </c>
      <c r="AE293" s="52">
        <v>0</v>
      </c>
      <c r="AF293" s="48">
        <v>2364.2035299999993</v>
      </c>
      <c r="AG293" s="52">
        <v>0</v>
      </c>
      <c r="AH293" s="52">
        <v>2364.2035299999993</v>
      </c>
      <c r="AI293" s="48">
        <v>0</v>
      </c>
      <c r="AJ293" s="48">
        <v>83.809060000000002</v>
      </c>
      <c r="AK293" s="52">
        <v>0</v>
      </c>
      <c r="AL293" s="52">
        <v>83.809060000000002</v>
      </c>
      <c r="AM293" s="48">
        <v>0</v>
      </c>
      <c r="AN293" s="90">
        <v>0</v>
      </c>
      <c r="AO293" s="52">
        <v>0</v>
      </c>
      <c r="AP293" s="48">
        <v>308.79505000000006</v>
      </c>
      <c r="AQ293" s="88">
        <v>0</v>
      </c>
      <c r="AR293" s="52">
        <v>308.79505000000006</v>
      </c>
      <c r="AS293" s="52">
        <v>0</v>
      </c>
      <c r="AT293" s="88">
        <v>0</v>
      </c>
      <c r="AU293" s="52">
        <v>0</v>
      </c>
      <c r="AV293" s="48">
        <v>4374.9719599999999</v>
      </c>
      <c r="AW293" s="52">
        <v>4374.9719599999999</v>
      </c>
      <c r="AX293" s="52">
        <v>0</v>
      </c>
      <c r="AY293" s="87">
        <v>7131.7795999999998</v>
      </c>
      <c r="AZ293" s="52">
        <v>4374.9719599999999</v>
      </c>
      <c r="BA293" s="52">
        <v>2756.8076399999995</v>
      </c>
      <c r="BB293" s="48"/>
      <c r="BC293" s="45">
        <v>0</v>
      </c>
      <c r="BD293" s="45">
        <v>0</v>
      </c>
      <c r="BE293" s="45">
        <v>0</v>
      </c>
      <c r="BF293" s="45">
        <v>0</v>
      </c>
      <c r="BG293" s="45">
        <v>0</v>
      </c>
      <c r="BH293" s="46"/>
      <c r="BI293" s="45">
        <v>0</v>
      </c>
      <c r="BJ293" s="45">
        <v>0</v>
      </c>
      <c r="BK293" s="45">
        <v>0</v>
      </c>
      <c r="BL293" s="45">
        <v>0</v>
      </c>
      <c r="BM293" s="45">
        <v>0</v>
      </c>
      <c r="BN293" s="45">
        <v>0</v>
      </c>
      <c r="BO293" s="45">
        <v>0</v>
      </c>
      <c r="BP293" s="46"/>
      <c r="BQ293" s="87">
        <v>34317.62745</v>
      </c>
      <c r="BR293" s="52">
        <v>21468.434589999997</v>
      </c>
      <c r="BS293" s="52">
        <v>12849.192859999997</v>
      </c>
    </row>
    <row r="294" spans="1:71" ht="12" customHeight="1" x14ac:dyDescent="0.2">
      <c r="A294" s="59">
        <v>2026</v>
      </c>
      <c r="B294" s="60" t="s">
        <v>4</v>
      </c>
      <c r="C294" s="45">
        <v>2045.45598</v>
      </c>
      <c r="D294" s="45">
        <v>9150.5642599999992</v>
      </c>
      <c r="E294" s="52">
        <v>0</v>
      </c>
      <c r="F294" s="52">
        <v>9150.5642599999992</v>
      </c>
      <c r="G294" s="48">
        <v>994.38480000000004</v>
      </c>
      <c r="H294" s="48">
        <v>516.78258000000005</v>
      </c>
      <c r="I294" s="45">
        <v>0</v>
      </c>
      <c r="J294" s="45">
        <v>0</v>
      </c>
      <c r="K294" s="45">
        <v>0</v>
      </c>
      <c r="L294" s="45">
        <v>29.815099999999997</v>
      </c>
      <c r="M294" s="45">
        <v>0</v>
      </c>
      <c r="N294" s="82">
        <v>3841.4187199999997</v>
      </c>
      <c r="O294" s="52">
        <v>3841.4187199999997</v>
      </c>
      <c r="P294" s="84">
        <v>0</v>
      </c>
      <c r="Q294" s="73">
        <v>16578.421439999998</v>
      </c>
      <c r="R294" s="78">
        <v>7427.8571799999991</v>
      </c>
      <c r="S294" s="78">
        <v>9150.5642599999992</v>
      </c>
      <c r="T294" s="47"/>
      <c r="U294" s="45">
        <v>0</v>
      </c>
      <c r="V294" s="45">
        <v>9796.1807099999987</v>
      </c>
      <c r="W294" s="45">
        <v>0</v>
      </c>
      <c r="X294" s="45">
        <v>0</v>
      </c>
      <c r="Y294" s="45">
        <v>0</v>
      </c>
      <c r="Z294" s="45">
        <v>0</v>
      </c>
      <c r="AA294" s="45">
        <v>9796.1807099999987</v>
      </c>
      <c r="AB294" s="45"/>
      <c r="AC294" s="45">
        <v>0</v>
      </c>
      <c r="AD294" s="52">
        <v>0</v>
      </c>
      <c r="AE294" s="52">
        <v>0</v>
      </c>
      <c r="AF294" s="48">
        <v>127.10111999999982</v>
      </c>
      <c r="AG294" s="52">
        <v>0</v>
      </c>
      <c r="AH294" s="52">
        <v>127.10111999999982</v>
      </c>
      <c r="AI294" s="48">
        <v>0</v>
      </c>
      <c r="AJ294" s="48">
        <v>75.698499999999996</v>
      </c>
      <c r="AK294" s="52">
        <v>0</v>
      </c>
      <c r="AL294" s="52">
        <v>75.698499999999996</v>
      </c>
      <c r="AM294" s="48">
        <v>0</v>
      </c>
      <c r="AN294" s="90">
        <v>0</v>
      </c>
      <c r="AO294" s="52">
        <v>0</v>
      </c>
      <c r="AP294" s="48">
        <v>377.92268000000001</v>
      </c>
      <c r="AQ294" s="88">
        <v>0</v>
      </c>
      <c r="AR294" s="52">
        <v>377.92268000000001</v>
      </c>
      <c r="AS294" s="52">
        <v>0</v>
      </c>
      <c r="AT294" s="88">
        <v>0</v>
      </c>
      <c r="AU294" s="52">
        <v>0</v>
      </c>
      <c r="AV294" s="48">
        <v>4397.9374600000001</v>
      </c>
      <c r="AW294" s="52">
        <v>4397.9374600000001</v>
      </c>
      <c r="AX294" s="52">
        <v>0</v>
      </c>
      <c r="AY294" s="87">
        <v>4978.6597600000005</v>
      </c>
      <c r="AZ294" s="52">
        <v>4397.9374600000001</v>
      </c>
      <c r="BA294" s="52">
        <v>580.7222999999999</v>
      </c>
      <c r="BB294" s="48"/>
      <c r="BC294" s="45">
        <v>0</v>
      </c>
      <c r="BD294" s="45">
        <v>0</v>
      </c>
      <c r="BE294" s="45">
        <v>0</v>
      </c>
      <c r="BF294" s="45">
        <v>0</v>
      </c>
      <c r="BG294" s="45">
        <v>0</v>
      </c>
      <c r="BH294" s="46"/>
      <c r="BI294" s="45">
        <v>0</v>
      </c>
      <c r="BJ294" s="45">
        <v>0</v>
      </c>
      <c r="BK294" s="45">
        <v>0</v>
      </c>
      <c r="BL294" s="45">
        <v>0</v>
      </c>
      <c r="BM294" s="45">
        <v>0</v>
      </c>
      <c r="BN294" s="45">
        <v>0</v>
      </c>
      <c r="BO294" s="45">
        <v>0</v>
      </c>
      <c r="BP294" s="46"/>
      <c r="BQ294" s="87">
        <v>31353.261910000001</v>
      </c>
      <c r="BR294" s="52">
        <v>21621.975350000001</v>
      </c>
      <c r="BS294" s="52">
        <v>9731.2865599999986</v>
      </c>
    </row>
    <row r="295" spans="1:71" ht="12" customHeight="1" x14ac:dyDescent="0.2">
      <c r="A295" s="59">
        <v>2026</v>
      </c>
      <c r="B295" s="60" t="s">
        <v>5</v>
      </c>
      <c r="C295" s="45">
        <v>0</v>
      </c>
      <c r="D295" s="45">
        <v>11372.808439999999</v>
      </c>
      <c r="E295" s="52">
        <v>1110.9644900000001</v>
      </c>
      <c r="F295" s="52">
        <v>10261.843949999999</v>
      </c>
      <c r="G295" s="48">
        <v>75.019670000000005</v>
      </c>
      <c r="H295" s="48">
        <v>521.48302000000001</v>
      </c>
      <c r="I295" s="45">
        <v>0</v>
      </c>
      <c r="J295" s="45">
        <v>0</v>
      </c>
      <c r="K295" s="45">
        <v>0</v>
      </c>
      <c r="L295" s="45">
        <v>649.15430000000003</v>
      </c>
      <c r="M295" s="45">
        <v>0</v>
      </c>
      <c r="N295" s="82">
        <v>2970.7232799999997</v>
      </c>
      <c r="O295" s="52">
        <v>2970.7232799999997</v>
      </c>
      <c r="P295" s="84">
        <v>0</v>
      </c>
      <c r="Q295" s="73">
        <v>15589.188709999999</v>
      </c>
      <c r="R295" s="78">
        <v>5327.344759999999</v>
      </c>
      <c r="S295" s="78">
        <v>10261.843949999999</v>
      </c>
      <c r="T295" s="47"/>
      <c r="U295" s="45">
        <v>0</v>
      </c>
      <c r="V295" s="45">
        <v>11938.07864</v>
      </c>
      <c r="W295" s="45">
        <v>0</v>
      </c>
      <c r="X295" s="45">
        <v>0</v>
      </c>
      <c r="Y295" s="45">
        <v>0</v>
      </c>
      <c r="Z295" s="45">
        <v>0</v>
      </c>
      <c r="AA295" s="45">
        <v>11938.07864</v>
      </c>
      <c r="AB295" s="45"/>
      <c r="AC295" s="45">
        <v>0</v>
      </c>
      <c r="AD295" s="52">
        <v>0</v>
      </c>
      <c r="AE295" s="52">
        <v>0</v>
      </c>
      <c r="AF295" s="48">
        <v>105.75059</v>
      </c>
      <c r="AG295" s="52">
        <v>0</v>
      </c>
      <c r="AH295" s="52">
        <v>105.75059</v>
      </c>
      <c r="AI295" s="48">
        <v>0</v>
      </c>
      <c r="AJ295" s="48">
        <v>83.69641</v>
      </c>
      <c r="AK295" s="52">
        <v>0</v>
      </c>
      <c r="AL295" s="52">
        <v>83.69641</v>
      </c>
      <c r="AM295" s="48">
        <v>0</v>
      </c>
      <c r="AN295" s="90">
        <v>0</v>
      </c>
      <c r="AO295" s="52">
        <v>0</v>
      </c>
      <c r="AP295" s="48">
        <v>32.303780000000003</v>
      </c>
      <c r="AQ295" s="88">
        <v>0</v>
      </c>
      <c r="AR295" s="52">
        <v>32.303780000000003</v>
      </c>
      <c r="AS295" s="52">
        <v>0</v>
      </c>
      <c r="AT295" s="88">
        <v>0</v>
      </c>
      <c r="AU295" s="52">
        <v>0</v>
      </c>
      <c r="AV295" s="48">
        <v>9806.6691699999974</v>
      </c>
      <c r="AW295" s="52">
        <v>9806.6691699999974</v>
      </c>
      <c r="AX295" s="52">
        <v>0</v>
      </c>
      <c r="AY295" s="87">
        <v>10028.419949999998</v>
      </c>
      <c r="AZ295" s="52">
        <v>9806.6691699999974</v>
      </c>
      <c r="BA295" s="52">
        <v>221.75078000000002</v>
      </c>
      <c r="BB295" s="48"/>
      <c r="BC295" s="45">
        <v>0</v>
      </c>
      <c r="BD295" s="45">
        <v>0</v>
      </c>
      <c r="BE295" s="45">
        <v>0</v>
      </c>
      <c r="BF295" s="45">
        <v>0</v>
      </c>
      <c r="BG295" s="45">
        <v>0</v>
      </c>
      <c r="BH295" s="46"/>
      <c r="BI295" s="45">
        <v>0</v>
      </c>
      <c r="BJ295" s="45">
        <v>0</v>
      </c>
      <c r="BK295" s="45">
        <v>0</v>
      </c>
      <c r="BL295" s="45">
        <v>0</v>
      </c>
      <c r="BM295" s="45">
        <v>0</v>
      </c>
      <c r="BN295" s="45">
        <v>0</v>
      </c>
      <c r="BO295" s="45">
        <v>0</v>
      </c>
      <c r="BP295" s="46"/>
      <c r="BQ295" s="87">
        <v>37555.687299999998</v>
      </c>
      <c r="BR295" s="52">
        <v>27072.092569999997</v>
      </c>
      <c r="BS295" s="52">
        <v>10483.594729999999</v>
      </c>
    </row>
    <row r="296" spans="1:71" ht="12" customHeight="1" x14ac:dyDescent="0.2">
      <c r="A296" s="59">
        <v>2026</v>
      </c>
      <c r="B296" s="60" t="s">
        <v>6</v>
      </c>
      <c r="C296" s="102">
        <v>0</v>
      </c>
      <c r="D296" s="45">
        <v>9786.8744700000007</v>
      </c>
      <c r="E296" s="52">
        <v>0</v>
      </c>
      <c r="F296" s="52">
        <v>9786.8744700000007</v>
      </c>
      <c r="G296" s="48">
        <v>0</v>
      </c>
      <c r="H296" s="48">
        <v>0</v>
      </c>
      <c r="I296" s="45">
        <v>0</v>
      </c>
      <c r="J296" s="45">
        <v>128.86913999999999</v>
      </c>
      <c r="K296" s="45">
        <v>0</v>
      </c>
      <c r="L296" s="45">
        <v>88.117649999999998</v>
      </c>
      <c r="M296" s="45">
        <v>0</v>
      </c>
      <c r="N296" s="48">
        <v>3036.33815</v>
      </c>
      <c r="O296" s="52">
        <v>3036.33815</v>
      </c>
      <c r="P296" s="103">
        <v>0</v>
      </c>
      <c r="Q296" s="104">
        <v>13040.199410000001</v>
      </c>
      <c r="R296" s="52">
        <v>3253.32494</v>
      </c>
      <c r="S296" s="52">
        <v>9786.8744700000007</v>
      </c>
      <c r="T296" s="47"/>
      <c r="U296" s="45">
        <v>0</v>
      </c>
      <c r="V296" s="45">
        <v>10071.217290000001</v>
      </c>
      <c r="W296" s="45">
        <v>0</v>
      </c>
      <c r="X296" s="45">
        <v>0</v>
      </c>
      <c r="Y296" s="45">
        <v>0</v>
      </c>
      <c r="Z296" s="45">
        <v>0</v>
      </c>
      <c r="AA296" s="45">
        <v>10071.217290000001</v>
      </c>
      <c r="AB296" s="45"/>
      <c r="AC296" s="45">
        <v>0</v>
      </c>
      <c r="AD296" s="52">
        <v>0</v>
      </c>
      <c r="AE296" s="52">
        <v>0</v>
      </c>
      <c r="AF296" s="48">
        <v>47.410159999999976</v>
      </c>
      <c r="AG296" s="52">
        <v>0</v>
      </c>
      <c r="AH296" s="52">
        <v>47.410159999999976</v>
      </c>
      <c r="AI296" s="48">
        <v>0</v>
      </c>
      <c r="AJ296" s="48">
        <v>81.024760000000001</v>
      </c>
      <c r="AK296" s="52">
        <v>0</v>
      </c>
      <c r="AL296" s="52">
        <v>81.024760000000001</v>
      </c>
      <c r="AM296" s="48">
        <v>0</v>
      </c>
      <c r="AN296" s="47">
        <v>0</v>
      </c>
      <c r="AO296" s="52">
        <v>0</v>
      </c>
      <c r="AP296" s="48">
        <v>1033.9299799999999</v>
      </c>
      <c r="AQ296" s="105">
        <v>0</v>
      </c>
      <c r="AR296" s="52">
        <v>1033.9299799999999</v>
      </c>
      <c r="AS296" s="52">
        <v>0</v>
      </c>
      <c r="AT296" s="105">
        <v>0</v>
      </c>
      <c r="AU296" s="52">
        <v>0</v>
      </c>
      <c r="AV296" s="48">
        <v>4393.8412799999996</v>
      </c>
      <c r="AW296" s="52">
        <v>4393.8412799999996</v>
      </c>
      <c r="AX296" s="52">
        <v>0</v>
      </c>
      <c r="AY296" s="106">
        <v>5556.2061799999992</v>
      </c>
      <c r="AZ296" s="52">
        <v>4393.8412799999996</v>
      </c>
      <c r="BA296" s="52">
        <v>1162.3648999999998</v>
      </c>
      <c r="BB296" s="48"/>
      <c r="BC296" s="45">
        <v>0</v>
      </c>
      <c r="BD296" s="45">
        <v>0</v>
      </c>
      <c r="BE296" s="45">
        <v>0</v>
      </c>
      <c r="BF296" s="45">
        <v>0</v>
      </c>
      <c r="BG296" s="45">
        <v>0</v>
      </c>
      <c r="BH296" s="46"/>
      <c r="BI296" s="45">
        <v>0</v>
      </c>
      <c r="BJ296" s="45">
        <v>0</v>
      </c>
      <c r="BK296" s="45">
        <v>0</v>
      </c>
      <c r="BL296" s="45">
        <v>0</v>
      </c>
      <c r="BM296" s="45">
        <v>0</v>
      </c>
      <c r="BN296" s="45">
        <v>0</v>
      </c>
      <c r="BO296" s="45">
        <v>0</v>
      </c>
      <c r="BP296" s="46"/>
      <c r="BQ296" s="106">
        <v>28667.622880000003</v>
      </c>
      <c r="BR296" s="52">
        <v>17718.38351</v>
      </c>
      <c r="BS296" s="52">
        <v>10949.239370000001</v>
      </c>
    </row>
    <row r="297" spans="1:71" ht="12" customHeight="1" x14ac:dyDescent="0.2">
      <c r="A297" s="59">
        <v>2026</v>
      </c>
      <c r="B297" s="60" t="s">
        <v>7</v>
      </c>
      <c r="C297" s="45">
        <v>1025.5705699999999</v>
      </c>
      <c r="D297" s="45">
        <v>13367.152889999999</v>
      </c>
      <c r="E297" s="52">
        <v>3001.74271</v>
      </c>
      <c r="F297" s="52">
        <v>10365.410179999999</v>
      </c>
      <c r="G297" s="48">
        <v>0</v>
      </c>
      <c r="H297" s="48">
        <v>0</v>
      </c>
      <c r="I297" s="45">
        <v>0</v>
      </c>
      <c r="J297" s="45">
        <v>0</v>
      </c>
      <c r="K297" s="45">
        <v>0</v>
      </c>
      <c r="L297" s="45">
        <v>1117.56133</v>
      </c>
      <c r="M297" s="45">
        <v>0</v>
      </c>
      <c r="N297" s="82">
        <v>0</v>
      </c>
      <c r="O297" s="52">
        <v>0</v>
      </c>
      <c r="P297" s="84">
        <v>0</v>
      </c>
      <c r="Q297" s="73">
        <v>15510.284789999998</v>
      </c>
      <c r="R297" s="78">
        <v>5144.8746099999998</v>
      </c>
      <c r="S297" s="78">
        <v>10365.410179999999</v>
      </c>
      <c r="T297" s="47"/>
      <c r="U297" s="45">
        <v>0</v>
      </c>
      <c r="V297" s="45">
        <v>4762.5891599999995</v>
      </c>
      <c r="W297" s="45">
        <v>0</v>
      </c>
      <c r="X297" s="45">
        <v>998.99968000000001</v>
      </c>
      <c r="Y297" s="45">
        <v>0</v>
      </c>
      <c r="Z297" s="45">
        <v>0</v>
      </c>
      <c r="AA297" s="45">
        <v>5761.5888399999994</v>
      </c>
      <c r="AB297" s="45"/>
      <c r="AC297" s="45">
        <v>0</v>
      </c>
      <c r="AD297" s="52">
        <v>0</v>
      </c>
      <c r="AE297" s="52">
        <v>0</v>
      </c>
      <c r="AF297" s="48">
        <v>89.761779999999959</v>
      </c>
      <c r="AG297" s="52">
        <v>0</v>
      </c>
      <c r="AH297" s="52">
        <v>89.761779999999959</v>
      </c>
      <c r="AI297" s="48">
        <v>0</v>
      </c>
      <c r="AJ297" s="48">
        <v>82.457309999999993</v>
      </c>
      <c r="AK297" s="52">
        <v>0</v>
      </c>
      <c r="AL297" s="52">
        <v>82.457309999999993</v>
      </c>
      <c r="AM297" s="48">
        <v>0</v>
      </c>
      <c r="AN297" s="90">
        <v>0</v>
      </c>
      <c r="AO297" s="52">
        <v>0</v>
      </c>
      <c r="AP297" s="48">
        <v>1142.7238400000001</v>
      </c>
      <c r="AQ297" s="88">
        <v>0</v>
      </c>
      <c r="AR297" s="52">
        <v>1142.7238400000001</v>
      </c>
      <c r="AS297" s="52">
        <v>0</v>
      </c>
      <c r="AT297" s="88">
        <v>0</v>
      </c>
      <c r="AU297" s="52">
        <v>0</v>
      </c>
      <c r="AV297" s="48">
        <v>8725.7655999999988</v>
      </c>
      <c r="AW297" s="52">
        <v>8725.7655999999988</v>
      </c>
      <c r="AX297" s="52">
        <v>0</v>
      </c>
      <c r="AY297" s="87">
        <v>10040.70853</v>
      </c>
      <c r="AZ297" s="52">
        <v>8725.7655999999988</v>
      </c>
      <c r="BA297" s="52">
        <v>1314.9429300000002</v>
      </c>
      <c r="BB297" s="48"/>
      <c r="BC297" s="45">
        <v>0</v>
      </c>
      <c r="BD297" s="45">
        <v>0</v>
      </c>
      <c r="BE297" s="45">
        <v>0</v>
      </c>
      <c r="BF297" s="45">
        <v>0</v>
      </c>
      <c r="BG297" s="45">
        <v>0</v>
      </c>
      <c r="BH297" s="46"/>
      <c r="BI297" s="45">
        <v>0</v>
      </c>
      <c r="BJ297" s="45">
        <v>0</v>
      </c>
      <c r="BK297" s="45">
        <v>0</v>
      </c>
      <c r="BL297" s="45">
        <v>0</v>
      </c>
      <c r="BM297" s="45">
        <v>0</v>
      </c>
      <c r="BN297" s="45">
        <v>0</v>
      </c>
      <c r="BO297" s="45">
        <v>0</v>
      </c>
      <c r="BP297" s="46"/>
      <c r="BQ297" s="87">
        <v>31312.582159999998</v>
      </c>
      <c r="BR297" s="52">
        <v>19632.229049999998</v>
      </c>
      <c r="BS297" s="52">
        <v>11680.35311</v>
      </c>
    </row>
    <row r="298" spans="1:71" ht="12" customHeight="1" x14ac:dyDescent="0.2">
      <c r="A298" s="59">
        <v>2026</v>
      </c>
      <c r="B298" s="60" t="s">
        <v>8</v>
      </c>
      <c r="C298" s="45">
        <v>0</v>
      </c>
      <c r="D298" s="45">
        <v>10459.95354</v>
      </c>
      <c r="E298" s="52">
        <v>482.13792000000007</v>
      </c>
      <c r="F298" s="52">
        <v>9977.8156200000012</v>
      </c>
      <c r="G298" s="48">
        <v>0</v>
      </c>
      <c r="H298" s="48">
        <v>0</v>
      </c>
      <c r="I298" s="45">
        <v>0</v>
      </c>
      <c r="J298" s="45">
        <v>0</v>
      </c>
      <c r="K298" s="45">
        <v>0</v>
      </c>
      <c r="L298" s="45">
        <v>0</v>
      </c>
      <c r="M298" s="45">
        <v>0</v>
      </c>
      <c r="N298" s="82">
        <v>3023.9176699999998</v>
      </c>
      <c r="O298" s="52">
        <v>3023.9176699999998</v>
      </c>
      <c r="P298" s="84">
        <v>0</v>
      </c>
      <c r="Q298" s="73">
        <v>13483.871210000001</v>
      </c>
      <c r="R298" s="78">
        <v>3506.0555899999999</v>
      </c>
      <c r="S298" s="78">
        <v>9977.8156200000012</v>
      </c>
      <c r="T298" s="47"/>
      <c r="U298" s="45">
        <v>0</v>
      </c>
      <c r="V298" s="45">
        <v>3127.1714400000005</v>
      </c>
      <c r="W298" s="45">
        <v>0</v>
      </c>
      <c r="X298" s="45">
        <v>0</v>
      </c>
      <c r="Y298" s="45">
        <v>1065.39645</v>
      </c>
      <c r="Z298" s="45">
        <v>0</v>
      </c>
      <c r="AA298" s="45">
        <v>4192.5678900000003</v>
      </c>
      <c r="AB298" s="45"/>
      <c r="AC298" s="45">
        <v>0</v>
      </c>
      <c r="AD298" s="52">
        <v>0</v>
      </c>
      <c r="AE298" s="52">
        <v>0</v>
      </c>
      <c r="AF298" s="48">
        <v>450.22729000000004</v>
      </c>
      <c r="AG298" s="52">
        <v>0</v>
      </c>
      <c r="AH298" s="52">
        <v>450.22729000000004</v>
      </c>
      <c r="AI298" s="48">
        <v>0</v>
      </c>
      <c r="AJ298" s="48">
        <v>67.587949999999992</v>
      </c>
      <c r="AK298" s="52">
        <v>0</v>
      </c>
      <c r="AL298" s="52">
        <v>67.587949999999992</v>
      </c>
      <c r="AM298" s="48">
        <v>0</v>
      </c>
      <c r="AN298" s="90">
        <v>0</v>
      </c>
      <c r="AO298" s="52">
        <v>0</v>
      </c>
      <c r="AP298" s="48">
        <v>2216.4018599999999</v>
      </c>
      <c r="AQ298" s="88">
        <v>0</v>
      </c>
      <c r="AR298" s="52">
        <v>2216.4018599999999</v>
      </c>
      <c r="AS298" s="52">
        <v>0</v>
      </c>
      <c r="AT298" s="88">
        <v>0</v>
      </c>
      <c r="AU298" s="52">
        <v>0</v>
      </c>
      <c r="AV298" s="48">
        <v>5473.0649799999992</v>
      </c>
      <c r="AW298" s="52">
        <v>5473.0649799999992</v>
      </c>
      <c r="AX298" s="52">
        <v>0</v>
      </c>
      <c r="AY298" s="87">
        <v>8207.282079999999</v>
      </c>
      <c r="AZ298" s="52">
        <v>5473.0649799999992</v>
      </c>
      <c r="BA298" s="52">
        <v>2734.2170999999998</v>
      </c>
      <c r="BB298" s="48"/>
      <c r="BC298" s="45">
        <v>0</v>
      </c>
      <c r="BD298" s="45">
        <v>0</v>
      </c>
      <c r="BE298" s="45">
        <v>0</v>
      </c>
      <c r="BF298" s="45">
        <v>0</v>
      </c>
      <c r="BG298" s="45">
        <v>0</v>
      </c>
      <c r="BH298" s="46"/>
      <c r="BI298" s="45">
        <v>0</v>
      </c>
      <c r="BJ298" s="45">
        <v>0</v>
      </c>
      <c r="BK298" s="45">
        <v>0</v>
      </c>
      <c r="BL298" s="45">
        <v>0</v>
      </c>
      <c r="BM298" s="45">
        <v>0</v>
      </c>
      <c r="BN298" s="45">
        <v>0</v>
      </c>
      <c r="BO298" s="45">
        <v>0</v>
      </c>
      <c r="BP298" s="46"/>
      <c r="BQ298" s="87">
        <v>25883.72118</v>
      </c>
      <c r="BR298" s="52">
        <v>13171.688459999999</v>
      </c>
      <c r="BS298" s="52">
        <v>12712.032720000001</v>
      </c>
    </row>
    <row r="299" spans="1:71" ht="12" customHeight="1" x14ac:dyDescent="0.2">
      <c r="A299" s="59">
        <v>2026</v>
      </c>
      <c r="B299" s="60" t="s">
        <v>9</v>
      </c>
      <c r="C299" s="45">
        <v>0</v>
      </c>
      <c r="D299" s="45">
        <v>10706.720869999999</v>
      </c>
      <c r="E299" s="52">
        <v>478.58678000000003</v>
      </c>
      <c r="F299" s="52">
        <v>10228.13409</v>
      </c>
      <c r="G299" s="48">
        <v>0</v>
      </c>
      <c r="H299" s="48">
        <v>713.25868000000003</v>
      </c>
      <c r="I299" s="45">
        <v>0</v>
      </c>
      <c r="J299" s="45">
        <v>0</v>
      </c>
      <c r="K299" s="45">
        <v>0</v>
      </c>
      <c r="L299" s="45">
        <v>0</v>
      </c>
      <c r="M299" s="45">
        <v>0</v>
      </c>
      <c r="N299" s="82">
        <v>3955.8803899999998</v>
      </c>
      <c r="O299" s="52">
        <v>3955.8803899999998</v>
      </c>
      <c r="P299" s="84">
        <v>0</v>
      </c>
      <c r="Q299" s="73">
        <v>15375.859939999998</v>
      </c>
      <c r="R299" s="78">
        <v>5147.7258499999998</v>
      </c>
      <c r="S299" s="78">
        <v>10228.13409</v>
      </c>
      <c r="T299" s="47"/>
      <c r="U299" s="45">
        <v>0</v>
      </c>
      <c r="V299" s="45">
        <v>2973.3290899999997</v>
      </c>
      <c r="W299" s="45">
        <v>0</v>
      </c>
      <c r="X299" s="45">
        <v>0</v>
      </c>
      <c r="Y299" s="45">
        <v>0</v>
      </c>
      <c r="Z299" s="45">
        <v>0</v>
      </c>
      <c r="AA299" s="45">
        <v>2973.3290899999997</v>
      </c>
      <c r="AB299" s="45"/>
      <c r="AC299" s="45">
        <v>0</v>
      </c>
      <c r="AD299" s="52">
        <v>0</v>
      </c>
      <c r="AE299" s="52">
        <v>0</v>
      </c>
      <c r="AF299" s="48">
        <v>1300.8679900000006</v>
      </c>
      <c r="AG299" s="52">
        <v>0</v>
      </c>
      <c r="AH299" s="52">
        <v>1300.8679900000006</v>
      </c>
      <c r="AI299" s="48">
        <v>0</v>
      </c>
      <c r="AJ299" s="48">
        <v>2075.8246800000002</v>
      </c>
      <c r="AK299" s="52">
        <v>1992.0156200000001</v>
      </c>
      <c r="AL299" s="52">
        <v>83.809060000000002</v>
      </c>
      <c r="AM299" s="48">
        <v>0</v>
      </c>
      <c r="AN299" s="90">
        <v>0</v>
      </c>
      <c r="AO299" s="52">
        <v>0</v>
      </c>
      <c r="AP299" s="48">
        <v>1764.7041100000001</v>
      </c>
      <c r="AQ299" s="88">
        <v>0</v>
      </c>
      <c r="AR299" s="52">
        <v>1764.7041100000001</v>
      </c>
      <c r="AS299" s="52">
        <v>0</v>
      </c>
      <c r="AT299" s="88">
        <v>0</v>
      </c>
      <c r="AU299" s="52">
        <v>0</v>
      </c>
      <c r="AV299" s="48">
        <v>2087.51145</v>
      </c>
      <c r="AW299" s="52">
        <v>2087.51145</v>
      </c>
      <c r="AX299" s="52">
        <v>0</v>
      </c>
      <c r="AY299" s="87">
        <v>7228.9082300000009</v>
      </c>
      <c r="AZ299" s="52">
        <v>4079.5270700000001</v>
      </c>
      <c r="BA299" s="52">
        <v>3149.3811600000008</v>
      </c>
      <c r="BB299" s="48"/>
      <c r="BC299" s="45">
        <v>0</v>
      </c>
      <c r="BD299" s="45">
        <v>0</v>
      </c>
      <c r="BE299" s="45">
        <v>0</v>
      </c>
      <c r="BF299" s="45">
        <v>0</v>
      </c>
      <c r="BG299" s="45">
        <v>0</v>
      </c>
      <c r="BH299" s="46"/>
      <c r="BI299" s="45">
        <v>0</v>
      </c>
      <c r="BJ299" s="45">
        <v>0</v>
      </c>
      <c r="BK299" s="45">
        <v>0</v>
      </c>
      <c r="BL299" s="45">
        <v>0</v>
      </c>
      <c r="BM299" s="45">
        <v>0</v>
      </c>
      <c r="BN299" s="45">
        <v>0</v>
      </c>
      <c r="BO299" s="45">
        <v>0</v>
      </c>
      <c r="BP299" s="46"/>
      <c r="BQ299" s="87">
        <v>25578.097259999999</v>
      </c>
      <c r="BR299" s="52">
        <v>12200.58201</v>
      </c>
      <c r="BS299" s="52">
        <v>13377.51525</v>
      </c>
    </row>
    <row r="300" spans="1:71" ht="12" customHeight="1" x14ac:dyDescent="0.2">
      <c r="A300" s="59" t="s">
        <v>64</v>
      </c>
      <c r="B300" s="60" t="s">
        <v>64</v>
      </c>
      <c r="C300" s="45">
        <v>0</v>
      </c>
      <c r="D300" s="45">
        <v>0</v>
      </c>
      <c r="E300" s="52">
        <v>0</v>
      </c>
      <c r="F300" s="52">
        <v>0</v>
      </c>
      <c r="G300" s="48">
        <v>0</v>
      </c>
      <c r="H300" s="48">
        <v>0</v>
      </c>
      <c r="I300" s="45">
        <v>0</v>
      </c>
      <c r="J300" s="45">
        <v>0</v>
      </c>
      <c r="K300" s="45">
        <v>0</v>
      </c>
      <c r="L300" s="45">
        <v>0</v>
      </c>
      <c r="M300" s="45">
        <v>0</v>
      </c>
      <c r="N300" s="82">
        <v>0</v>
      </c>
      <c r="O300" s="52">
        <v>0</v>
      </c>
      <c r="P300" s="84">
        <v>0</v>
      </c>
      <c r="Q300" s="73">
        <v>0</v>
      </c>
      <c r="R300" s="78">
        <v>0</v>
      </c>
      <c r="S300" s="78">
        <v>0</v>
      </c>
      <c r="T300" s="47"/>
      <c r="U300" s="45">
        <v>0</v>
      </c>
      <c r="V300" s="45">
        <v>0</v>
      </c>
      <c r="W300" s="45">
        <v>0</v>
      </c>
      <c r="X300" s="45">
        <v>0</v>
      </c>
      <c r="Y300" s="45">
        <v>0</v>
      </c>
      <c r="Z300" s="45">
        <v>0</v>
      </c>
      <c r="AA300" s="45">
        <v>0</v>
      </c>
      <c r="AB300" s="45"/>
      <c r="AC300" s="45">
        <v>0</v>
      </c>
      <c r="AD300" s="52">
        <v>0</v>
      </c>
      <c r="AE300" s="52">
        <v>0</v>
      </c>
      <c r="AF300" s="48">
        <v>0</v>
      </c>
      <c r="AG300" s="52">
        <v>0</v>
      </c>
      <c r="AH300" s="52">
        <v>0</v>
      </c>
      <c r="AI300" s="48">
        <v>0</v>
      </c>
      <c r="AJ300" s="48">
        <v>0</v>
      </c>
      <c r="AK300" s="52">
        <v>0</v>
      </c>
      <c r="AL300" s="52">
        <v>0</v>
      </c>
      <c r="AM300" s="48">
        <v>0</v>
      </c>
      <c r="AN300" s="90">
        <v>0</v>
      </c>
      <c r="AO300" s="52">
        <v>0</v>
      </c>
      <c r="AP300" s="48">
        <v>0</v>
      </c>
      <c r="AQ300" s="88">
        <v>0</v>
      </c>
      <c r="AR300" s="52">
        <v>0</v>
      </c>
      <c r="AS300" s="52">
        <v>0</v>
      </c>
      <c r="AT300" s="88">
        <v>0</v>
      </c>
      <c r="AU300" s="52">
        <v>0</v>
      </c>
      <c r="AV300" s="48">
        <v>0</v>
      </c>
      <c r="AW300" s="52">
        <v>0</v>
      </c>
      <c r="AX300" s="52">
        <v>0</v>
      </c>
      <c r="AY300" s="87">
        <v>0</v>
      </c>
      <c r="AZ300" s="52">
        <v>0</v>
      </c>
      <c r="BA300" s="52">
        <v>0</v>
      </c>
      <c r="BB300" s="48"/>
      <c r="BC300" s="45">
        <v>0</v>
      </c>
      <c r="BD300" s="45">
        <v>0</v>
      </c>
      <c r="BE300" s="45">
        <v>0</v>
      </c>
      <c r="BF300" s="45">
        <v>0</v>
      </c>
      <c r="BG300" s="45">
        <v>0</v>
      </c>
      <c r="BH300" s="46"/>
      <c r="BI300" s="45">
        <v>0</v>
      </c>
      <c r="BJ300" s="45">
        <v>0</v>
      </c>
      <c r="BK300" s="45">
        <v>0</v>
      </c>
      <c r="BL300" s="45">
        <v>0</v>
      </c>
      <c r="BM300" s="45">
        <v>0</v>
      </c>
      <c r="BN300" s="45">
        <v>0</v>
      </c>
      <c r="BO300" s="45">
        <v>0</v>
      </c>
      <c r="BP300" s="46"/>
      <c r="BQ300" s="87">
        <v>0</v>
      </c>
      <c r="BR300" s="52">
        <v>0</v>
      </c>
      <c r="BS300" s="52">
        <v>0</v>
      </c>
    </row>
    <row r="301" spans="1:71" ht="12" customHeight="1" x14ac:dyDescent="0.2">
      <c r="A301" s="59" t="s">
        <v>64</v>
      </c>
      <c r="B301" s="60" t="s">
        <v>64</v>
      </c>
      <c r="C301" s="45">
        <v>0</v>
      </c>
      <c r="D301" s="45">
        <v>0</v>
      </c>
      <c r="E301" s="52">
        <v>0</v>
      </c>
      <c r="F301" s="52">
        <v>0</v>
      </c>
      <c r="G301" s="48">
        <v>0</v>
      </c>
      <c r="H301" s="48">
        <v>0</v>
      </c>
      <c r="I301" s="45">
        <v>0</v>
      </c>
      <c r="J301" s="45">
        <v>0</v>
      </c>
      <c r="K301" s="45">
        <v>0</v>
      </c>
      <c r="L301" s="45">
        <v>0</v>
      </c>
      <c r="M301" s="45">
        <v>0</v>
      </c>
      <c r="N301" s="82">
        <v>0</v>
      </c>
      <c r="O301" s="52">
        <v>0</v>
      </c>
      <c r="P301" s="84">
        <v>0</v>
      </c>
      <c r="Q301" s="73">
        <v>0</v>
      </c>
      <c r="R301" s="78">
        <v>0</v>
      </c>
      <c r="S301" s="78">
        <v>0</v>
      </c>
      <c r="T301" s="47"/>
      <c r="U301" s="45">
        <v>0</v>
      </c>
      <c r="V301" s="45">
        <v>0</v>
      </c>
      <c r="W301" s="45">
        <v>0</v>
      </c>
      <c r="X301" s="45">
        <v>0</v>
      </c>
      <c r="Y301" s="45">
        <v>0</v>
      </c>
      <c r="Z301" s="45">
        <v>0</v>
      </c>
      <c r="AA301" s="45">
        <v>0</v>
      </c>
      <c r="AB301" s="45"/>
      <c r="AC301" s="45">
        <v>0</v>
      </c>
      <c r="AD301" s="52">
        <v>0</v>
      </c>
      <c r="AE301" s="52">
        <v>0</v>
      </c>
      <c r="AF301" s="48">
        <v>0</v>
      </c>
      <c r="AG301" s="52">
        <v>0</v>
      </c>
      <c r="AH301" s="52">
        <v>0</v>
      </c>
      <c r="AI301" s="48">
        <v>0</v>
      </c>
      <c r="AJ301" s="48">
        <v>0</v>
      </c>
      <c r="AK301" s="52">
        <v>0</v>
      </c>
      <c r="AL301" s="52">
        <v>0</v>
      </c>
      <c r="AM301" s="48">
        <v>0</v>
      </c>
      <c r="AN301" s="90">
        <v>0</v>
      </c>
      <c r="AO301" s="52">
        <v>0</v>
      </c>
      <c r="AP301" s="48">
        <v>0</v>
      </c>
      <c r="AQ301" s="88">
        <v>0</v>
      </c>
      <c r="AR301" s="52">
        <v>0</v>
      </c>
      <c r="AS301" s="52">
        <v>0</v>
      </c>
      <c r="AT301" s="88">
        <v>0</v>
      </c>
      <c r="AU301" s="52">
        <v>0</v>
      </c>
      <c r="AV301" s="48">
        <v>0</v>
      </c>
      <c r="AW301" s="52">
        <v>0</v>
      </c>
      <c r="AX301" s="52">
        <v>0</v>
      </c>
      <c r="AY301" s="87">
        <v>0</v>
      </c>
      <c r="AZ301" s="52">
        <v>0</v>
      </c>
      <c r="BA301" s="52">
        <v>0</v>
      </c>
      <c r="BB301" s="48"/>
      <c r="BC301" s="45">
        <v>0</v>
      </c>
      <c r="BD301" s="45">
        <v>0</v>
      </c>
      <c r="BE301" s="45">
        <v>0</v>
      </c>
      <c r="BF301" s="45">
        <v>0</v>
      </c>
      <c r="BG301" s="45">
        <v>0</v>
      </c>
      <c r="BH301" s="46"/>
      <c r="BI301" s="45">
        <v>0</v>
      </c>
      <c r="BJ301" s="45">
        <v>0</v>
      </c>
      <c r="BK301" s="45">
        <v>0</v>
      </c>
      <c r="BL301" s="45">
        <v>0</v>
      </c>
      <c r="BM301" s="45">
        <v>0</v>
      </c>
      <c r="BN301" s="45">
        <v>0</v>
      </c>
      <c r="BO301" s="45">
        <v>0</v>
      </c>
      <c r="BP301" s="46"/>
      <c r="BQ301" s="87">
        <v>0</v>
      </c>
      <c r="BR301" s="52">
        <v>0</v>
      </c>
      <c r="BS301" s="52">
        <v>0</v>
      </c>
    </row>
    <row r="302" spans="1:71" ht="12" customHeight="1" x14ac:dyDescent="0.2">
      <c r="A302" s="59" t="s">
        <v>64</v>
      </c>
      <c r="B302" s="60" t="s">
        <v>64</v>
      </c>
      <c r="C302" s="45">
        <v>0</v>
      </c>
      <c r="D302" s="45">
        <v>0</v>
      </c>
      <c r="E302" s="52">
        <v>0</v>
      </c>
      <c r="F302" s="52">
        <v>0</v>
      </c>
      <c r="G302" s="48">
        <v>0</v>
      </c>
      <c r="H302" s="48">
        <v>0</v>
      </c>
      <c r="I302" s="45">
        <v>0</v>
      </c>
      <c r="J302" s="45">
        <v>0</v>
      </c>
      <c r="K302" s="45">
        <v>0</v>
      </c>
      <c r="L302" s="45">
        <v>0</v>
      </c>
      <c r="M302" s="45">
        <v>0</v>
      </c>
      <c r="N302" s="82">
        <v>0</v>
      </c>
      <c r="O302" s="52">
        <v>0</v>
      </c>
      <c r="P302" s="84">
        <v>0</v>
      </c>
      <c r="Q302" s="73">
        <v>0</v>
      </c>
      <c r="R302" s="78">
        <v>0</v>
      </c>
      <c r="S302" s="78">
        <v>0</v>
      </c>
      <c r="T302" s="47"/>
      <c r="U302" s="45">
        <v>0</v>
      </c>
      <c r="V302" s="45">
        <v>0</v>
      </c>
      <c r="W302" s="45">
        <v>0</v>
      </c>
      <c r="X302" s="45">
        <v>0</v>
      </c>
      <c r="Y302" s="45">
        <v>0</v>
      </c>
      <c r="Z302" s="45">
        <v>0</v>
      </c>
      <c r="AA302" s="45">
        <v>0</v>
      </c>
      <c r="AB302" s="45"/>
      <c r="AC302" s="45">
        <v>0</v>
      </c>
      <c r="AD302" s="52">
        <v>0</v>
      </c>
      <c r="AE302" s="52">
        <v>0</v>
      </c>
      <c r="AF302" s="48">
        <v>0</v>
      </c>
      <c r="AG302" s="52">
        <v>0</v>
      </c>
      <c r="AH302" s="52">
        <v>0</v>
      </c>
      <c r="AI302" s="48">
        <v>0</v>
      </c>
      <c r="AJ302" s="48">
        <v>0</v>
      </c>
      <c r="AK302" s="52">
        <v>0</v>
      </c>
      <c r="AL302" s="52">
        <v>0</v>
      </c>
      <c r="AM302" s="48">
        <v>0</v>
      </c>
      <c r="AN302" s="90">
        <v>0</v>
      </c>
      <c r="AO302" s="52">
        <v>0</v>
      </c>
      <c r="AP302" s="48">
        <v>0</v>
      </c>
      <c r="AQ302" s="88">
        <v>0</v>
      </c>
      <c r="AR302" s="52">
        <v>0</v>
      </c>
      <c r="AS302" s="52">
        <v>0</v>
      </c>
      <c r="AT302" s="88">
        <v>0</v>
      </c>
      <c r="AU302" s="52">
        <v>0</v>
      </c>
      <c r="AV302" s="48">
        <v>0</v>
      </c>
      <c r="AW302" s="52">
        <v>0</v>
      </c>
      <c r="AX302" s="52">
        <v>0</v>
      </c>
      <c r="AY302" s="87">
        <v>0</v>
      </c>
      <c r="AZ302" s="52">
        <v>0</v>
      </c>
      <c r="BA302" s="52">
        <v>0</v>
      </c>
      <c r="BB302" s="48"/>
      <c r="BC302" s="45">
        <v>0</v>
      </c>
      <c r="BD302" s="45">
        <v>0</v>
      </c>
      <c r="BE302" s="45">
        <v>0</v>
      </c>
      <c r="BF302" s="45">
        <v>0</v>
      </c>
      <c r="BG302" s="45">
        <v>0</v>
      </c>
      <c r="BH302" s="46"/>
      <c r="BI302" s="45">
        <v>0</v>
      </c>
      <c r="BJ302" s="45">
        <v>0</v>
      </c>
      <c r="BK302" s="45">
        <v>0</v>
      </c>
      <c r="BL302" s="45">
        <v>0</v>
      </c>
      <c r="BM302" s="45">
        <v>0</v>
      </c>
      <c r="BN302" s="45">
        <v>0</v>
      </c>
      <c r="BO302" s="45">
        <v>0</v>
      </c>
      <c r="BP302" s="46"/>
      <c r="BQ302" s="87">
        <v>0</v>
      </c>
      <c r="BR302" s="52">
        <v>0</v>
      </c>
      <c r="BS302" s="52">
        <v>0</v>
      </c>
    </row>
    <row r="303" spans="1:71" ht="12" customHeight="1" x14ac:dyDescent="0.2">
      <c r="A303" s="59" t="s">
        <v>64</v>
      </c>
      <c r="B303" s="60" t="s">
        <v>64</v>
      </c>
      <c r="C303" s="45">
        <v>0</v>
      </c>
      <c r="D303" s="45">
        <v>0</v>
      </c>
      <c r="E303" s="52">
        <v>0</v>
      </c>
      <c r="F303" s="52">
        <v>0</v>
      </c>
      <c r="G303" s="48">
        <v>0</v>
      </c>
      <c r="H303" s="48">
        <v>0</v>
      </c>
      <c r="I303" s="45">
        <v>0</v>
      </c>
      <c r="J303" s="45">
        <v>0</v>
      </c>
      <c r="K303" s="45">
        <v>0</v>
      </c>
      <c r="L303" s="45">
        <v>0</v>
      </c>
      <c r="M303" s="45">
        <v>0</v>
      </c>
      <c r="N303" s="82">
        <v>0</v>
      </c>
      <c r="O303" s="52">
        <v>0</v>
      </c>
      <c r="P303" s="84">
        <v>0</v>
      </c>
      <c r="Q303" s="73">
        <v>0</v>
      </c>
      <c r="R303" s="78">
        <v>0</v>
      </c>
      <c r="S303" s="78">
        <v>0</v>
      </c>
      <c r="T303" s="47"/>
      <c r="U303" s="45">
        <v>0</v>
      </c>
      <c r="V303" s="45">
        <v>0</v>
      </c>
      <c r="W303" s="45">
        <v>0</v>
      </c>
      <c r="X303" s="45">
        <v>0</v>
      </c>
      <c r="Y303" s="45">
        <v>0</v>
      </c>
      <c r="Z303" s="45">
        <v>0</v>
      </c>
      <c r="AA303" s="45">
        <v>0</v>
      </c>
      <c r="AB303" s="45"/>
      <c r="AC303" s="45">
        <v>0</v>
      </c>
      <c r="AD303" s="52">
        <v>0</v>
      </c>
      <c r="AE303" s="52">
        <v>0</v>
      </c>
      <c r="AF303" s="48">
        <v>0</v>
      </c>
      <c r="AG303" s="52">
        <v>0</v>
      </c>
      <c r="AH303" s="52">
        <v>0</v>
      </c>
      <c r="AI303" s="48">
        <v>0</v>
      </c>
      <c r="AJ303" s="48">
        <v>0</v>
      </c>
      <c r="AK303" s="52">
        <v>0</v>
      </c>
      <c r="AL303" s="52">
        <v>0</v>
      </c>
      <c r="AM303" s="48">
        <v>0</v>
      </c>
      <c r="AN303" s="90">
        <v>0</v>
      </c>
      <c r="AO303" s="52">
        <v>0</v>
      </c>
      <c r="AP303" s="48">
        <v>0</v>
      </c>
      <c r="AQ303" s="88">
        <v>0</v>
      </c>
      <c r="AR303" s="52">
        <v>0</v>
      </c>
      <c r="AS303" s="52">
        <v>0</v>
      </c>
      <c r="AT303" s="52">
        <v>0</v>
      </c>
      <c r="AU303" s="48">
        <v>0</v>
      </c>
      <c r="AV303" s="48">
        <v>0</v>
      </c>
      <c r="AW303" s="52">
        <v>0</v>
      </c>
      <c r="AX303" s="52">
        <v>0</v>
      </c>
      <c r="AY303" s="87">
        <v>0</v>
      </c>
      <c r="AZ303" s="52">
        <v>0</v>
      </c>
      <c r="BA303" s="52">
        <v>0</v>
      </c>
      <c r="BB303" s="48"/>
      <c r="BC303" s="45">
        <v>0</v>
      </c>
      <c r="BD303" s="45">
        <v>0</v>
      </c>
      <c r="BE303" s="45">
        <v>0</v>
      </c>
      <c r="BF303" s="45">
        <v>0</v>
      </c>
      <c r="BG303" s="45">
        <v>0</v>
      </c>
      <c r="BH303" s="46"/>
      <c r="BI303" s="45">
        <v>0</v>
      </c>
      <c r="BJ303" s="45">
        <v>0</v>
      </c>
      <c r="BK303" s="45">
        <v>0</v>
      </c>
      <c r="BL303" s="45">
        <v>0</v>
      </c>
      <c r="BM303" s="45">
        <v>0</v>
      </c>
      <c r="BN303" s="45">
        <v>0</v>
      </c>
      <c r="BO303" s="45">
        <v>0</v>
      </c>
      <c r="BP303" s="46"/>
      <c r="BQ303" s="87">
        <v>0</v>
      </c>
      <c r="BR303" s="52">
        <v>0</v>
      </c>
      <c r="BS303" s="52">
        <v>0</v>
      </c>
    </row>
    <row r="304" spans="1:71" ht="12" customHeight="1" x14ac:dyDescent="0.2">
      <c r="A304" s="59" t="s">
        <v>64</v>
      </c>
      <c r="B304" s="60" t="s">
        <v>64</v>
      </c>
      <c r="C304" s="45">
        <v>0</v>
      </c>
      <c r="D304" s="45">
        <v>0</v>
      </c>
      <c r="E304" s="52">
        <v>0</v>
      </c>
      <c r="F304" s="52">
        <v>0</v>
      </c>
      <c r="G304" s="48">
        <v>0</v>
      </c>
      <c r="H304" s="48">
        <v>0</v>
      </c>
      <c r="I304" s="45">
        <v>0</v>
      </c>
      <c r="J304" s="45">
        <v>0</v>
      </c>
      <c r="K304" s="45">
        <v>0</v>
      </c>
      <c r="L304" s="45">
        <v>0</v>
      </c>
      <c r="M304" s="45">
        <v>0</v>
      </c>
      <c r="N304" s="82">
        <v>0</v>
      </c>
      <c r="O304" s="52">
        <v>0</v>
      </c>
      <c r="P304" s="84">
        <v>0</v>
      </c>
      <c r="Q304" s="73">
        <v>0</v>
      </c>
      <c r="R304" s="78">
        <v>0</v>
      </c>
      <c r="S304" s="78">
        <v>0</v>
      </c>
      <c r="T304" s="47"/>
      <c r="U304" s="45">
        <v>0</v>
      </c>
      <c r="V304" s="45">
        <v>0</v>
      </c>
      <c r="W304" s="45">
        <v>0</v>
      </c>
      <c r="X304" s="45">
        <v>0</v>
      </c>
      <c r="Y304" s="45">
        <v>0</v>
      </c>
      <c r="Z304" s="45">
        <v>0</v>
      </c>
      <c r="AA304" s="45">
        <v>0</v>
      </c>
      <c r="AB304" s="45"/>
      <c r="AC304" s="45">
        <v>0</v>
      </c>
      <c r="AD304" s="52">
        <v>0</v>
      </c>
      <c r="AE304" s="52">
        <v>0</v>
      </c>
      <c r="AF304" s="48">
        <v>0</v>
      </c>
      <c r="AG304" s="52">
        <v>0</v>
      </c>
      <c r="AH304" s="52">
        <v>0</v>
      </c>
      <c r="AI304" s="48">
        <v>0</v>
      </c>
      <c r="AJ304" s="48">
        <v>0</v>
      </c>
      <c r="AK304" s="52">
        <v>0</v>
      </c>
      <c r="AL304" s="52">
        <v>0</v>
      </c>
      <c r="AM304" s="48">
        <v>0</v>
      </c>
      <c r="AN304" s="90">
        <v>0</v>
      </c>
      <c r="AO304" s="52">
        <v>0</v>
      </c>
      <c r="AP304" s="48">
        <v>0</v>
      </c>
      <c r="AQ304" s="88">
        <v>0</v>
      </c>
      <c r="AR304" s="52">
        <v>0</v>
      </c>
      <c r="AS304" s="52">
        <v>0</v>
      </c>
      <c r="AT304" s="52">
        <v>0</v>
      </c>
      <c r="AU304" s="48">
        <v>0</v>
      </c>
      <c r="AV304" s="48">
        <v>0</v>
      </c>
      <c r="AW304" s="52">
        <v>0</v>
      </c>
      <c r="AX304" s="52">
        <v>0</v>
      </c>
      <c r="AY304" s="87">
        <v>0</v>
      </c>
      <c r="AZ304" s="52">
        <v>0</v>
      </c>
      <c r="BA304" s="52">
        <v>0</v>
      </c>
      <c r="BB304" s="48"/>
      <c r="BC304" s="45">
        <v>0</v>
      </c>
      <c r="BD304" s="45">
        <v>0</v>
      </c>
      <c r="BE304" s="45">
        <v>0</v>
      </c>
      <c r="BF304" s="45">
        <v>0</v>
      </c>
      <c r="BG304" s="45">
        <v>0</v>
      </c>
      <c r="BH304" s="46"/>
      <c r="BI304" s="45">
        <v>0</v>
      </c>
      <c r="BJ304" s="45">
        <v>0</v>
      </c>
      <c r="BK304" s="45">
        <v>0</v>
      </c>
      <c r="BL304" s="45">
        <v>0</v>
      </c>
      <c r="BM304" s="45">
        <v>0</v>
      </c>
      <c r="BN304" s="45">
        <v>0</v>
      </c>
      <c r="BO304" s="45">
        <v>0</v>
      </c>
      <c r="BP304" s="46"/>
      <c r="BQ304" s="87">
        <v>0</v>
      </c>
      <c r="BR304" s="52">
        <v>0</v>
      </c>
      <c r="BS304" s="52">
        <v>0</v>
      </c>
    </row>
    <row r="305" spans="1:71" ht="12" customHeight="1" x14ac:dyDescent="0.2">
      <c r="A305" s="59"/>
      <c r="B305" s="60"/>
      <c r="C305" s="45">
        <v>0</v>
      </c>
      <c r="D305" s="45">
        <v>0</v>
      </c>
      <c r="E305" s="52">
        <v>0</v>
      </c>
      <c r="F305" s="52">
        <v>0</v>
      </c>
      <c r="G305" s="48">
        <v>0</v>
      </c>
      <c r="H305" s="48">
        <v>0</v>
      </c>
      <c r="I305" s="45">
        <v>0</v>
      </c>
      <c r="J305" s="45">
        <v>0</v>
      </c>
      <c r="K305" s="45">
        <v>0</v>
      </c>
      <c r="L305" s="45">
        <v>0</v>
      </c>
      <c r="M305" s="45">
        <v>0</v>
      </c>
      <c r="N305" s="82">
        <v>0</v>
      </c>
      <c r="O305" s="52">
        <v>0</v>
      </c>
      <c r="P305" s="84">
        <v>0</v>
      </c>
      <c r="Q305" s="73">
        <v>0</v>
      </c>
      <c r="R305" s="78">
        <v>0</v>
      </c>
      <c r="S305" s="78">
        <v>0</v>
      </c>
      <c r="T305" s="47"/>
      <c r="U305" s="45">
        <v>0</v>
      </c>
      <c r="V305" s="45">
        <v>0</v>
      </c>
      <c r="W305" s="45">
        <v>0</v>
      </c>
      <c r="X305" s="45">
        <v>0</v>
      </c>
      <c r="Y305" s="45">
        <v>0</v>
      </c>
      <c r="Z305" s="45">
        <v>0</v>
      </c>
      <c r="AA305" s="45">
        <v>0</v>
      </c>
      <c r="AB305" s="45"/>
      <c r="AC305" s="45">
        <v>0</v>
      </c>
      <c r="AD305" s="52">
        <v>0</v>
      </c>
      <c r="AE305" s="52">
        <v>0</v>
      </c>
      <c r="AF305" s="48">
        <v>0</v>
      </c>
      <c r="AG305" s="52">
        <v>0</v>
      </c>
      <c r="AH305" s="52">
        <v>0</v>
      </c>
      <c r="AI305" s="48">
        <v>0</v>
      </c>
      <c r="AJ305" s="48">
        <v>0</v>
      </c>
      <c r="AK305" s="52">
        <v>0</v>
      </c>
      <c r="AL305" s="52">
        <v>0</v>
      </c>
      <c r="AM305" s="48">
        <v>0</v>
      </c>
      <c r="AN305" s="90">
        <v>0</v>
      </c>
      <c r="AO305" s="52">
        <v>0</v>
      </c>
      <c r="AP305" s="48">
        <v>0</v>
      </c>
      <c r="AQ305" s="88">
        <v>0</v>
      </c>
      <c r="AR305" s="52">
        <v>0</v>
      </c>
      <c r="AS305" s="52">
        <v>0</v>
      </c>
      <c r="AT305" s="88">
        <v>0</v>
      </c>
      <c r="AU305" s="52">
        <v>0</v>
      </c>
      <c r="AV305" s="48">
        <v>0</v>
      </c>
      <c r="AW305" s="52">
        <v>0</v>
      </c>
      <c r="AX305" s="52">
        <v>0</v>
      </c>
      <c r="AY305" s="87">
        <v>0</v>
      </c>
      <c r="AZ305" s="52">
        <v>0</v>
      </c>
      <c r="BA305" s="52">
        <v>0</v>
      </c>
      <c r="BB305" s="48"/>
      <c r="BC305" s="45">
        <v>0</v>
      </c>
      <c r="BD305" s="45">
        <v>0</v>
      </c>
      <c r="BE305" s="45">
        <v>0</v>
      </c>
      <c r="BF305" s="45">
        <v>0</v>
      </c>
      <c r="BG305" s="45">
        <v>0</v>
      </c>
      <c r="BH305" s="46"/>
      <c r="BI305" s="45">
        <v>0</v>
      </c>
      <c r="BJ305" s="45">
        <v>0</v>
      </c>
      <c r="BK305" s="45">
        <v>0</v>
      </c>
      <c r="BL305" s="45">
        <v>0</v>
      </c>
      <c r="BM305" s="45">
        <v>0</v>
      </c>
      <c r="BN305" s="45">
        <v>0</v>
      </c>
      <c r="BO305" s="45">
        <v>0</v>
      </c>
      <c r="BP305" s="46"/>
      <c r="BQ305" s="87">
        <v>0</v>
      </c>
      <c r="BR305" s="52">
        <v>0</v>
      </c>
      <c r="BS305" s="52">
        <v>0</v>
      </c>
    </row>
    <row r="306" spans="1:71" ht="12" customHeight="1" x14ac:dyDescent="0.2">
      <c r="B306" s="56" t="s">
        <v>64</v>
      </c>
      <c r="C306" s="45"/>
      <c r="D306" s="45">
        <v>0</v>
      </c>
      <c r="E306" s="52">
        <v>0</v>
      </c>
      <c r="F306" s="52">
        <v>0</v>
      </c>
      <c r="G306" s="48"/>
      <c r="H306" s="45">
        <v>0</v>
      </c>
      <c r="I306" s="45">
        <v>0</v>
      </c>
      <c r="J306" s="45">
        <v>0</v>
      </c>
      <c r="K306" s="45"/>
      <c r="L306" s="45"/>
      <c r="M306" s="52">
        <v>0</v>
      </c>
      <c r="N306" s="52">
        <v>0</v>
      </c>
      <c r="O306" s="83">
        <v>0</v>
      </c>
      <c r="P306" s="83"/>
      <c r="Q306" s="52"/>
      <c r="R306" s="52">
        <v>0</v>
      </c>
      <c r="S306" s="61">
        <v>0</v>
      </c>
      <c r="T306" s="47"/>
      <c r="U306" s="45"/>
      <c r="V306" s="45"/>
      <c r="W306" s="45"/>
      <c r="X306" s="45"/>
      <c r="Y306" s="45">
        <v>0</v>
      </c>
      <c r="Z306" s="45">
        <v>0</v>
      </c>
      <c r="AA306" s="45"/>
      <c r="AB306" s="45"/>
      <c r="AC306" s="45"/>
      <c r="AD306" s="52"/>
      <c r="AE306" s="52">
        <v>0</v>
      </c>
      <c r="AF306" s="48">
        <v>0</v>
      </c>
      <c r="AG306" s="52">
        <v>0</v>
      </c>
      <c r="AH306" s="52">
        <v>0</v>
      </c>
      <c r="AI306" s="48"/>
      <c r="AJ306" s="48">
        <v>0</v>
      </c>
      <c r="AK306" s="52">
        <v>0</v>
      </c>
      <c r="AL306" s="52">
        <v>0</v>
      </c>
      <c r="AM306" s="48">
        <v>0</v>
      </c>
      <c r="AN306" s="89">
        <v>0</v>
      </c>
      <c r="AO306" s="52">
        <v>0</v>
      </c>
      <c r="AP306" s="48">
        <v>0</v>
      </c>
      <c r="AQ306" s="88">
        <v>0</v>
      </c>
      <c r="AR306" s="52">
        <v>0</v>
      </c>
      <c r="AS306" s="52"/>
      <c r="AT306" s="78"/>
      <c r="AU306" s="52">
        <v>0</v>
      </c>
      <c r="AV306" s="48"/>
      <c r="AW306" s="52"/>
      <c r="AX306" s="52">
        <v>0</v>
      </c>
      <c r="AY306" s="87"/>
      <c r="AZ306" s="52">
        <v>0</v>
      </c>
      <c r="BA306" s="52">
        <v>0</v>
      </c>
      <c r="BB306" s="48"/>
      <c r="BC306" s="45">
        <v>0</v>
      </c>
      <c r="BD306" s="45">
        <v>0</v>
      </c>
      <c r="BE306" s="45">
        <v>0</v>
      </c>
      <c r="BF306" s="45">
        <v>0</v>
      </c>
      <c r="BG306" s="45"/>
      <c r="BH306" s="46"/>
      <c r="BI306" s="45">
        <v>0</v>
      </c>
      <c r="BJ306" s="45">
        <v>0</v>
      </c>
      <c r="BK306" s="45"/>
      <c r="BL306" s="45"/>
      <c r="BM306" s="45">
        <v>0</v>
      </c>
      <c r="BN306" s="45"/>
      <c r="BO306" s="45"/>
      <c r="BP306" s="46"/>
      <c r="BQ306" s="87"/>
      <c r="BR306" s="52">
        <v>0</v>
      </c>
      <c r="BS306" s="52">
        <v>0</v>
      </c>
    </row>
    <row r="307" spans="1:71" ht="12" customHeight="1" x14ac:dyDescent="0.2">
      <c r="B307" s="56" t="s">
        <v>64</v>
      </c>
      <c r="C307" s="45"/>
      <c r="D307" s="45">
        <v>0</v>
      </c>
      <c r="E307" s="52">
        <v>0</v>
      </c>
      <c r="F307" s="52">
        <v>0</v>
      </c>
      <c r="G307" s="48"/>
      <c r="H307" s="45">
        <v>0</v>
      </c>
      <c r="I307" s="45">
        <v>0</v>
      </c>
      <c r="J307" s="45">
        <v>0</v>
      </c>
      <c r="K307" s="45"/>
      <c r="L307" s="45"/>
      <c r="M307" s="52">
        <v>0</v>
      </c>
      <c r="N307" s="52">
        <v>0</v>
      </c>
      <c r="O307" s="83">
        <v>0</v>
      </c>
      <c r="P307" s="83"/>
      <c r="Q307" s="52"/>
      <c r="R307" s="52">
        <v>0</v>
      </c>
      <c r="S307" s="61">
        <v>0</v>
      </c>
      <c r="T307" s="47"/>
      <c r="U307" s="45"/>
      <c r="V307" s="45"/>
      <c r="W307" s="45"/>
      <c r="X307" s="45"/>
      <c r="Y307" s="45">
        <v>0</v>
      </c>
      <c r="Z307" s="45">
        <v>0</v>
      </c>
      <c r="AA307" s="45"/>
      <c r="AB307" s="45"/>
      <c r="AC307" s="45"/>
      <c r="AD307" s="52"/>
      <c r="AE307" s="52">
        <v>0</v>
      </c>
      <c r="AF307" s="48">
        <v>0</v>
      </c>
      <c r="AG307" s="52">
        <v>0</v>
      </c>
      <c r="AH307" s="52">
        <v>0</v>
      </c>
      <c r="AI307" s="48"/>
      <c r="AJ307" s="48">
        <v>0</v>
      </c>
      <c r="AK307" s="52">
        <v>0</v>
      </c>
      <c r="AL307" s="52">
        <v>0</v>
      </c>
      <c r="AM307" s="48">
        <v>0</v>
      </c>
      <c r="AN307" s="89">
        <v>0</v>
      </c>
      <c r="AO307" s="52">
        <v>0</v>
      </c>
      <c r="AP307" s="48">
        <v>0</v>
      </c>
      <c r="AQ307" s="88">
        <v>0</v>
      </c>
      <c r="AR307" s="52">
        <v>0</v>
      </c>
      <c r="AS307" s="52"/>
      <c r="AT307" s="78"/>
      <c r="AU307" s="52">
        <v>0</v>
      </c>
      <c r="AV307" s="48"/>
      <c r="AW307" s="52"/>
      <c r="AX307" s="52">
        <v>0</v>
      </c>
      <c r="AY307" s="87"/>
      <c r="AZ307" s="52">
        <v>0</v>
      </c>
      <c r="BA307" s="52">
        <v>0</v>
      </c>
      <c r="BB307" s="48"/>
      <c r="BC307" s="45">
        <v>0</v>
      </c>
      <c r="BD307" s="45">
        <v>0</v>
      </c>
      <c r="BE307" s="45">
        <v>0</v>
      </c>
      <c r="BF307" s="45">
        <v>0</v>
      </c>
      <c r="BG307" s="45"/>
      <c r="BH307" s="46"/>
      <c r="BI307" s="45">
        <v>0</v>
      </c>
      <c r="BJ307" s="45">
        <v>0</v>
      </c>
      <c r="BK307" s="45"/>
      <c r="BL307" s="45"/>
      <c r="BM307" s="45">
        <v>0</v>
      </c>
      <c r="BN307" s="45"/>
      <c r="BO307" s="45"/>
      <c r="BP307" s="46"/>
      <c r="BQ307" s="87"/>
      <c r="BR307" s="52">
        <v>0</v>
      </c>
      <c r="BS307" s="52">
        <v>0</v>
      </c>
    </row>
    <row r="308" spans="1:71" ht="12" customHeight="1" x14ac:dyDescent="0.2">
      <c r="B308" s="56" t="s">
        <v>64</v>
      </c>
      <c r="C308" s="45"/>
      <c r="D308" s="45">
        <v>0</v>
      </c>
      <c r="E308" s="52">
        <v>0</v>
      </c>
      <c r="F308" s="52">
        <v>0</v>
      </c>
      <c r="G308" s="48"/>
      <c r="H308" s="45">
        <v>0</v>
      </c>
      <c r="I308" s="45">
        <v>0</v>
      </c>
      <c r="J308" s="45">
        <v>0</v>
      </c>
      <c r="K308" s="45"/>
      <c r="L308" s="45"/>
      <c r="M308" s="52">
        <v>0</v>
      </c>
      <c r="N308" s="52">
        <v>0</v>
      </c>
      <c r="O308" s="83">
        <v>0</v>
      </c>
      <c r="P308" s="83"/>
      <c r="Q308" s="52"/>
      <c r="R308" s="52">
        <v>0</v>
      </c>
      <c r="S308" s="61">
        <v>0</v>
      </c>
      <c r="T308" s="47"/>
      <c r="U308" s="45"/>
      <c r="V308" s="45"/>
      <c r="W308" s="45"/>
      <c r="X308" s="45"/>
      <c r="Y308" s="45">
        <v>0</v>
      </c>
      <c r="Z308" s="45">
        <v>0</v>
      </c>
      <c r="AA308" s="45"/>
      <c r="AB308" s="45"/>
      <c r="AC308" s="45"/>
      <c r="AD308" s="52"/>
      <c r="AE308" s="52">
        <v>0</v>
      </c>
      <c r="AF308" s="48">
        <v>0</v>
      </c>
      <c r="AG308" s="52">
        <v>0</v>
      </c>
      <c r="AH308" s="52">
        <v>0</v>
      </c>
      <c r="AI308" s="48"/>
      <c r="AJ308" s="48">
        <v>0</v>
      </c>
      <c r="AK308" s="52">
        <v>0</v>
      </c>
      <c r="AL308" s="52">
        <v>0</v>
      </c>
      <c r="AM308" s="48">
        <v>0</v>
      </c>
      <c r="AN308" s="89">
        <v>0</v>
      </c>
      <c r="AO308" s="52">
        <v>0</v>
      </c>
      <c r="AP308" s="48">
        <v>0</v>
      </c>
      <c r="AQ308" s="88">
        <v>0</v>
      </c>
      <c r="AR308" s="52">
        <v>0</v>
      </c>
      <c r="AS308" s="52"/>
      <c r="AT308" s="78"/>
      <c r="AU308" s="52">
        <v>0</v>
      </c>
      <c r="AV308" s="48"/>
      <c r="AW308" s="52"/>
      <c r="AX308" s="52">
        <v>0</v>
      </c>
      <c r="AY308" s="87"/>
      <c r="AZ308" s="52">
        <v>0</v>
      </c>
      <c r="BA308" s="52">
        <v>0</v>
      </c>
      <c r="BB308" s="48"/>
      <c r="BC308" s="45">
        <v>0</v>
      </c>
      <c r="BD308" s="45">
        <v>0</v>
      </c>
      <c r="BE308" s="45">
        <v>0</v>
      </c>
      <c r="BF308" s="45">
        <v>0</v>
      </c>
      <c r="BG308" s="45"/>
      <c r="BH308" s="46"/>
      <c r="BI308" s="45">
        <v>0</v>
      </c>
      <c r="BJ308" s="45">
        <v>0</v>
      </c>
      <c r="BK308" s="45"/>
      <c r="BL308" s="45"/>
      <c r="BM308" s="45">
        <v>0</v>
      </c>
      <c r="BN308" s="45"/>
      <c r="BO308" s="45"/>
      <c r="BP308" s="46"/>
      <c r="BQ308" s="87"/>
      <c r="BR308" s="52">
        <v>0</v>
      </c>
      <c r="BS308" s="52">
        <v>0</v>
      </c>
    </row>
    <row r="309" spans="1:71" ht="12" customHeight="1" x14ac:dyDescent="0.2">
      <c r="B309" s="56" t="s">
        <v>64</v>
      </c>
      <c r="C309" s="45"/>
      <c r="D309" s="45">
        <v>0</v>
      </c>
      <c r="E309" s="52">
        <v>0</v>
      </c>
      <c r="F309" s="52">
        <v>0</v>
      </c>
      <c r="G309" s="48"/>
      <c r="H309" s="45">
        <v>0</v>
      </c>
      <c r="I309" s="45">
        <v>0</v>
      </c>
      <c r="J309" s="45">
        <v>0</v>
      </c>
      <c r="K309" s="45"/>
      <c r="L309" s="45"/>
      <c r="M309" s="52">
        <v>0</v>
      </c>
      <c r="N309" s="52">
        <v>0</v>
      </c>
      <c r="O309" s="83">
        <v>0</v>
      </c>
      <c r="P309" s="83"/>
      <c r="Q309" s="52"/>
      <c r="R309" s="52">
        <v>0</v>
      </c>
      <c r="S309" s="61">
        <v>0</v>
      </c>
      <c r="T309" s="47"/>
      <c r="U309" s="45"/>
      <c r="V309" s="45"/>
      <c r="W309" s="45"/>
      <c r="X309" s="45"/>
      <c r="Y309" s="45">
        <v>0</v>
      </c>
      <c r="Z309" s="45">
        <v>0</v>
      </c>
      <c r="AA309" s="45"/>
      <c r="AB309" s="45"/>
      <c r="AC309" s="45"/>
      <c r="AD309" s="52"/>
      <c r="AE309" s="52">
        <v>0</v>
      </c>
      <c r="AF309" s="48">
        <v>0</v>
      </c>
      <c r="AG309" s="52">
        <v>0</v>
      </c>
      <c r="AH309" s="52">
        <v>0</v>
      </c>
      <c r="AI309" s="48"/>
      <c r="AJ309" s="48">
        <v>0</v>
      </c>
      <c r="AK309" s="52">
        <v>0</v>
      </c>
      <c r="AL309" s="52">
        <v>0</v>
      </c>
      <c r="AM309" s="48">
        <v>0</v>
      </c>
      <c r="AN309" s="89">
        <v>0</v>
      </c>
      <c r="AO309" s="52">
        <v>0</v>
      </c>
      <c r="AP309" s="48">
        <v>0</v>
      </c>
      <c r="AQ309" s="88">
        <v>0</v>
      </c>
      <c r="AR309" s="52">
        <v>0</v>
      </c>
      <c r="AS309" s="52"/>
      <c r="AT309" s="78"/>
      <c r="AU309" s="52">
        <v>0</v>
      </c>
      <c r="AV309" s="48"/>
      <c r="AW309" s="52"/>
      <c r="AX309" s="52">
        <v>0</v>
      </c>
      <c r="AY309" s="87"/>
      <c r="AZ309" s="52">
        <v>0</v>
      </c>
      <c r="BA309" s="52">
        <v>0</v>
      </c>
      <c r="BB309" s="48"/>
      <c r="BC309" s="45">
        <v>0</v>
      </c>
      <c r="BD309" s="45">
        <v>0</v>
      </c>
      <c r="BE309" s="45">
        <v>0</v>
      </c>
      <c r="BF309" s="45">
        <v>0</v>
      </c>
      <c r="BG309" s="45"/>
      <c r="BH309" s="46"/>
      <c r="BI309" s="45">
        <v>0</v>
      </c>
      <c r="BJ309" s="45">
        <v>0</v>
      </c>
      <c r="BK309" s="45"/>
      <c r="BL309" s="45"/>
      <c r="BM309" s="45">
        <v>0</v>
      </c>
      <c r="BN309" s="45"/>
      <c r="BO309" s="45"/>
      <c r="BP309" s="46"/>
      <c r="BQ309" s="87"/>
      <c r="BR309" s="52">
        <v>0</v>
      </c>
      <c r="BS309" s="52">
        <v>0</v>
      </c>
    </row>
    <row r="310" spans="1:71" ht="12" customHeight="1" x14ac:dyDescent="0.2">
      <c r="B310" s="56" t="s">
        <v>64</v>
      </c>
      <c r="C310" s="45"/>
      <c r="D310" s="45">
        <v>0</v>
      </c>
      <c r="E310" s="52">
        <v>0</v>
      </c>
      <c r="F310" s="52">
        <v>0</v>
      </c>
      <c r="G310" s="48"/>
      <c r="H310" s="45">
        <v>0</v>
      </c>
      <c r="I310" s="45">
        <v>0</v>
      </c>
      <c r="J310" s="45">
        <v>0</v>
      </c>
      <c r="K310" s="45"/>
      <c r="L310" s="45"/>
      <c r="M310" s="52">
        <v>0</v>
      </c>
      <c r="N310" s="52">
        <v>0</v>
      </c>
      <c r="O310" s="83">
        <v>0</v>
      </c>
      <c r="P310" s="83"/>
      <c r="Q310" s="52"/>
      <c r="R310" s="52">
        <v>0</v>
      </c>
      <c r="S310" s="61">
        <v>0</v>
      </c>
      <c r="T310" s="47"/>
      <c r="U310" s="45"/>
      <c r="V310" s="45"/>
      <c r="W310" s="45"/>
      <c r="X310" s="45"/>
      <c r="Y310" s="45">
        <v>0</v>
      </c>
      <c r="Z310" s="45">
        <v>0</v>
      </c>
      <c r="AA310" s="45"/>
      <c r="AB310" s="45"/>
      <c r="AC310" s="45"/>
      <c r="AD310" s="52"/>
      <c r="AE310" s="52">
        <v>0</v>
      </c>
      <c r="AF310" s="48">
        <v>0</v>
      </c>
      <c r="AG310" s="52">
        <v>0</v>
      </c>
      <c r="AH310" s="52">
        <v>0</v>
      </c>
      <c r="AI310" s="48"/>
      <c r="AJ310" s="48">
        <v>0</v>
      </c>
      <c r="AK310" s="52">
        <v>0</v>
      </c>
      <c r="AL310" s="52">
        <v>0</v>
      </c>
      <c r="AM310" s="48">
        <v>0</v>
      </c>
      <c r="AN310" s="89">
        <v>0</v>
      </c>
      <c r="AO310" s="52">
        <v>0</v>
      </c>
      <c r="AP310" s="48">
        <v>0</v>
      </c>
      <c r="AQ310" s="88">
        <v>0</v>
      </c>
      <c r="AR310" s="52">
        <v>0</v>
      </c>
      <c r="AS310" s="52"/>
      <c r="AT310" s="78"/>
      <c r="AU310" s="52">
        <v>0</v>
      </c>
      <c r="AV310" s="48"/>
      <c r="AW310" s="52"/>
      <c r="AX310" s="52">
        <v>0</v>
      </c>
      <c r="AY310" s="87"/>
      <c r="AZ310" s="52">
        <v>0</v>
      </c>
      <c r="BA310" s="52">
        <v>0</v>
      </c>
      <c r="BB310" s="48"/>
      <c r="BC310" s="45">
        <v>0</v>
      </c>
      <c r="BD310" s="45">
        <v>0</v>
      </c>
      <c r="BE310" s="45">
        <v>0</v>
      </c>
      <c r="BF310" s="45">
        <v>0</v>
      </c>
      <c r="BG310" s="45"/>
      <c r="BH310" s="46"/>
      <c r="BI310" s="45">
        <v>0</v>
      </c>
      <c r="BJ310" s="45">
        <v>0</v>
      </c>
      <c r="BK310" s="45"/>
      <c r="BL310" s="45"/>
      <c r="BM310" s="45">
        <v>0</v>
      </c>
      <c r="BN310" s="45"/>
      <c r="BO310" s="45"/>
      <c r="BP310" s="46"/>
      <c r="BQ310" s="87"/>
      <c r="BR310" s="52">
        <v>0</v>
      </c>
      <c r="BS310" s="52">
        <v>0</v>
      </c>
    </row>
    <row r="311" spans="1:71" ht="12" customHeight="1" x14ac:dyDescent="0.2">
      <c r="B311" s="56" t="s">
        <v>64</v>
      </c>
      <c r="C311" s="45"/>
      <c r="D311" s="45">
        <v>0</v>
      </c>
      <c r="E311" s="52">
        <v>0</v>
      </c>
      <c r="F311" s="52">
        <v>0</v>
      </c>
      <c r="G311" s="48"/>
      <c r="H311" s="45">
        <v>0</v>
      </c>
      <c r="I311" s="45">
        <v>0</v>
      </c>
      <c r="J311" s="45">
        <v>0</v>
      </c>
      <c r="K311" s="45"/>
      <c r="L311" s="45"/>
      <c r="M311" s="52">
        <v>0</v>
      </c>
      <c r="N311" s="52">
        <v>0</v>
      </c>
      <c r="O311" s="83">
        <v>0</v>
      </c>
      <c r="P311" s="83"/>
      <c r="Q311" s="52"/>
      <c r="R311" s="52">
        <v>0</v>
      </c>
      <c r="S311" s="61">
        <v>0</v>
      </c>
      <c r="T311" s="47"/>
      <c r="U311" s="45"/>
      <c r="V311" s="45"/>
      <c r="W311" s="45"/>
      <c r="X311" s="45"/>
      <c r="Y311" s="45">
        <v>0</v>
      </c>
      <c r="Z311" s="45">
        <v>0</v>
      </c>
      <c r="AA311" s="45"/>
      <c r="AB311" s="45"/>
      <c r="AC311" s="45"/>
      <c r="AD311" s="52"/>
      <c r="AE311" s="52">
        <v>0</v>
      </c>
      <c r="AF311" s="48">
        <v>0</v>
      </c>
      <c r="AG311" s="52">
        <v>0</v>
      </c>
      <c r="AH311" s="52">
        <v>0</v>
      </c>
      <c r="AI311" s="48"/>
      <c r="AJ311" s="48">
        <v>0</v>
      </c>
      <c r="AK311" s="52">
        <v>0</v>
      </c>
      <c r="AL311" s="52">
        <v>0</v>
      </c>
      <c r="AM311" s="48">
        <v>0</v>
      </c>
      <c r="AN311" s="89">
        <v>0</v>
      </c>
      <c r="AO311" s="52">
        <v>0</v>
      </c>
      <c r="AP311" s="48">
        <v>0</v>
      </c>
      <c r="AQ311" s="88">
        <v>0</v>
      </c>
      <c r="AR311" s="52">
        <v>0</v>
      </c>
      <c r="AS311" s="52"/>
      <c r="AT311" s="78"/>
      <c r="AU311" s="52">
        <v>0</v>
      </c>
      <c r="AV311" s="48"/>
      <c r="AW311" s="52"/>
      <c r="AX311" s="52">
        <v>0</v>
      </c>
      <c r="AY311" s="87"/>
      <c r="AZ311" s="52">
        <v>0</v>
      </c>
      <c r="BA311" s="52">
        <v>0</v>
      </c>
      <c r="BB311" s="48"/>
      <c r="BC311" s="45">
        <v>0</v>
      </c>
      <c r="BD311" s="45">
        <v>0</v>
      </c>
      <c r="BE311" s="45">
        <v>0</v>
      </c>
      <c r="BF311" s="45">
        <v>0</v>
      </c>
      <c r="BG311" s="45"/>
      <c r="BH311" s="46"/>
      <c r="BI311" s="45">
        <v>0</v>
      </c>
      <c r="BJ311" s="45">
        <v>0</v>
      </c>
      <c r="BK311" s="45"/>
      <c r="BL311" s="45"/>
      <c r="BM311" s="45">
        <v>0</v>
      </c>
      <c r="BN311" s="45"/>
      <c r="BO311" s="45"/>
      <c r="BP311" s="46"/>
      <c r="BQ311" s="87"/>
      <c r="BR311" s="52">
        <v>0</v>
      </c>
      <c r="BS311" s="52">
        <v>0</v>
      </c>
    </row>
    <row r="312" spans="1:71" ht="12" customHeight="1" x14ac:dyDescent="0.2">
      <c r="B312" s="56" t="s">
        <v>64</v>
      </c>
      <c r="C312" s="45"/>
      <c r="D312" s="45">
        <v>0</v>
      </c>
      <c r="E312" s="52">
        <v>0</v>
      </c>
      <c r="F312" s="52">
        <v>0</v>
      </c>
      <c r="G312" s="48"/>
      <c r="H312" s="45">
        <v>0</v>
      </c>
      <c r="I312" s="45">
        <v>0</v>
      </c>
      <c r="J312" s="45">
        <v>0</v>
      </c>
      <c r="K312" s="45"/>
      <c r="L312" s="45"/>
      <c r="M312" s="52">
        <v>0</v>
      </c>
      <c r="N312" s="52">
        <v>0</v>
      </c>
      <c r="O312" s="83">
        <v>0</v>
      </c>
      <c r="P312" s="83"/>
      <c r="Q312" s="52"/>
      <c r="R312" s="52">
        <v>0</v>
      </c>
      <c r="S312" s="61">
        <v>0</v>
      </c>
      <c r="T312" s="47"/>
      <c r="U312" s="45"/>
      <c r="V312" s="45"/>
      <c r="W312" s="45"/>
      <c r="X312" s="45"/>
      <c r="Y312" s="45">
        <v>0</v>
      </c>
      <c r="Z312" s="45">
        <v>0</v>
      </c>
      <c r="AA312" s="45"/>
      <c r="AB312" s="45"/>
      <c r="AC312" s="45"/>
      <c r="AD312" s="52"/>
      <c r="AE312" s="52">
        <v>0</v>
      </c>
      <c r="AF312" s="48">
        <v>0</v>
      </c>
      <c r="AG312" s="52">
        <v>0</v>
      </c>
      <c r="AH312" s="52">
        <v>0</v>
      </c>
      <c r="AI312" s="48"/>
      <c r="AJ312" s="48">
        <v>0</v>
      </c>
      <c r="AK312" s="52">
        <v>0</v>
      </c>
      <c r="AL312" s="52">
        <v>0</v>
      </c>
      <c r="AM312" s="48">
        <v>0</v>
      </c>
      <c r="AN312" s="89">
        <v>0</v>
      </c>
      <c r="AO312" s="52">
        <v>0</v>
      </c>
      <c r="AP312" s="48">
        <v>0</v>
      </c>
      <c r="AQ312" s="88">
        <v>0</v>
      </c>
      <c r="AR312" s="52">
        <v>0</v>
      </c>
      <c r="AS312" s="52"/>
      <c r="AT312" s="78"/>
      <c r="AU312" s="52">
        <v>0</v>
      </c>
      <c r="AV312" s="48"/>
      <c r="AW312" s="52"/>
      <c r="AX312" s="52">
        <v>0</v>
      </c>
      <c r="AY312" s="87"/>
      <c r="AZ312" s="52">
        <v>0</v>
      </c>
      <c r="BA312" s="52">
        <v>0</v>
      </c>
      <c r="BB312" s="48"/>
      <c r="BC312" s="45">
        <v>0</v>
      </c>
      <c r="BD312" s="45">
        <v>0</v>
      </c>
      <c r="BE312" s="45">
        <v>0</v>
      </c>
      <c r="BF312" s="45">
        <v>0</v>
      </c>
      <c r="BG312" s="45"/>
      <c r="BH312" s="46"/>
      <c r="BI312" s="45">
        <v>0</v>
      </c>
      <c r="BJ312" s="45">
        <v>0</v>
      </c>
      <c r="BK312" s="45"/>
      <c r="BL312" s="45"/>
      <c r="BM312" s="45">
        <v>0</v>
      </c>
      <c r="BN312" s="45"/>
      <c r="BO312" s="45"/>
      <c r="BP312" s="46"/>
      <c r="BQ312" s="87"/>
      <c r="BR312" s="52">
        <v>0</v>
      </c>
      <c r="BS312" s="52">
        <v>0</v>
      </c>
    </row>
    <row r="313" spans="1:71" ht="12" customHeight="1" x14ac:dyDescent="0.2">
      <c r="B313" s="56" t="s">
        <v>64</v>
      </c>
      <c r="C313" s="45"/>
      <c r="D313" s="45">
        <v>0</v>
      </c>
      <c r="E313" s="52">
        <v>0</v>
      </c>
      <c r="F313" s="52">
        <v>0</v>
      </c>
      <c r="G313" s="48"/>
      <c r="H313" s="45">
        <v>0</v>
      </c>
      <c r="I313" s="45">
        <v>0</v>
      </c>
      <c r="J313" s="45">
        <v>0</v>
      </c>
      <c r="K313" s="45"/>
      <c r="L313" s="45"/>
      <c r="M313" s="52">
        <v>0</v>
      </c>
      <c r="N313" s="52">
        <v>0</v>
      </c>
      <c r="O313" s="83">
        <v>0</v>
      </c>
      <c r="P313" s="83"/>
      <c r="Q313" s="52"/>
      <c r="R313" s="52">
        <v>0</v>
      </c>
      <c r="S313" s="61">
        <v>0</v>
      </c>
      <c r="T313" s="47"/>
      <c r="U313" s="45"/>
      <c r="V313" s="45"/>
      <c r="W313" s="45"/>
      <c r="X313" s="45"/>
      <c r="Y313" s="45">
        <v>0</v>
      </c>
      <c r="Z313" s="45">
        <v>0</v>
      </c>
      <c r="AA313" s="45"/>
      <c r="AB313" s="45"/>
      <c r="AC313" s="45"/>
      <c r="AD313" s="52"/>
      <c r="AE313" s="52">
        <v>0</v>
      </c>
      <c r="AF313" s="48">
        <v>0</v>
      </c>
      <c r="AG313" s="52">
        <v>0</v>
      </c>
      <c r="AH313" s="52">
        <v>0</v>
      </c>
      <c r="AI313" s="48"/>
      <c r="AJ313" s="48">
        <v>0</v>
      </c>
      <c r="AK313" s="52">
        <v>0</v>
      </c>
      <c r="AL313" s="52">
        <v>0</v>
      </c>
      <c r="AM313" s="48">
        <v>0</v>
      </c>
      <c r="AN313" s="89">
        <v>0</v>
      </c>
      <c r="AO313" s="52">
        <v>0</v>
      </c>
      <c r="AP313" s="48">
        <v>0</v>
      </c>
      <c r="AQ313" s="88">
        <v>0</v>
      </c>
      <c r="AR313" s="52">
        <v>0</v>
      </c>
      <c r="AS313" s="52"/>
      <c r="AT313" s="78"/>
      <c r="AU313" s="52">
        <v>0</v>
      </c>
      <c r="AV313" s="48"/>
      <c r="AW313" s="52"/>
      <c r="AX313" s="52">
        <v>0</v>
      </c>
      <c r="AY313" s="87"/>
      <c r="AZ313" s="52">
        <v>0</v>
      </c>
      <c r="BA313" s="52">
        <v>0</v>
      </c>
      <c r="BB313" s="48"/>
      <c r="BC313" s="45">
        <v>0</v>
      </c>
      <c r="BD313" s="45">
        <v>0</v>
      </c>
      <c r="BE313" s="45">
        <v>0</v>
      </c>
      <c r="BF313" s="45">
        <v>0</v>
      </c>
      <c r="BG313" s="45"/>
      <c r="BH313" s="46"/>
      <c r="BI313" s="45">
        <v>0</v>
      </c>
      <c r="BJ313" s="45">
        <v>0</v>
      </c>
      <c r="BK313" s="45"/>
      <c r="BL313" s="45"/>
      <c r="BM313" s="45">
        <v>0</v>
      </c>
      <c r="BN313" s="45"/>
      <c r="BO313" s="45"/>
      <c r="BP313" s="46"/>
      <c r="BQ313" s="87"/>
      <c r="BR313" s="52">
        <v>0</v>
      </c>
      <c r="BS313" s="52">
        <v>0</v>
      </c>
    </row>
    <row r="314" spans="1:71" ht="12" customHeight="1" x14ac:dyDescent="0.2">
      <c r="B314" s="56" t="s">
        <v>64</v>
      </c>
      <c r="C314" s="45"/>
      <c r="D314" s="45">
        <v>0</v>
      </c>
      <c r="E314" s="52">
        <v>0</v>
      </c>
      <c r="F314" s="52">
        <v>0</v>
      </c>
      <c r="G314" s="48"/>
      <c r="H314" s="45">
        <v>0</v>
      </c>
      <c r="I314" s="45">
        <v>0</v>
      </c>
      <c r="J314" s="45">
        <v>0</v>
      </c>
      <c r="K314" s="45"/>
      <c r="L314" s="45"/>
      <c r="M314" s="52">
        <v>0</v>
      </c>
      <c r="N314" s="52">
        <v>0</v>
      </c>
      <c r="O314" s="83">
        <v>0</v>
      </c>
      <c r="P314" s="83"/>
      <c r="Q314" s="52"/>
      <c r="R314" s="52">
        <v>0</v>
      </c>
      <c r="S314" s="61">
        <v>0</v>
      </c>
      <c r="T314" s="47"/>
      <c r="U314" s="45"/>
      <c r="V314" s="45"/>
      <c r="W314" s="45"/>
      <c r="X314" s="45"/>
      <c r="Y314" s="45">
        <v>0</v>
      </c>
      <c r="Z314" s="45">
        <v>0</v>
      </c>
      <c r="AA314" s="45"/>
      <c r="AB314" s="45"/>
      <c r="AC314" s="45"/>
      <c r="AD314" s="52"/>
      <c r="AE314" s="52">
        <v>0</v>
      </c>
      <c r="AF314" s="48">
        <v>0</v>
      </c>
      <c r="AG314" s="52">
        <v>0</v>
      </c>
      <c r="AH314" s="52">
        <v>0</v>
      </c>
      <c r="AI314" s="48"/>
      <c r="AJ314" s="48">
        <v>0</v>
      </c>
      <c r="AK314" s="52">
        <v>0</v>
      </c>
      <c r="AL314" s="52">
        <v>0</v>
      </c>
      <c r="AM314" s="48">
        <v>0</v>
      </c>
      <c r="AN314" s="89">
        <v>0</v>
      </c>
      <c r="AO314" s="52">
        <v>0</v>
      </c>
      <c r="AP314" s="48">
        <v>0</v>
      </c>
      <c r="AQ314" s="88">
        <v>0</v>
      </c>
      <c r="AR314" s="52">
        <v>0</v>
      </c>
      <c r="AS314" s="52"/>
      <c r="AT314" s="78"/>
      <c r="AU314" s="52">
        <v>0</v>
      </c>
      <c r="AV314" s="48"/>
      <c r="AW314" s="52"/>
      <c r="AX314" s="52">
        <v>0</v>
      </c>
      <c r="AY314" s="87"/>
      <c r="AZ314" s="52">
        <v>0</v>
      </c>
      <c r="BA314" s="52">
        <v>0</v>
      </c>
      <c r="BB314" s="48"/>
      <c r="BC314" s="45">
        <v>0</v>
      </c>
      <c r="BD314" s="45">
        <v>0</v>
      </c>
      <c r="BE314" s="45">
        <v>0</v>
      </c>
      <c r="BF314" s="45">
        <v>0</v>
      </c>
      <c r="BG314" s="45"/>
      <c r="BH314" s="46"/>
      <c r="BI314" s="45">
        <v>0</v>
      </c>
      <c r="BJ314" s="45">
        <v>0</v>
      </c>
      <c r="BK314" s="45"/>
      <c r="BL314" s="45"/>
      <c r="BM314" s="45">
        <v>0</v>
      </c>
      <c r="BN314" s="45"/>
      <c r="BO314" s="45"/>
      <c r="BP314" s="46"/>
      <c r="BQ314" s="87"/>
      <c r="BR314" s="52">
        <v>0</v>
      </c>
      <c r="BS314" s="52">
        <v>0</v>
      </c>
    </row>
    <row r="315" spans="1:71" ht="12" customHeight="1" x14ac:dyDescent="0.2">
      <c r="B315" s="56" t="s">
        <v>64</v>
      </c>
      <c r="C315" s="45"/>
      <c r="D315" s="45">
        <v>0</v>
      </c>
      <c r="E315" s="52">
        <v>0</v>
      </c>
      <c r="F315" s="52">
        <v>0</v>
      </c>
      <c r="G315" s="48"/>
      <c r="H315" s="45">
        <v>0</v>
      </c>
      <c r="I315" s="45">
        <v>0</v>
      </c>
      <c r="J315" s="45">
        <v>0</v>
      </c>
      <c r="K315" s="45"/>
      <c r="L315" s="45"/>
      <c r="M315" s="52">
        <v>0</v>
      </c>
      <c r="N315" s="52">
        <v>0</v>
      </c>
      <c r="O315" s="83">
        <v>0</v>
      </c>
      <c r="P315" s="83"/>
      <c r="Q315" s="52"/>
      <c r="R315" s="52">
        <v>0</v>
      </c>
      <c r="S315" s="61">
        <v>0</v>
      </c>
      <c r="T315" s="47"/>
      <c r="U315" s="45"/>
      <c r="V315" s="45"/>
      <c r="W315" s="45"/>
      <c r="X315" s="45"/>
      <c r="Y315" s="45">
        <v>0</v>
      </c>
      <c r="Z315" s="45">
        <v>0</v>
      </c>
      <c r="AA315" s="45"/>
      <c r="AB315" s="45"/>
      <c r="AC315" s="45"/>
      <c r="AD315" s="52"/>
      <c r="AE315" s="52">
        <v>0</v>
      </c>
      <c r="AF315" s="48">
        <v>0</v>
      </c>
      <c r="AG315" s="52">
        <v>0</v>
      </c>
      <c r="AH315" s="52">
        <v>0</v>
      </c>
      <c r="AI315" s="48"/>
      <c r="AJ315" s="48">
        <v>0</v>
      </c>
      <c r="AK315" s="52">
        <v>0</v>
      </c>
      <c r="AL315" s="52">
        <v>0</v>
      </c>
      <c r="AM315" s="48">
        <v>0</v>
      </c>
      <c r="AN315" s="89">
        <v>0</v>
      </c>
      <c r="AO315" s="52">
        <v>0</v>
      </c>
      <c r="AP315" s="48">
        <v>0</v>
      </c>
      <c r="AQ315" s="88">
        <v>0</v>
      </c>
      <c r="AR315" s="52">
        <v>0</v>
      </c>
      <c r="AS315" s="52"/>
      <c r="AT315" s="78"/>
      <c r="AU315" s="52">
        <v>0</v>
      </c>
      <c r="AV315" s="48"/>
      <c r="AW315" s="52"/>
      <c r="AX315" s="52">
        <v>0</v>
      </c>
      <c r="AY315" s="87"/>
      <c r="AZ315" s="52">
        <v>0</v>
      </c>
      <c r="BA315" s="52">
        <v>0</v>
      </c>
      <c r="BB315" s="48"/>
      <c r="BC315" s="45">
        <v>0</v>
      </c>
      <c r="BD315" s="45">
        <v>0</v>
      </c>
      <c r="BE315" s="45">
        <v>0</v>
      </c>
      <c r="BF315" s="45">
        <v>0</v>
      </c>
      <c r="BG315" s="45"/>
      <c r="BH315" s="46"/>
      <c r="BI315" s="45">
        <v>0</v>
      </c>
      <c r="BJ315" s="45">
        <v>0</v>
      </c>
      <c r="BK315" s="45"/>
      <c r="BL315" s="45"/>
      <c r="BM315" s="45">
        <v>0</v>
      </c>
      <c r="BN315" s="45"/>
      <c r="BO315" s="45"/>
      <c r="BP315" s="46"/>
      <c r="BQ315" s="87"/>
      <c r="BR315" s="52">
        <v>0</v>
      </c>
      <c r="BS315" s="52">
        <v>0</v>
      </c>
    </row>
    <row r="316" spans="1:71" ht="12" customHeight="1" x14ac:dyDescent="0.2">
      <c r="B316" s="56" t="s">
        <v>64</v>
      </c>
      <c r="C316" s="45"/>
      <c r="D316" s="45">
        <v>0</v>
      </c>
      <c r="E316" s="52">
        <v>0</v>
      </c>
      <c r="F316" s="52">
        <v>0</v>
      </c>
      <c r="G316" s="48"/>
      <c r="H316" s="45">
        <v>0</v>
      </c>
      <c r="I316" s="45">
        <v>0</v>
      </c>
      <c r="J316" s="45">
        <v>0</v>
      </c>
      <c r="K316" s="45"/>
      <c r="L316" s="45"/>
      <c r="M316" s="52">
        <v>0</v>
      </c>
      <c r="N316" s="52">
        <v>0</v>
      </c>
      <c r="O316" s="83">
        <v>0</v>
      </c>
      <c r="P316" s="83"/>
      <c r="Q316" s="52"/>
      <c r="R316" s="52">
        <v>0</v>
      </c>
      <c r="S316" s="61">
        <v>0</v>
      </c>
      <c r="T316" s="47"/>
      <c r="U316" s="45"/>
      <c r="V316" s="45"/>
      <c r="W316" s="45"/>
      <c r="X316" s="45"/>
      <c r="Y316" s="45">
        <v>0</v>
      </c>
      <c r="Z316" s="45">
        <v>0</v>
      </c>
      <c r="AA316" s="45"/>
      <c r="AB316" s="45"/>
      <c r="AC316" s="45"/>
      <c r="AD316" s="52"/>
      <c r="AE316" s="52">
        <v>0</v>
      </c>
      <c r="AF316" s="48">
        <v>0</v>
      </c>
      <c r="AG316" s="52">
        <v>0</v>
      </c>
      <c r="AH316" s="52">
        <v>0</v>
      </c>
      <c r="AI316" s="48"/>
      <c r="AJ316" s="48">
        <v>0</v>
      </c>
      <c r="AK316" s="52">
        <v>0</v>
      </c>
      <c r="AL316" s="52">
        <v>0</v>
      </c>
      <c r="AM316" s="48">
        <v>0</v>
      </c>
      <c r="AN316" s="89">
        <v>0</v>
      </c>
      <c r="AO316" s="52">
        <v>0</v>
      </c>
      <c r="AP316" s="48">
        <v>0</v>
      </c>
      <c r="AQ316" s="88">
        <v>0</v>
      </c>
      <c r="AR316" s="52">
        <v>0</v>
      </c>
      <c r="AS316" s="52"/>
      <c r="AT316" s="78"/>
      <c r="AU316" s="52">
        <v>0</v>
      </c>
      <c r="AV316" s="48"/>
      <c r="AW316" s="52"/>
      <c r="AX316" s="52">
        <v>0</v>
      </c>
      <c r="AY316" s="87"/>
      <c r="AZ316" s="52">
        <v>0</v>
      </c>
      <c r="BA316" s="52">
        <v>0</v>
      </c>
      <c r="BB316" s="48"/>
      <c r="BC316" s="45">
        <v>0</v>
      </c>
      <c r="BD316" s="45">
        <v>0</v>
      </c>
      <c r="BE316" s="45">
        <v>0</v>
      </c>
      <c r="BF316" s="45">
        <v>0</v>
      </c>
      <c r="BG316" s="45"/>
      <c r="BH316" s="46"/>
      <c r="BI316" s="45">
        <v>0</v>
      </c>
      <c r="BJ316" s="45">
        <v>0</v>
      </c>
      <c r="BK316" s="45"/>
      <c r="BL316" s="45"/>
      <c r="BM316" s="45">
        <v>0</v>
      </c>
      <c r="BN316" s="45"/>
      <c r="BO316" s="45"/>
      <c r="BP316" s="46"/>
      <c r="BQ316" s="87"/>
      <c r="BR316" s="52">
        <v>0</v>
      </c>
      <c r="BS316" s="52">
        <v>0</v>
      </c>
    </row>
    <row r="317" spans="1:71" ht="12" customHeight="1" x14ac:dyDescent="0.2">
      <c r="B317" s="56" t="s">
        <v>64</v>
      </c>
      <c r="C317" s="45"/>
      <c r="D317" s="45">
        <v>0</v>
      </c>
      <c r="E317" s="52">
        <v>0</v>
      </c>
      <c r="F317" s="52">
        <v>0</v>
      </c>
      <c r="G317" s="48"/>
      <c r="H317" s="45">
        <v>0</v>
      </c>
      <c r="I317" s="45">
        <v>0</v>
      </c>
      <c r="J317" s="45">
        <v>0</v>
      </c>
      <c r="K317" s="45"/>
      <c r="L317" s="45"/>
      <c r="M317" s="52">
        <v>0</v>
      </c>
      <c r="N317" s="52">
        <v>0</v>
      </c>
      <c r="O317" s="83">
        <v>0</v>
      </c>
      <c r="P317" s="83"/>
      <c r="Q317" s="52"/>
      <c r="R317" s="52">
        <v>0</v>
      </c>
      <c r="S317" s="61">
        <v>0</v>
      </c>
      <c r="T317" s="47"/>
      <c r="U317" s="45"/>
      <c r="V317" s="45"/>
      <c r="W317" s="45"/>
      <c r="X317" s="45"/>
      <c r="Y317" s="45">
        <v>0</v>
      </c>
      <c r="Z317" s="45">
        <v>0</v>
      </c>
      <c r="AA317" s="45"/>
      <c r="AB317" s="45"/>
      <c r="AC317" s="45"/>
      <c r="AD317" s="52"/>
      <c r="AE317" s="52">
        <v>0</v>
      </c>
      <c r="AF317" s="48">
        <v>0</v>
      </c>
      <c r="AG317" s="52">
        <v>0</v>
      </c>
      <c r="AH317" s="52">
        <v>0</v>
      </c>
      <c r="AI317" s="48"/>
      <c r="AJ317" s="48">
        <v>0</v>
      </c>
      <c r="AK317" s="52">
        <v>0</v>
      </c>
      <c r="AL317" s="52">
        <v>0</v>
      </c>
      <c r="AM317" s="48">
        <v>0</v>
      </c>
      <c r="AN317" s="89">
        <v>0</v>
      </c>
      <c r="AO317" s="52">
        <v>0</v>
      </c>
      <c r="AP317" s="48">
        <v>0</v>
      </c>
      <c r="AQ317" s="88">
        <v>0</v>
      </c>
      <c r="AR317" s="52">
        <v>0</v>
      </c>
      <c r="AS317" s="52"/>
      <c r="AT317" s="78"/>
      <c r="AU317" s="52">
        <v>0</v>
      </c>
      <c r="AV317" s="48"/>
      <c r="AW317" s="52"/>
      <c r="AX317" s="52">
        <v>0</v>
      </c>
      <c r="AY317" s="87"/>
      <c r="AZ317" s="52">
        <v>0</v>
      </c>
      <c r="BA317" s="52">
        <v>0</v>
      </c>
      <c r="BB317" s="48"/>
      <c r="BC317" s="45">
        <v>0</v>
      </c>
      <c r="BD317" s="45">
        <v>0</v>
      </c>
      <c r="BE317" s="45">
        <v>0</v>
      </c>
      <c r="BF317" s="45">
        <v>0</v>
      </c>
      <c r="BG317" s="45"/>
      <c r="BH317" s="46"/>
      <c r="BI317" s="45">
        <v>0</v>
      </c>
      <c r="BJ317" s="45">
        <v>0</v>
      </c>
      <c r="BK317" s="45"/>
      <c r="BL317" s="45"/>
      <c r="BM317" s="45">
        <v>0</v>
      </c>
      <c r="BN317" s="45"/>
      <c r="BO317" s="45"/>
      <c r="BP317" s="46"/>
      <c r="BQ317" s="87"/>
      <c r="BR317" s="52">
        <v>0</v>
      </c>
      <c r="BS317" s="52">
        <v>0</v>
      </c>
    </row>
    <row r="318" spans="1:71" ht="12" customHeight="1" x14ac:dyDescent="0.2">
      <c r="B318" s="56" t="s">
        <v>64</v>
      </c>
      <c r="C318" s="45"/>
      <c r="D318" s="45">
        <v>0</v>
      </c>
      <c r="E318" s="52">
        <v>0</v>
      </c>
      <c r="F318" s="52">
        <v>0</v>
      </c>
      <c r="G318" s="48"/>
      <c r="H318" s="45">
        <v>0</v>
      </c>
      <c r="I318" s="45">
        <v>0</v>
      </c>
      <c r="J318" s="45">
        <v>0</v>
      </c>
      <c r="K318" s="45"/>
      <c r="L318" s="45"/>
      <c r="M318" s="52">
        <v>0</v>
      </c>
      <c r="N318" s="52">
        <v>0</v>
      </c>
      <c r="O318" s="83">
        <v>0</v>
      </c>
      <c r="P318" s="83"/>
      <c r="Q318" s="52"/>
      <c r="R318" s="52">
        <v>0</v>
      </c>
      <c r="S318" s="61">
        <v>0</v>
      </c>
      <c r="T318" s="47"/>
      <c r="U318" s="45"/>
      <c r="V318" s="45"/>
      <c r="W318" s="45"/>
      <c r="X318" s="45"/>
      <c r="Y318" s="45">
        <v>0</v>
      </c>
      <c r="Z318" s="45">
        <v>0</v>
      </c>
      <c r="AA318" s="45"/>
      <c r="AB318" s="45"/>
      <c r="AC318" s="45"/>
      <c r="AD318" s="52"/>
      <c r="AE318" s="52">
        <v>0</v>
      </c>
      <c r="AF318" s="48">
        <v>0</v>
      </c>
      <c r="AG318" s="52">
        <v>0</v>
      </c>
      <c r="AH318" s="52">
        <v>0</v>
      </c>
      <c r="AI318" s="48"/>
      <c r="AJ318" s="48">
        <v>0</v>
      </c>
      <c r="AK318" s="52">
        <v>0</v>
      </c>
      <c r="AL318" s="52">
        <v>0</v>
      </c>
      <c r="AM318" s="48">
        <v>0</v>
      </c>
      <c r="AN318" s="89">
        <v>0</v>
      </c>
      <c r="AO318" s="52">
        <v>0</v>
      </c>
      <c r="AP318" s="48">
        <v>0</v>
      </c>
      <c r="AQ318" s="88">
        <v>0</v>
      </c>
      <c r="AR318" s="52">
        <v>0</v>
      </c>
      <c r="AS318" s="52"/>
      <c r="AT318" s="78"/>
      <c r="AU318" s="52">
        <v>0</v>
      </c>
      <c r="AV318" s="48"/>
      <c r="AW318" s="52"/>
      <c r="AX318" s="52">
        <v>0</v>
      </c>
      <c r="AY318" s="87"/>
      <c r="AZ318" s="52">
        <v>0</v>
      </c>
      <c r="BA318" s="52">
        <v>0</v>
      </c>
      <c r="BB318" s="48"/>
      <c r="BC318" s="45">
        <v>0</v>
      </c>
      <c r="BD318" s="45">
        <v>0</v>
      </c>
      <c r="BE318" s="45">
        <v>0</v>
      </c>
      <c r="BF318" s="45">
        <v>0</v>
      </c>
      <c r="BG318" s="45"/>
      <c r="BH318" s="46"/>
      <c r="BI318" s="45">
        <v>0</v>
      </c>
      <c r="BJ318" s="45">
        <v>0</v>
      </c>
      <c r="BK318" s="45"/>
      <c r="BL318" s="45"/>
      <c r="BM318" s="45">
        <v>0</v>
      </c>
      <c r="BN318" s="45"/>
      <c r="BO318" s="45"/>
      <c r="BP318" s="46"/>
      <c r="BQ318" s="87"/>
      <c r="BR318" s="52">
        <v>0</v>
      </c>
      <c r="BS318" s="52">
        <v>0</v>
      </c>
    </row>
    <row r="319" spans="1:71" ht="12" customHeight="1" x14ac:dyDescent="0.2">
      <c r="B319" s="56" t="s">
        <v>64</v>
      </c>
      <c r="C319" s="45"/>
      <c r="D319" s="45">
        <v>0</v>
      </c>
      <c r="E319" s="52">
        <v>0</v>
      </c>
      <c r="F319" s="52">
        <v>0</v>
      </c>
      <c r="G319" s="48"/>
      <c r="H319" s="45">
        <v>0</v>
      </c>
      <c r="I319" s="45">
        <v>0</v>
      </c>
      <c r="J319" s="45">
        <v>0</v>
      </c>
      <c r="K319" s="45"/>
      <c r="L319" s="45"/>
      <c r="M319" s="52">
        <v>0</v>
      </c>
      <c r="N319" s="52">
        <v>0</v>
      </c>
      <c r="O319" s="83">
        <v>0</v>
      </c>
      <c r="P319" s="83"/>
      <c r="Q319" s="52"/>
      <c r="R319" s="52">
        <v>0</v>
      </c>
      <c r="S319" s="61">
        <v>0</v>
      </c>
      <c r="T319" s="47"/>
      <c r="U319" s="45"/>
      <c r="V319" s="45"/>
      <c r="W319" s="45"/>
      <c r="X319" s="45"/>
      <c r="Y319" s="45">
        <v>0</v>
      </c>
      <c r="Z319" s="45">
        <v>0</v>
      </c>
      <c r="AA319" s="45"/>
      <c r="AB319" s="45"/>
      <c r="AC319" s="45"/>
      <c r="AD319" s="52"/>
      <c r="AE319" s="52">
        <v>0</v>
      </c>
      <c r="AF319" s="48">
        <v>0</v>
      </c>
      <c r="AG319" s="52">
        <v>0</v>
      </c>
      <c r="AH319" s="52">
        <v>0</v>
      </c>
      <c r="AI319" s="48"/>
      <c r="AJ319" s="48">
        <v>0</v>
      </c>
      <c r="AK319" s="52">
        <v>0</v>
      </c>
      <c r="AL319" s="52">
        <v>0</v>
      </c>
      <c r="AM319" s="48">
        <v>0</v>
      </c>
      <c r="AN319" s="89">
        <v>0</v>
      </c>
      <c r="AO319" s="52">
        <v>0</v>
      </c>
      <c r="AP319" s="48">
        <v>0</v>
      </c>
      <c r="AQ319" s="88">
        <v>0</v>
      </c>
      <c r="AR319" s="52">
        <v>0</v>
      </c>
      <c r="AS319" s="52"/>
      <c r="AT319" s="78"/>
      <c r="AU319" s="52">
        <v>0</v>
      </c>
      <c r="AV319" s="48"/>
      <c r="AW319" s="52"/>
      <c r="AX319" s="52">
        <v>0</v>
      </c>
      <c r="AY319" s="87"/>
      <c r="AZ319" s="52">
        <v>0</v>
      </c>
      <c r="BA319" s="52">
        <v>0</v>
      </c>
      <c r="BB319" s="48"/>
      <c r="BC319" s="45">
        <v>0</v>
      </c>
      <c r="BD319" s="45">
        <v>0</v>
      </c>
      <c r="BE319" s="45">
        <v>0</v>
      </c>
      <c r="BF319" s="45">
        <v>0</v>
      </c>
      <c r="BG319" s="45"/>
      <c r="BH319" s="46"/>
      <c r="BI319" s="45">
        <v>0</v>
      </c>
      <c r="BJ319" s="45">
        <v>0</v>
      </c>
      <c r="BK319" s="45"/>
      <c r="BL319" s="45"/>
      <c r="BM319" s="45">
        <v>0</v>
      </c>
      <c r="BN319" s="45"/>
      <c r="BO319" s="45"/>
      <c r="BP319" s="46"/>
      <c r="BQ319" s="87"/>
      <c r="BR319" s="52">
        <v>0</v>
      </c>
      <c r="BS319" s="52">
        <v>0</v>
      </c>
    </row>
    <row r="320" spans="1:71" ht="12" customHeight="1" x14ac:dyDescent="0.2">
      <c r="B320" s="56" t="s">
        <v>64</v>
      </c>
      <c r="C320" s="45"/>
      <c r="D320" s="45">
        <v>0</v>
      </c>
      <c r="E320" s="52">
        <v>0</v>
      </c>
      <c r="F320" s="52">
        <v>0</v>
      </c>
      <c r="G320" s="48"/>
      <c r="H320" s="45">
        <v>0</v>
      </c>
      <c r="I320" s="45">
        <v>0</v>
      </c>
      <c r="J320" s="45">
        <v>0</v>
      </c>
      <c r="K320" s="45"/>
      <c r="L320" s="45"/>
      <c r="M320" s="52">
        <v>0</v>
      </c>
      <c r="N320" s="52">
        <v>0</v>
      </c>
      <c r="O320" s="83">
        <v>0</v>
      </c>
      <c r="P320" s="83"/>
      <c r="Q320" s="52"/>
      <c r="R320" s="52">
        <v>0</v>
      </c>
      <c r="S320" s="61">
        <v>0</v>
      </c>
      <c r="T320" s="47"/>
      <c r="U320" s="45"/>
      <c r="V320" s="45"/>
      <c r="W320" s="45"/>
      <c r="X320" s="45"/>
      <c r="Y320" s="45">
        <v>0</v>
      </c>
      <c r="Z320" s="45">
        <v>0</v>
      </c>
      <c r="AA320" s="45"/>
      <c r="AB320" s="45"/>
      <c r="AC320" s="45"/>
      <c r="AD320" s="52"/>
      <c r="AE320" s="52">
        <v>0</v>
      </c>
      <c r="AF320" s="48">
        <v>0</v>
      </c>
      <c r="AG320" s="52">
        <v>0</v>
      </c>
      <c r="AH320" s="52">
        <v>0</v>
      </c>
      <c r="AI320" s="48"/>
      <c r="AJ320" s="48">
        <v>0</v>
      </c>
      <c r="AK320" s="52">
        <v>0</v>
      </c>
      <c r="AL320" s="52">
        <v>0</v>
      </c>
      <c r="AM320" s="48">
        <v>0</v>
      </c>
      <c r="AN320" s="89">
        <v>0</v>
      </c>
      <c r="AO320" s="52">
        <v>0</v>
      </c>
      <c r="AP320" s="48">
        <v>0</v>
      </c>
      <c r="AQ320" s="88">
        <v>0</v>
      </c>
      <c r="AR320" s="52">
        <v>0</v>
      </c>
      <c r="AS320" s="52"/>
      <c r="AT320" s="78"/>
      <c r="AU320" s="52">
        <v>0</v>
      </c>
      <c r="AV320" s="48"/>
      <c r="AW320" s="52"/>
      <c r="AX320" s="52">
        <v>0</v>
      </c>
      <c r="AY320" s="87"/>
      <c r="AZ320" s="52">
        <v>0</v>
      </c>
      <c r="BA320" s="52">
        <v>0</v>
      </c>
      <c r="BB320" s="48"/>
      <c r="BC320" s="45">
        <v>0</v>
      </c>
      <c r="BD320" s="45">
        <v>0</v>
      </c>
      <c r="BE320" s="45">
        <v>0</v>
      </c>
      <c r="BF320" s="45">
        <v>0</v>
      </c>
      <c r="BG320" s="45"/>
      <c r="BH320" s="46"/>
      <c r="BI320" s="45">
        <v>0</v>
      </c>
      <c r="BJ320" s="45">
        <v>0</v>
      </c>
      <c r="BK320" s="45"/>
      <c r="BL320" s="45"/>
      <c r="BM320" s="45">
        <v>0</v>
      </c>
      <c r="BN320" s="45"/>
      <c r="BO320" s="45"/>
      <c r="BP320" s="46"/>
      <c r="BQ320" s="87"/>
      <c r="BR320" s="52">
        <v>0</v>
      </c>
      <c r="BS320" s="52">
        <v>0</v>
      </c>
    </row>
    <row r="321" spans="2:71" ht="12" customHeight="1" x14ac:dyDescent="0.2">
      <c r="B321" s="56" t="s">
        <v>64</v>
      </c>
      <c r="C321" s="45"/>
      <c r="D321" s="45">
        <v>0</v>
      </c>
      <c r="E321" s="52">
        <v>0</v>
      </c>
      <c r="F321" s="52">
        <v>0</v>
      </c>
      <c r="G321" s="48"/>
      <c r="H321" s="45">
        <v>0</v>
      </c>
      <c r="I321" s="45">
        <v>0</v>
      </c>
      <c r="J321" s="45">
        <v>0</v>
      </c>
      <c r="K321" s="45"/>
      <c r="L321" s="45"/>
      <c r="M321" s="52">
        <v>0</v>
      </c>
      <c r="N321" s="52">
        <v>0</v>
      </c>
      <c r="O321" s="83">
        <v>0</v>
      </c>
      <c r="P321" s="83"/>
      <c r="Q321" s="52"/>
      <c r="R321" s="52">
        <v>0</v>
      </c>
      <c r="S321" s="61">
        <v>0</v>
      </c>
      <c r="T321" s="47"/>
      <c r="U321" s="45"/>
      <c r="V321" s="45"/>
      <c r="W321" s="45"/>
      <c r="X321" s="45"/>
      <c r="Y321" s="45">
        <v>0</v>
      </c>
      <c r="Z321" s="45">
        <v>0</v>
      </c>
      <c r="AA321" s="45"/>
      <c r="AB321" s="45"/>
      <c r="AC321" s="45"/>
      <c r="AD321" s="52"/>
      <c r="AE321" s="52">
        <v>0</v>
      </c>
      <c r="AF321" s="48">
        <v>0</v>
      </c>
      <c r="AG321" s="52">
        <v>0</v>
      </c>
      <c r="AH321" s="52">
        <v>0</v>
      </c>
      <c r="AI321" s="48"/>
      <c r="AJ321" s="48">
        <v>0</v>
      </c>
      <c r="AK321" s="52">
        <v>0</v>
      </c>
      <c r="AL321" s="52">
        <v>0</v>
      </c>
      <c r="AM321" s="48">
        <v>0</v>
      </c>
      <c r="AN321" s="89">
        <v>0</v>
      </c>
      <c r="AO321" s="52">
        <v>0</v>
      </c>
      <c r="AP321" s="48">
        <v>0</v>
      </c>
      <c r="AQ321" s="88">
        <v>0</v>
      </c>
      <c r="AR321" s="52">
        <v>0</v>
      </c>
      <c r="AS321" s="52"/>
      <c r="AT321" s="78"/>
      <c r="AU321" s="52">
        <v>0</v>
      </c>
      <c r="AV321" s="48"/>
      <c r="AW321" s="52"/>
      <c r="AX321" s="52">
        <v>0</v>
      </c>
      <c r="AY321" s="87"/>
      <c r="AZ321" s="52">
        <v>0</v>
      </c>
      <c r="BA321" s="52">
        <v>0</v>
      </c>
      <c r="BB321" s="48"/>
      <c r="BC321" s="45">
        <v>0</v>
      </c>
      <c r="BD321" s="45">
        <v>0</v>
      </c>
      <c r="BE321" s="45">
        <v>0</v>
      </c>
      <c r="BF321" s="45">
        <v>0</v>
      </c>
      <c r="BG321" s="45"/>
      <c r="BH321" s="46"/>
      <c r="BI321" s="45">
        <v>0</v>
      </c>
      <c r="BJ321" s="45">
        <v>0</v>
      </c>
      <c r="BK321" s="45"/>
      <c r="BL321" s="45"/>
      <c r="BM321" s="45">
        <v>0</v>
      </c>
      <c r="BN321" s="45"/>
      <c r="BO321" s="45"/>
      <c r="BP321" s="46"/>
      <c r="BQ321" s="87"/>
      <c r="BR321" s="52">
        <v>0</v>
      </c>
      <c r="BS321" s="52">
        <v>0</v>
      </c>
    </row>
    <row r="322" spans="2:71" ht="12" customHeight="1" x14ac:dyDescent="0.2">
      <c r="B322" s="56" t="s">
        <v>64</v>
      </c>
      <c r="C322" s="45"/>
      <c r="D322" s="45">
        <v>0</v>
      </c>
      <c r="E322" s="52">
        <v>0</v>
      </c>
      <c r="F322" s="52">
        <v>0</v>
      </c>
      <c r="G322" s="48"/>
      <c r="H322" s="45">
        <v>0</v>
      </c>
      <c r="I322" s="45">
        <v>0</v>
      </c>
      <c r="J322" s="45">
        <v>0</v>
      </c>
      <c r="K322" s="45"/>
      <c r="L322" s="45"/>
      <c r="M322" s="52">
        <v>0</v>
      </c>
      <c r="N322" s="52">
        <v>0</v>
      </c>
      <c r="O322" s="83">
        <v>0</v>
      </c>
      <c r="P322" s="83"/>
      <c r="Q322" s="52"/>
      <c r="R322" s="52">
        <v>0</v>
      </c>
      <c r="S322" s="61">
        <v>0</v>
      </c>
      <c r="T322" s="47"/>
      <c r="U322" s="45"/>
      <c r="V322" s="45"/>
      <c r="W322" s="45"/>
      <c r="X322" s="45"/>
      <c r="Y322" s="45">
        <v>0</v>
      </c>
      <c r="Z322" s="45">
        <v>0</v>
      </c>
      <c r="AA322" s="45"/>
      <c r="AB322" s="45"/>
      <c r="AC322" s="45"/>
      <c r="AD322" s="52"/>
      <c r="AE322" s="52">
        <v>0</v>
      </c>
      <c r="AF322" s="48">
        <v>0</v>
      </c>
      <c r="AG322" s="52">
        <v>0</v>
      </c>
      <c r="AH322" s="52">
        <v>0</v>
      </c>
      <c r="AI322" s="48"/>
      <c r="AJ322" s="48">
        <v>0</v>
      </c>
      <c r="AK322" s="52">
        <v>0</v>
      </c>
      <c r="AL322" s="52">
        <v>0</v>
      </c>
      <c r="AM322" s="48">
        <v>0</v>
      </c>
      <c r="AN322" s="89">
        <v>0</v>
      </c>
      <c r="AO322" s="52">
        <v>0</v>
      </c>
      <c r="AP322" s="48">
        <v>0</v>
      </c>
      <c r="AQ322" s="88">
        <v>0</v>
      </c>
      <c r="AR322" s="52">
        <v>0</v>
      </c>
      <c r="AS322" s="52"/>
      <c r="AT322" s="78"/>
      <c r="AU322" s="52">
        <v>0</v>
      </c>
      <c r="AV322" s="48"/>
      <c r="AW322" s="52"/>
      <c r="AX322" s="52">
        <v>0</v>
      </c>
      <c r="AY322" s="87"/>
      <c r="AZ322" s="52">
        <v>0</v>
      </c>
      <c r="BA322" s="52">
        <v>0</v>
      </c>
      <c r="BB322" s="48"/>
      <c r="BC322" s="45">
        <v>0</v>
      </c>
      <c r="BD322" s="45">
        <v>0</v>
      </c>
      <c r="BE322" s="45">
        <v>0</v>
      </c>
      <c r="BF322" s="45">
        <v>0</v>
      </c>
      <c r="BG322" s="45"/>
      <c r="BH322" s="46"/>
      <c r="BI322" s="45">
        <v>0</v>
      </c>
      <c r="BJ322" s="45">
        <v>0</v>
      </c>
      <c r="BK322" s="45"/>
      <c r="BL322" s="45"/>
      <c r="BM322" s="45">
        <v>0</v>
      </c>
      <c r="BN322" s="45"/>
      <c r="BO322" s="45"/>
      <c r="BP322" s="46"/>
      <c r="BQ322" s="87"/>
      <c r="BR322" s="52">
        <v>0</v>
      </c>
      <c r="BS322" s="52">
        <v>0</v>
      </c>
    </row>
    <row r="323" spans="2:71" ht="12" customHeight="1" x14ac:dyDescent="0.2">
      <c r="B323" s="56" t="s">
        <v>64</v>
      </c>
      <c r="C323" s="45"/>
      <c r="D323" s="45">
        <v>0</v>
      </c>
      <c r="E323" s="52">
        <v>0</v>
      </c>
      <c r="F323" s="52">
        <v>0</v>
      </c>
      <c r="G323" s="48"/>
      <c r="H323" s="45">
        <v>0</v>
      </c>
      <c r="I323" s="45">
        <v>0</v>
      </c>
      <c r="J323" s="45">
        <v>0</v>
      </c>
      <c r="K323" s="45"/>
      <c r="L323" s="45"/>
      <c r="M323" s="52">
        <v>0</v>
      </c>
      <c r="N323" s="52">
        <v>0</v>
      </c>
      <c r="O323" s="83">
        <v>0</v>
      </c>
      <c r="P323" s="83"/>
      <c r="Q323" s="52"/>
      <c r="R323" s="52">
        <v>0</v>
      </c>
      <c r="S323" s="61">
        <v>0</v>
      </c>
      <c r="T323" s="47"/>
      <c r="U323" s="45"/>
      <c r="V323" s="45"/>
      <c r="W323" s="45"/>
      <c r="X323" s="45"/>
      <c r="Y323" s="45">
        <v>0</v>
      </c>
      <c r="Z323" s="45">
        <v>0</v>
      </c>
      <c r="AA323" s="45"/>
      <c r="AB323" s="45"/>
      <c r="AC323" s="45"/>
      <c r="AD323" s="52"/>
      <c r="AE323" s="52">
        <v>0</v>
      </c>
      <c r="AF323" s="48">
        <v>0</v>
      </c>
      <c r="AG323" s="52">
        <v>0</v>
      </c>
      <c r="AH323" s="52">
        <v>0</v>
      </c>
      <c r="AI323" s="48"/>
      <c r="AJ323" s="48">
        <v>0</v>
      </c>
      <c r="AK323" s="52">
        <v>0</v>
      </c>
      <c r="AL323" s="52">
        <v>0</v>
      </c>
      <c r="AM323" s="48">
        <v>0</v>
      </c>
      <c r="AN323" s="89">
        <v>0</v>
      </c>
      <c r="AO323" s="52">
        <v>0</v>
      </c>
      <c r="AP323" s="48">
        <v>0</v>
      </c>
      <c r="AQ323" s="88">
        <v>0</v>
      </c>
      <c r="AR323" s="52">
        <v>0</v>
      </c>
      <c r="AS323" s="52"/>
      <c r="AT323" s="78"/>
      <c r="AU323" s="52">
        <v>0</v>
      </c>
      <c r="AV323" s="48"/>
      <c r="AW323" s="52"/>
      <c r="AX323" s="52">
        <v>0</v>
      </c>
      <c r="AY323" s="87"/>
      <c r="AZ323" s="52">
        <v>0</v>
      </c>
      <c r="BA323" s="52">
        <v>0</v>
      </c>
      <c r="BB323" s="48"/>
      <c r="BC323" s="45">
        <v>0</v>
      </c>
      <c r="BD323" s="45">
        <v>0</v>
      </c>
      <c r="BE323" s="45">
        <v>0</v>
      </c>
      <c r="BF323" s="45">
        <v>0</v>
      </c>
      <c r="BG323" s="45"/>
      <c r="BH323" s="46"/>
      <c r="BI323" s="45">
        <v>0</v>
      </c>
      <c r="BJ323" s="45">
        <v>0</v>
      </c>
      <c r="BK323" s="45"/>
      <c r="BL323" s="45"/>
      <c r="BM323" s="45">
        <v>0</v>
      </c>
      <c r="BN323" s="45"/>
      <c r="BO323" s="45"/>
      <c r="BP323" s="46"/>
      <c r="BQ323" s="87"/>
      <c r="BR323" s="52">
        <v>0</v>
      </c>
      <c r="BS323" s="52">
        <v>0</v>
      </c>
    </row>
    <row r="324" spans="2:71" ht="12" customHeight="1" x14ac:dyDescent="0.2">
      <c r="B324" s="56" t="s">
        <v>64</v>
      </c>
      <c r="C324" s="45"/>
      <c r="D324" s="45">
        <v>0</v>
      </c>
      <c r="E324" s="52">
        <v>0</v>
      </c>
      <c r="F324" s="52">
        <v>0</v>
      </c>
      <c r="G324" s="48"/>
      <c r="H324" s="45">
        <v>0</v>
      </c>
      <c r="I324" s="45">
        <v>0</v>
      </c>
      <c r="J324" s="45">
        <v>0</v>
      </c>
      <c r="K324" s="45"/>
      <c r="L324" s="45"/>
      <c r="M324" s="52">
        <v>0</v>
      </c>
      <c r="N324" s="52">
        <v>0</v>
      </c>
      <c r="O324" s="83">
        <v>0</v>
      </c>
      <c r="P324" s="83"/>
      <c r="Q324" s="52"/>
      <c r="R324" s="52">
        <v>0</v>
      </c>
      <c r="S324" s="61">
        <v>0</v>
      </c>
      <c r="T324" s="47"/>
      <c r="U324" s="45"/>
      <c r="V324" s="45"/>
      <c r="W324" s="45"/>
      <c r="X324" s="45"/>
      <c r="Y324" s="45">
        <v>0</v>
      </c>
      <c r="Z324" s="45">
        <v>0</v>
      </c>
      <c r="AA324" s="45"/>
      <c r="AB324" s="45"/>
      <c r="AC324" s="45"/>
      <c r="AD324" s="52"/>
      <c r="AE324" s="52">
        <v>0</v>
      </c>
      <c r="AF324" s="48">
        <v>0</v>
      </c>
      <c r="AG324" s="52">
        <v>0</v>
      </c>
      <c r="AH324" s="52">
        <v>0</v>
      </c>
      <c r="AI324" s="48"/>
      <c r="AJ324" s="48">
        <v>0</v>
      </c>
      <c r="AK324" s="52">
        <v>0</v>
      </c>
      <c r="AL324" s="52">
        <v>0</v>
      </c>
      <c r="AM324" s="48">
        <v>0</v>
      </c>
      <c r="AN324" s="89">
        <v>0</v>
      </c>
      <c r="AO324" s="52">
        <v>0</v>
      </c>
      <c r="AP324" s="48">
        <v>0</v>
      </c>
      <c r="AQ324" s="88">
        <v>0</v>
      </c>
      <c r="AR324" s="52">
        <v>0</v>
      </c>
      <c r="AS324" s="52"/>
      <c r="AT324" s="78"/>
      <c r="AU324" s="52">
        <v>0</v>
      </c>
      <c r="AV324" s="48"/>
      <c r="AW324" s="52"/>
      <c r="AX324" s="52">
        <v>0</v>
      </c>
      <c r="AY324" s="87"/>
      <c r="AZ324" s="52">
        <v>0</v>
      </c>
      <c r="BA324" s="52">
        <v>0</v>
      </c>
      <c r="BB324" s="48"/>
      <c r="BC324" s="45">
        <v>0</v>
      </c>
      <c r="BD324" s="45">
        <v>0</v>
      </c>
      <c r="BE324" s="45">
        <v>0</v>
      </c>
      <c r="BF324" s="45">
        <v>0</v>
      </c>
      <c r="BG324" s="45"/>
      <c r="BH324" s="46"/>
      <c r="BI324" s="45">
        <v>0</v>
      </c>
      <c r="BJ324" s="45">
        <v>0</v>
      </c>
      <c r="BK324" s="45"/>
      <c r="BL324" s="45"/>
      <c r="BM324" s="45">
        <v>0</v>
      </c>
      <c r="BN324" s="45"/>
      <c r="BO324" s="45"/>
      <c r="BP324" s="46"/>
      <c r="BQ324" s="87"/>
      <c r="BR324" s="52">
        <v>0</v>
      </c>
      <c r="BS324" s="52">
        <v>0</v>
      </c>
    </row>
    <row r="325" spans="2:71" ht="12" customHeight="1" x14ac:dyDescent="0.2">
      <c r="B325" s="56" t="s">
        <v>64</v>
      </c>
      <c r="C325" s="45"/>
      <c r="D325" s="45">
        <v>0</v>
      </c>
      <c r="E325" s="52">
        <v>0</v>
      </c>
      <c r="F325" s="52">
        <v>0</v>
      </c>
      <c r="G325" s="48"/>
      <c r="H325" s="45">
        <v>0</v>
      </c>
      <c r="I325" s="45">
        <v>0</v>
      </c>
      <c r="J325" s="45">
        <v>0</v>
      </c>
      <c r="K325" s="45"/>
      <c r="L325" s="45"/>
      <c r="M325" s="52">
        <v>0</v>
      </c>
      <c r="N325" s="52">
        <v>0</v>
      </c>
      <c r="O325" s="83">
        <v>0</v>
      </c>
      <c r="P325" s="83"/>
      <c r="Q325" s="52"/>
      <c r="R325" s="52">
        <v>0</v>
      </c>
      <c r="S325" s="61">
        <v>0</v>
      </c>
      <c r="T325" s="47"/>
      <c r="U325" s="45"/>
      <c r="V325" s="45"/>
      <c r="W325" s="45"/>
      <c r="X325" s="45"/>
      <c r="Y325" s="45">
        <v>0</v>
      </c>
      <c r="Z325" s="45">
        <v>0</v>
      </c>
      <c r="AA325" s="45"/>
      <c r="AB325" s="45"/>
      <c r="AC325" s="45"/>
      <c r="AD325" s="52"/>
      <c r="AE325" s="52">
        <v>0</v>
      </c>
      <c r="AF325" s="48">
        <v>0</v>
      </c>
      <c r="AG325" s="52">
        <v>0</v>
      </c>
      <c r="AH325" s="52">
        <v>0</v>
      </c>
      <c r="AI325" s="48"/>
      <c r="AJ325" s="48">
        <v>0</v>
      </c>
      <c r="AK325" s="52">
        <v>0</v>
      </c>
      <c r="AL325" s="52">
        <v>0</v>
      </c>
      <c r="AM325" s="48">
        <v>0</v>
      </c>
      <c r="AN325" s="89">
        <v>0</v>
      </c>
      <c r="AO325" s="52">
        <v>0</v>
      </c>
      <c r="AP325" s="48">
        <v>0</v>
      </c>
      <c r="AQ325" s="88">
        <v>0</v>
      </c>
      <c r="AR325" s="52">
        <v>0</v>
      </c>
      <c r="AS325" s="52"/>
      <c r="AT325" s="78"/>
      <c r="AU325" s="52">
        <v>0</v>
      </c>
      <c r="AV325" s="48"/>
      <c r="AW325" s="52"/>
      <c r="AX325" s="52">
        <v>0</v>
      </c>
      <c r="AY325" s="87"/>
      <c r="AZ325" s="52">
        <v>0</v>
      </c>
      <c r="BA325" s="52">
        <v>0</v>
      </c>
      <c r="BB325" s="48"/>
      <c r="BC325" s="45">
        <v>0</v>
      </c>
      <c r="BD325" s="45">
        <v>0</v>
      </c>
      <c r="BE325" s="45">
        <v>0</v>
      </c>
      <c r="BF325" s="45">
        <v>0</v>
      </c>
      <c r="BG325" s="45"/>
      <c r="BH325" s="46"/>
      <c r="BI325" s="45">
        <v>0</v>
      </c>
      <c r="BJ325" s="45">
        <v>0</v>
      </c>
      <c r="BK325" s="45"/>
      <c r="BL325" s="45"/>
      <c r="BM325" s="45">
        <v>0</v>
      </c>
      <c r="BN325" s="45"/>
      <c r="BO325" s="45"/>
      <c r="BP325" s="46"/>
      <c r="BQ325" s="87"/>
      <c r="BR325" s="52">
        <v>0</v>
      </c>
      <c r="BS325" s="52">
        <v>0</v>
      </c>
    </row>
    <row r="326" spans="2:71" ht="12" customHeight="1" x14ac:dyDescent="0.2">
      <c r="B326" s="56" t="s">
        <v>64</v>
      </c>
      <c r="C326" s="45"/>
      <c r="D326" s="45">
        <v>0</v>
      </c>
      <c r="E326" s="52">
        <v>0</v>
      </c>
      <c r="F326" s="52">
        <v>0</v>
      </c>
      <c r="G326" s="48"/>
      <c r="H326" s="45">
        <v>0</v>
      </c>
      <c r="I326" s="45">
        <v>0</v>
      </c>
      <c r="J326" s="45">
        <v>0</v>
      </c>
      <c r="K326" s="45"/>
      <c r="L326" s="45"/>
      <c r="M326" s="52">
        <v>0</v>
      </c>
      <c r="N326" s="52">
        <v>0</v>
      </c>
      <c r="O326" s="83">
        <v>0</v>
      </c>
      <c r="P326" s="83"/>
      <c r="Q326" s="52"/>
      <c r="R326" s="52">
        <v>0</v>
      </c>
      <c r="S326" s="61">
        <v>0</v>
      </c>
      <c r="T326" s="47"/>
      <c r="U326" s="45"/>
      <c r="V326" s="45"/>
      <c r="W326" s="45"/>
      <c r="X326" s="45"/>
      <c r="Y326" s="45">
        <v>0</v>
      </c>
      <c r="Z326" s="45">
        <v>0</v>
      </c>
      <c r="AA326" s="45"/>
      <c r="AB326" s="45"/>
      <c r="AC326" s="45"/>
      <c r="AD326" s="52"/>
      <c r="AE326" s="52">
        <v>0</v>
      </c>
      <c r="AF326" s="48">
        <v>0</v>
      </c>
      <c r="AG326" s="52">
        <v>0</v>
      </c>
      <c r="AH326" s="52">
        <v>0</v>
      </c>
      <c r="AI326" s="48"/>
      <c r="AJ326" s="48">
        <v>0</v>
      </c>
      <c r="AK326" s="52">
        <v>0</v>
      </c>
      <c r="AL326" s="52">
        <v>0</v>
      </c>
      <c r="AM326" s="48">
        <v>0</v>
      </c>
      <c r="AN326" s="89">
        <v>0</v>
      </c>
      <c r="AO326" s="52">
        <v>0</v>
      </c>
      <c r="AP326" s="48">
        <v>0</v>
      </c>
      <c r="AQ326" s="88">
        <v>0</v>
      </c>
      <c r="AR326" s="52">
        <v>0</v>
      </c>
      <c r="AS326" s="52"/>
      <c r="AT326" s="78"/>
      <c r="AU326" s="52">
        <v>0</v>
      </c>
      <c r="AV326" s="48"/>
      <c r="AW326" s="52"/>
      <c r="AX326" s="52">
        <v>0</v>
      </c>
      <c r="AY326" s="87"/>
      <c r="AZ326" s="52">
        <v>0</v>
      </c>
      <c r="BA326" s="52">
        <v>0</v>
      </c>
      <c r="BB326" s="48"/>
      <c r="BC326" s="45">
        <v>0</v>
      </c>
      <c r="BD326" s="45">
        <v>0</v>
      </c>
      <c r="BE326" s="45">
        <v>0</v>
      </c>
      <c r="BF326" s="45">
        <v>0</v>
      </c>
      <c r="BG326" s="45"/>
      <c r="BH326" s="46"/>
      <c r="BI326" s="45">
        <v>0</v>
      </c>
      <c r="BJ326" s="45">
        <v>0</v>
      </c>
      <c r="BK326" s="45"/>
      <c r="BL326" s="45"/>
      <c r="BM326" s="45">
        <v>0</v>
      </c>
      <c r="BN326" s="45"/>
      <c r="BO326" s="45"/>
      <c r="BP326" s="46"/>
      <c r="BQ326" s="87"/>
      <c r="BR326" s="52">
        <v>0</v>
      </c>
      <c r="BS326" s="52">
        <v>0</v>
      </c>
    </row>
    <row r="327" spans="2:71" ht="12" customHeight="1" x14ac:dyDescent="0.2">
      <c r="B327" s="56" t="s">
        <v>64</v>
      </c>
      <c r="C327" s="45"/>
      <c r="D327" s="45">
        <v>0</v>
      </c>
      <c r="E327" s="52">
        <v>0</v>
      </c>
      <c r="F327" s="52">
        <v>0</v>
      </c>
      <c r="G327" s="48"/>
      <c r="H327" s="45">
        <v>0</v>
      </c>
      <c r="I327" s="45">
        <v>0</v>
      </c>
      <c r="J327" s="45">
        <v>0</v>
      </c>
      <c r="K327" s="45"/>
      <c r="L327" s="45"/>
      <c r="M327" s="52">
        <v>0</v>
      </c>
      <c r="N327" s="52">
        <v>0</v>
      </c>
      <c r="O327" s="83">
        <v>0</v>
      </c>
      <c r="P327" s="83"/>
      <c r="Q327" s="52"/>
      <c r="R327" s="52">
        <v>0</v>
      </c>
      <c r="S327" s="61">
        <v>0</v>
      </c>
      <c r="T327" s="47"/>
      <c r="U327" s="45"/>
      <c r="V327" s="45"/>
      <c r="W327" s="45"/>
      <c r="X327" s="45"/>
      <c r="Y327" s="45">
        <v>0</v>
      </c>
      <c r="Z327" s="45">
        <v>0</v>
      </c>
      <c r="AA327" s="45"/>
      <c r="AB327" s="45"/>
      <c r="AC327" s="45"/>
      <c r="AD327" s="52"/>
      <c r="AE327" s="52">
        <v>0</v>
      </c>
      <c r="AF327" s="48">
        <v>0</v>
      </c>
      <c r="AG327" s="52">
        <v>0</v>
      </c>
      <c r="AH327" s="52">
        <v>0</v>
      </c>
      <c r="AI327" s="48"/>
      <c r="AJ327" s="48">
        <v>0</v>
      </c>
      <c r="AK327" s="52">
        <v>0</v>
      </c>
      <c r="AL327" s="52">
        <v>0</v>
      </c>
      <c r="AM327" s="48">
        <v>0</v>
      </c>
      <c r="AN327" s="89">
        <v>0</v>
      </c>
      <c r="AO327" s="52">
        <v>0</v>
      </c>
      <c r="AP327" s="48">
        <v>0</v>
      </c>
      <c r="AQ327" s="88">
        <v>0</v>
      </c>
      <c r="AR327" s="52">
        <v>0</v>
      </c>
      <c r="AS327" s="52"/>
      <c r="AT327" s="78"/>
      <c r="AU327" s="52">
        <v>0</v>
      </c>
      <c r="AV327" s="48"/>
      <c r="AW327" s="52"/>
      <c r="AX327" s="52">
        <v>0</v>
      </c>
      <c r="AY327" s="87"/>
      <c r="AZ327" s="52">
        <v>0</v>
      </c>
      <c r="BA327" s="52">
        <v>0</v>
      </c>
      <c r="BB327" s="48"/>
      <c r="BC327" s="45">
        <v>0</v>
      </c>
      <c r="BD327" s="45">
        <v>0</v>
      </c>
      <c r="BE327" s="45">
        <v>0</v>
      </c>
      <c r="BF327" s="45">
        <v>0</v>
      </c>
      <c r="BG327" s="45"/>
      <c r="BH327" s="46"/>
      <c r="BI327" s="45">
        <v>0</v>
      </c>
      <c r="BJ327" s="45">
        <v>0</v>
      </c>
      <c r="BK327" s="45"/>
      <c r="BL327" s="45"/>
      <c r="BM327" s="45">
        <v>0</v>
      </c>
      <c r="BN327" s="45"/>
      <c r="BO327" s="45"/>
      <c r="BP327" s="46"/>
      <c r="BQ327" s="87"/>
      <c r="BR327" s="52">
        <v>0</v>
      </c>
      <c r="BS327" s="52">
        <v>0</v>
      </c>
    </row>
    <row r="328" spans="2:71" ht="12" customHeight="1" x14ac:dyDescent="0.2">
      <c r="B328" s="56" t="s">
        <v>64</v>
      </c>
      <c r="C328" s="45"/>
      <c r="D328" s="45">
        <v>0</v>
      </c>
      <c r="E328" s="52">
        <v>0</v>
      </c>
      <c r="F328" s="52">
        <v>0</v>
      </c>
      <c r="G328" s="48"/>
      <c r="H328" s="45">
        <v>0</v>
      </c>
      <c r="I328" s="45">
        <v>0</v>
      </c>
      <c r="J328" s="45">
        <v>0</v>
      </c>
      <c r="K328" s="45"/>
      <c r="L328" s="45"/>
      <c r="M328" s="52">
        <v>0</v>
      </c>
      <c r="N328" s="52">
        <v>0</v>
      </c>
      <c r="O328" s="83">
        <v>0</v>
      </c>
      <c r="P328" s="83"/>
      <c r="Q328" s="52"/>
      <c r="R328" s="52">
        <v>0</v>
      </c>
      <c r="S328" s="61">
        <v>0</v>
      </c>
      <c r="T328" s="49"/>
      <c r="U328" s="45"/>
      <c r="V328" s="45"/>
      <c r="W328" s="45"/>
      <c r="X328" s="45"/>
      <c r="Y328" s="45">
        <v>0</v>
      </c>
      <c r="Z328" s="45">
        <v>0</v>
      </c>
      <c r="AA328" s="45"/>
      <c r="AB328" s="45"/>
      <c r="AC328" s="45"/>
      <c r="AD328" s="52"/>
      <c r="AE328" s="52">
        <v>0</v>
      </c>
      <c r="AF328" s="48">
        <v>0</v>
      </c>
      <c r="AG328" s="52">
        <v>0</v>
      </c>
      <c r="AH328" s="52">
        <v>0</v>
      </c>
      <c r="AI328" s="48"/>
      <c r="AJ328" s="48">
        <v>0</v>
      </c>
      <c r="AK328" s="52">
        <v>0</v>
      </c>
      <c r="AL328" s="52">
        <v>0</v>
      </c>
      <c r="AM328" s="48">
        <v>0</v>
      </c>
      <c r="AN328" s="89">
        <v>0</v>
      </c>
      <c r="AO328" s="52">
        <v>0</v>
      </c>
      <c r="AP328" s="48">
        <v>0</v>
      </c>
      <c r="AQ328" s="88">
        <v>0</v>
      </c>
      <c r="AR328" s="52">
        <v>0</v>
      </c>
      <c r="AS328" s="52"/>
      <c r="AT328" s="78"/>
      <c r="AU328" s="52">
        <v>0</v>
      </c>
      <c r="AV328" s="48"/>
      <c r="AW328" s="52"/>
      <c r="AX328" s="52">
        <v>0</v>
      </c>
      <c r="AY328" s="87"/>
      <c r="AZ328" s="52">
        <v>0</v>
      </c>
      <c r="BA328" s="52">
        <v>0</v>
      </c>
      <c r="BB328" s="48"/>
      <c r="BC328" s="45">
        <v>0</v>
      </c>
      <c r="BD328" s="45">
        <v>0</v>
      </c>
      <c r="BE328" s="45">
        <v>0</v>
      </c>
      <c r="BF328" s="45">
        <v>0</v>
      </c>
      <c r="BG328" s="45"/>
      <c r="BH328" s="46"/>
      <c r="BI328" s="45">
        <v>0</v>
      </c>
      <c r="BJ328" s="45">
        <v>0</v>
      </c>
      <c r="BK328" s="45"/>
      <c r="BL328" s="45"/>
      <c r="BM328" s="45">
        <v>0</v>
      </c>
      <c r="BN328" s="45"/>
      <c r="BO328" s="45"/>
      <c r="BP328" s="46"/>
      <c r="BQ328" s="87"/>
      <c r="BR328" s="52">
        <v>0</v>
      </c>
      <c r="BS328" s="52">
        <v>0</v>
      </c>
    </row>
    <row r="329" spans="2:71" ht="12" customHeight="1" x14ac:dyDescent="0.2">
      <c r="B329" s="56" t="s">
        <v>64</v>
      </c>
      <c r="C329" s="45"/>
      <c r="D329" s="45">
        <v>0</v>
      </c>
      <c r="E329" s="52">
        <v>0</v>
      </c>
      <c r="F329" s="52">
        <v>0</v>
      </c>
      <c r="G329" s="48"/>
      <c r="H329" s="45">
        <v>0</v>
      </c>
      <c r="I329" s="45">
        <v>0</v>
      </c>
      <c r="J329" s="45">
        <v>0</v>
      </c>
      <c r="K329" s="45"/>
      <c r="L329" s="45"/>
      <c r="M329" s="52">
        <v>0</v>
      </c>
      <c r="N329" s="52">
        <v>0</v>
      </c>
      <c r="O329" s="83">
        <v>0</v>
      </c>
      <c r="P329" s="83"/>
      <c r="Q329" s="52"/>
      <c r="R329" s="52">
        <v>0</v>
      </c>
      <c r="S329" s="61">
        <v>0</v>
      </c>
      <c r="T329" s="49"/>
      <c r="U329" s="45"/>
      <c r="V329" s="45"/>
      <c r="W329" s="45"/>
      <c r="X329" s="45"/>
      <c r="Y329" s="45">
        <v>0</v>
      </c>
      <c r="Z329" s="45">
        <v>0</v>
      </c>
      <c r="AA329" s="45"/>
      <c r="AB329" s="45"/>
      <c r="AC329" s="45"/>
      <c r="AD329" s="52"/>
      <c r="AE329" s="52">
        <v>0</v>
      </c>
      <c r="AF329" s="48">
        <v>0</v>
      </c>
      <c r="AG329" s="52">
        <v>0</v>
      </c>
      <c r="AH329" s="52">
        <v>0</v>
      </c>
      <c r="AI329" s="48"/>
      <c r="AJ329" s="48">
        <v>0</v>
      </c>
      <c r="AK329" s="52">
        <v>0</v>
      </c>
      <c r="AL329" s="52">
        <v>0</v>
      </c>
      <c r="AM329" s="48">
        <v>0</v>
      </c>
      <c r="AN329" s="89">
        <v>0</v>
      </c>
      <c r="AO329" s="52">
        <v>0</v>
      </c>
      <c r="AP329" s="48">
        <v>0</v>
      </c>
      <c r="AQ329" s="88">
        <v>0</v>
      </c>
      <c r="AR329" s="52">
        <v>0</v>
      </c>
      <c r="AS329" s="52"/>
      <c r="AT329" s="78"/>
      <c r="AU329" s="52">
        <v>0</v>
      </c>
      <c r="AV329" s="48"/>
      <c r="AW329" s="52"/>
      <c r="AX329" s="52">
        <v>0</v>
      </c>
      <c r="AY329" s="87"/>
      <c r="AZ329" s="52">
        <v>0</v>
      </c>
      <c r="BA329" s="52">
        <v>0</v>
      </c>
      <c r="BB329" s="48"/>
      <c r="BC329" s="45">
        <v>0</v>
      </c>
      <c r="BD329" s="45">
        <v>0</v>
      </c>
      <c r="BE329" s="45">
        <v>0</v>
      </c>
      <c r="BF329" s="45">
        <v>0</v>
      </c>
      <c r="BG329" s="45"/>
      <c r="BH329" s="46"/>
      <c r="BI329" s="45">
        <v>0</v>
      </c>
      <c r="BJ329" s="45">
        <v>0</v>
      </c>
      <c r="BK329" s="45"/>
      <c r="BL329" s="45"/>
      <c r="BM329" s="45">
        <v>0</v>
      </c>
      <c r="BN329" s="45"/>
      <c r="BO329" s="45"/>
      <c r="BP329" s="46"/>
      <c r="BQ329" s="87"/>
      <c r="BR329" s="52">
        <v>0</v>
      </c>
      <c r="BS329" s="52">
        <v>0</v>
      </c>
    </row>
    <row r="330" spans="2:71" ht="12" customHeight="1" x14ac:dyDescent="0.2">
      <c r="B330" s="56" t="s">
        <v>64</v>
      </c>
      <c r="C330" s="45"/>
      <c r="D330" s="45">
        <v>0</v>
      </c>
      <c r="E330" s="52">
        <v>0</v>
      </c>
      <c r="F330" s="52">
        <v>0</v>
      </c>
      <c r="G330" s="48"/>
      <c r="H330" s="45">
        <v>0</v>
      </c>
      <c r="I330" s="45">
        <v>0</v>
      </c>
      <c r="J330" s="45">
        <v>0</v>
      </c>
      <c r="K330" s="45"/>
      <c r="L330" s="45"/>
      <c r="M330" s="52">
        <v>0</v>
      </c>
      <c r="N330" s="52">
        <v>0</v>
      </c>
      <c r="O330" s="83">
        <v>0</v>
      </c>
      <c r="P330" s="83"/>
      <c r="Q330" s="52"/>
      <c r="R330" s="52">
        <v>0</v>
      </c>
      <c r="S330" s="61">
        <v>0</v>
      </c>
      <c r="T330" s="49"/>
      <c r="U330" s="45"/>
      <c r="V330" s="45"/>
      <c r="W330" s="45"/>
      <c r="X330" s="45"/>
      <c r="Y330" s="45">
        <v>0</v>
      </c>
      <c r="Z330" s="45">
        <v>0</v>
      </c>
      <c r="AA330" s="45"/>
      <c r="AB330" s="45"/>
      <c r="AC330" s="45"/>
      <c r="AD330" s="52"/>
      <c r="AE330" s="52">
        <v>0</v>
      </c>
      <c r="AF330" s="48">
        <v>0</v>
      </c>
      <c r="AG330" s="52">
        <v>0</v>
      </c>
      <c r="AH330" s="52">
        <v>0</v>
      </c>
      <c r="AI330" s="48"/>
      <c r="AJ330" s="48">
        <v>0</v>
      </c>
      <c r="AK330" s="52">
        <v>0</v>
      </c>
      <c r="AL330" s="52">
        <v>0</v>
      </c>
      <c r="AM330" s="48">
        <v>0</v>
      </c>
      <c r="AN330" s="89">
        <v>0</v>
      </c>
      <c r="AO330" s="52">
        <v>0</v>
      </c>
      <c r="AP330" s="48">
        <v>0</v>
      </c>
      <c r="AQ330" s="88">
        <v>0</v>
      </c>
      <c r="AR330" s="52">
        <v>0</v>
      </c>
      <c r="AS330" s="52"/>
      <c r="AT330" s="78"/>
      <c r="AU330" s="52">
        <v>0</v>
      </c>
      <c r="AV330" s="48"/>
      <c r="AW330" s="52"/>
      <c r="AX330" s="52">
        <v>0</v>
      </c>
      <c r="AY330" s="87"/>
      <c r="AZ330" s="52">
        <v>0</v>
      </c>
      <c r="BA330" s="52">
        <v>0</v>
      </c>
      <c r="BB330" s="48"/>
      <c r="BC330" s="45">
        <v>0</v>
      </c>
      <c r="BD330" s="45">
        <v>0</v>
      </c>
      <c r="BE330" s="45">
        <v>0</v>
      </c>
      <c r="BF330" s="45">
        <v>0</v>
      </c>
      <c r="BG330" s="45"/>
      <c r="BH330" s="46"/>
      <c r="BI330" s="45">
        <v>0</v>
      </c>
      <c r="BJ330" s="45">
        <v>0</v>
      </c>
      <c r="BK330" s="45"/>
      <c r="BL330" s="45"/>
      <c r="BM330" s="45">
        <v>0</v>
      </c>
      <c r="BN330" s="45"/>
      <c r="BO330" s="45"/>
      <c r="BP330" s="46"/>
      <c r="BQ330" s="87"/>
      <c r="BR330" s="52">
        <v>0</v>
      </c>
      <c r="BS330" s="52">
        <v>0</v>
      </c>
    </row>
    <row r="331" spans="2:71" ht="12" customHeight="1" x14ac:dyDescent="0.2">
      <c r="B331" s="56" t="s">
        <v>64</v>
      </c>
      <c r="C331" s="45"/>
      <c r="D331" s="45">
        <v>0</v>
      </c>
      <c r="E331" s="52">
        <v>0</v>
      </c>
      <c r="F331" s="52">
        <v>0</v>
      </c>
      <c r="G331" s="48"/>
      <c r="H331" s="45">
        <v>0</v>
      </c>
      <c r="I331" s="45">
        <v>0</v>
      </c>
      <c r="J331" s="45">
        <v>0</v>
      </c>
      <c r="K331" s="45"/>
      <c r="L331" s="45"/>
      <c r="M331" s="52">
        <v>0</v>
      </c>
      <c r="N331" s="52">
        <v>0</v>
      </c>
      <c r="O331" s="83">
        <v>0</v>
      </c>
      <c r="P331" s="83"/>
      <c r="Q331" s="52"/>
      <c r="R331" s="52">
        <v>0</v>
      </c>
      <c r="S331" s="61">
        <v>0</v>
      </c>
      <c r="T331" s="49"/>
      <c r="U331" s="45"/>
      <c r="V331" s="45"/>
      <c r="W331" s="45"/>
      <c r="X331" s="45"/>
      <c r="Y331" s="45">
        <v>0</v>
      </c>
      <c r="Z331" s="45">
        <v>0</v>
      </c>
      <c r="AA331" s="45"/>
      <c r="AB331" s="45"/>
      <c r="AC331" s="45"/>
      <c r="AD331" s="52"/>
      <c r="AE331" s="52">
        <v>0</v>
      </c>
      <c r="AF331" s="48">
        <v>0</v>
      </c>
      <c r="AG331" s="52">
        <v>0</v>
      </c>
      <c r="AH331" s="52">
        <v>0</v>
      </c>
      <c r="AI331" s="48"/>
      <c r="AJ331" s="48">
        <v>0</v>
      </c>
      <c r="AK331" s="52">
        <v>0</v>
      </c>
      <c r="AL331" s="52">
        <v>0</v>
      </c>
      <c r="AM331" s="48">
        <v>0</v>
      </c>
      <c r="AN331" s="89">
        <v>0</v>
      </c>
      <c r="AO331" s="52">
        <v>0</v>
      </c>
      <c r="AP331" s="48">
        <v>0</v>
      </c>
      <c r="AQ331" s="88">
        <v>0</v>
      </c>
      <c r="AR331" s="52">
        <v>0</v>
      </c>
      <c r="AS331" s="52"/>
      <c r="AT331" s="78"/>
      <c r="AU331" s="52">
        <v>0</v>
      </c>
      <c r="AV331" s="48"/>
      <c r="AW331" s="52"/>
      <c r="AX331" s="52">
        <v>0</v>
      </c>
      <c r="AY331" s="87"/>
      <c r="AZ331" s="52">
        <v>0</v>
      </c>
      <c r="BA331" s="52">
        <v>0</v>
      </c>
      <c r="BB331" s="48"/>
      <c r="BC331" s="45">
        <v>0</v>
      </c>
      <c r="BD331" s="45">
        <v>0</v>
      </c>
      <c r="BE331" s="45">
        <v>0</v>
      </c>
      <c r="BF331" s="45">
        <v>0</v>
      </c>
      <c r="BG331" s="45"/>
      <c r="BH331" s="46"/>
      <c r="BI331" s="45">
        <v>0</v>
      </c>
      <c r="BJ331" s="45">
        <v>0</v>
      </c>
      <c r="BK331" s="45"/>
      <c r="BL331" s="45"/>
      <c r="BM331" s="45">
        <v>0</v>
      </c>
      <c r="BN331" s="45"/>
      <c r="BO331" s="45"/>
      <c r="BP331" s="46"/>
      <c r="BQ331" s="87"/>
      <c r="BR331" s="52">
        <v>0</v>
      </c>
      <c r="BS331" s="52">
        <v>0</v>
      </c>
    </row>
    <row r="332" spans="2:71" ht="12" customHeight="1" x14ac:dyDescent="0.2">
      <c r="B332" s="56" t="s">
        <v>64</v>
      </c>
      <c r="C332" s="45"/>
      <c r="D332" s="45">
        <v>0</v>
      </c>
      <c r="E332" s="52">
        <v>0</v>
      </c>
      <c r="F332" s="52">
        <v>0</v>
      </c>
      <c r="G332" s="48"/>
      <c r="H332" s="45">
        <v>0</v>
      </c>
      <c r="I332" s="45">
        <v>0</v>
      </c>
      <c r="J332" s="45">
        <v>0</v>
      </c>
      <c r="K332" s="45"/>
      <c r="L332" s="45"/>
      <c r="M332" s="52">
        <v>0</v>
      </c>
      <c r="N332" s="52">
        <v>0</v>
      </c>
      <c r="O332" s="83">
        <v>0</v>
      </c>
      <c r="P332" s="83"/>
      <c r="Q332" s="52"/>
      <c r="R332" s="52">
        <v>0</v>
      </c>
      <c r="S332" s="61">
        <v>0</v>
      </c>
      <c r="T332" s="49"/>
      <c r="U332" s="45"/>
      <c r="V332" s="45"/>
      <c r="W332" s="45"/>
      <c r="X332" s="45"/>
      <c r="Y332" s="45">
        <v>0</v>
      </c>
      <c r="Z332" s="45">
        <v>0</v>
      </c>
      <c r="AA332" s="45"/>
      <c r="AB332" s="45"/>
      <c r="AC332" s="45"/>
      <c r="AD332" s="52"/>
      <c r="AE332" s="52">
        <v>0</v>
      </c>
      <c r="AF332" s="48">
        <v>0</v>
      </c>
      <c r="AG332" s="52">
        <v>0</v>
      </c>
      <c r="AH332" s="52">
        <v>0</v>
      </c>
      <c r="AI332" s="48"/>
      <c r="AJ332" s="48">
        <v>0</v>
      </c>
      <c r="AK332" s="52">
        <v>0</v>
      </c>
      <c r="AL332" s="52">
        <v>0</v>
      </c>
      <c r="AM332" s="48">
        <v>0</v>
      </c>
      <c r="AN332" s="89">
        <v>0</v>
      </c>
      <c r="AO332" s="52">
        <v>0</v>
      </c>
      <c r="AP332" s="48">
        <v>0</v>
      </c>
      <c r="AQ332" s="88">
        <v>0</v>
      </c>
      <c r="AR332" s="52">
        <v>0</v>
      </c>
      <c r="AS332" s="52"/>
      <c r="AT332" s="78"/>
      <c r="AU332" s="52">
        <v>0</v>
      </c>
      <c r="AV332" s="48"/>
      <c r="AW332" s="52"/>
      <c r="AX332" s="52">
        <v>0</v>
      </c>
      <c r="AY332" s="87"/>
      <c r="AZ332" s="52">
        <v>0</v>
      </c>
      <c r="BA332" s="52">
        <v>0</v>
      </c>
      <c r="BB332" s="48"/>
      <c r="BC332" s="45">
        <v>0</v>
      </c>
      <c r="BD332" s="45">
        <v>0</v>
      </c>
      <c r="BE332" s="45">
        <v>0</v>
      </c>
      <c r="BF332" s="45">
        <v>0</v>
      </c>
      <c r="BG332" s="45"/>
      <c r="BH332" s="46"/>
      <c r="BI332" s="45">
        <v>0</v>
      </c>
      <c r="BJ332" s="45">
        <v>0</v>
      </c>
      <c r="BK332" s="45"/>
      <c r="BL332" s="45"/>
      <c r="BM332" s="45">
        <v>0</v>
      </c>
      <c r="BN332" s="45"/>
      <c r="BO332" s="45"/>
      <c r="BP332" s="46"/>
      <c r="BQ332" s="87"/>
      <c r="BR332" s="52">
        <v>0</v>
      </c>
      <c r="BS332" s="52">
        <v>0</v>
      </c>
    </row>
    <row r="333" spans="2:71" ht="12" customHeight="1" x14ac:dyDescent="0.2">
      <c r="B333" s="56" t="s">
        <v>64</v>
      </c>
      <c r="C333" s="45"/>
      <c r="D333" s="45">
        <v>0</v>
      </c>
      <c r="E333" s="52">
        <v>0</v>
      </c>
      <c r="F333" s="52">
        <v>0</v>
      </c>
      <c r="G333" s="48"/>
      <c r="H333" s="45">
        <v>0</v>
      </c>
      <c r="I333" s="45">
        <v>0</v>
      </c>
      <c r="J333" s="45">
        <v>0</v>
      </c>
      <c r="K333" s="45"/>
      <c r="L333" s="45"/>
      <c r="M333" s="52">
        <v>0</v>
      </c>
      <c r="N333" s="52">
        <v>0</v>
      </c>
      <c r="O333" s="83">
        <v>0</v>
      </c>
      <c r="P333" s="83"/>
      <c r="Q333" s="52"/>
      <c r="R333" s="52">
        <v>0</v>
      </c>
      <c r="S333" s="61">
        <v>0</v>
      </c>
      <c r="T333" s="49"/>
      <c r="U333" s="45"/>
      <c r="V333" s="45"/>
      <c r="W333" s="45"/>
      <c r="X333" s="45"/>
      <c r="Y333" s="45">
        <v>0</v>
      </c>
      <c r="Z333" s="45">
        <v>0</v>
      </c>
      <c r="AA333" s="45"/>
      <c r="AB333" s="45"/>
      <c r="AC333" s="45"/>
      <c r="AD333" s="52"/>
      <c r="AE333" s="52">
        <v>0</v>
      </c>
      <c r="AF333" s="48">
        <v>0</v>
      </c>
      <c r="AG333" s="52">
        <v>0</v>
      </c>
      <c r="AH333" s="52">
        <v>0</v>
      </c>
      <c r="AI333" s="48"/>
      <c r="AJ333" s="48">
        <v>0</v>
      </c>
      <c r="AK333" s="52">
        <v>0</v>
      </c>
      <c r="AL333" s="52">
        <v>0</v>
      </c>
      <c r="AM333" s="48">
        <v>0</v>
      </c>
      <c r="AN333" s="89">
        <v>0</v>
      </c>
      <c r="AO333" s="52">
        <v>0</v>
      </c>
      <c r="AP333" s="48">
        <v>0</v>
      </c>
      <c r="AQ333" s="88">
        <v>0</v>
      </c>
      <c r="AR333" s="52">
        <v>0</v>
      </c>
      <c r="AS333" s="52"/>
      <c r="AT333" s="78"/>
      <c r="AU333" s="52">
        <v>0</v>
      </c>
      <c r="AV333" s="48"/>
      <c r="AW333" s="52"/>
      <c r="AX333" s="52">
        <v>0</v>
      </c>
      <c r="AY333" s="87"/>
      <c r="AZ333" s="52">
        <v>0</v>
      </c>
      <c r="BA333" s="52">
        <v>0</v>
      </c>
      <c r="BB333" s="48"/>
      <c r="BC333" s="45">
        <v>0</v>
      </c>
      <c r="BD333" s="45">
        <v>0</v>
      </c>
      <c r="BE333" s="45">
        <v>0</v>
      </c>
      <c r="BF333" s="45">
        <v>0</v>
      </c>
      <c r="BG333" s="45"/>
      <c r="BH333" s="46"/>
      <c r="BI333" s="45">
        <v>0</v>
      </c>
      <c r="BJ333" s="45">
        <v>0</v>
      </c>
      <c r="BK333" s="45"/>
      <c r="BL333" s="45"/>
      <c r="BM333" s="45">
        <v>0</v>
      </c>
      <c r="BN333" s="45"/>
      <c r="BO333" s="45"/>
      <c r="BP333" s="46"/>
      <c r="BQ333" s="87"/>
      <c r="BR333" s="52">
        <v>0</v>
      </c>
      <c r="BS333" s="52">
        <v>0</v>
      </c>
    </row>
    <row r="334" spans="2:71" ht="12" customHeight="1" x14ac:dyDescent="0.2">
      <c r="B334" s="56" t="s">
        <v>64</v>
      </c>
      <c r="C334" s="45"/>
      <c r="D334" s="45">
        <v>0</v>
      </c>
      <c r="E334" s="52">
        <v>0</v>
      </c>
      <c r="F334" s="52">
        <v>0</v>
      </c>
      <c r="G334" s="48"/>
      <c r="H334" s="45">
        <v>0</v>
      </c>
      <c r="I334" s="45">
        <v>0</v>
      </c>
      <c r="J334" s="45">
        <v>0</v>
      </c>
      <c r="K334" s="45"/>
      <c r="L334" s="45"/>
      <c r="M334" s="52">
        <v>0</v>
      </c>
      <c r="N334" s="52">
        <v>0</v>
      </c>
      <c r="O334" s="83">
        <v>0</v>
      </c>
      <c r="P334" s="83"/>
      <c r="Q334" s="52"/>
      <c r="R334" s="52">
        <v>0</v>
      </c>
      <c r="S334" s="61">
        <v>0</v>
      </c>
      <c r="T334" s="49"/>
      <c r="U334" s="45"/>
      <c r="V334" s="45"/>
      <c r="W334" s="45"/>
      <c r="X334" s="45"/>
      <c r="Y334" s="45">
        <v>0</v>
      </c>
      <c r="Z334" s="45">
        <v>0</v>
      </c>
      <c r="AA334" s="45"/>
      <c r="AB334" s="45"/>
      <c r="AC334" s="45"/>
      <c r="AD334" s="52"/>
      <c r="AE334" s="52">
        <v>0</v>
      </c>
      <c r="AF334" s="48">
        <v>0</v>
      </c>
      <c r="AG334" s="52">
        <v>0</v>
      </c>
      <c r="AH334" s="52">
        <v>0</v>
      </c>
      <c r="AI334" s="48"/>
      <c r="AJ334" s="48">
        <v>0</v>
      </c>
      <c r="AK334" s="52">
        <v>0</v>
      </c>
      <c r="AL334" s="52">
        <v>0</v>
      </c>
      <c r="AM334" s="48">
        <v>0</v>
      </c>
      <c r="AN334" s="89">
        <v>0</v>
      </c>
      <c r="AO334" s="52">
        <v>0</v>
      </c>
      <c r="AP334" s="48">
        <v>0</v>
      </c>
      <c r="AQ334" s="88">
        <v>0</v>
      </c>
      <c r="AR334" s="52">
        <v>0</v>
      </c>
      <c r="AS334" s="52"/>
      <c r="AT334" s="78"/>
      <c r="AU334" s="52">
        <v>0</v>
      </c>
      <c r="AV334" s="48"/>
      <c r="AW334" s="52"/>
      <c r="AX334" s="52">
        <v>0</v>
      </c>
      <c r="AY334" s="87"/>
      <c r="AZ334" s="52">
        <v>0</v>
      </c>
      <c r="BA334" s="52">
        <v>0</v>
      </c>
      <c r="BB334" s="48"/>
      <c r="BC334" s="45">
        <v>0</v>
      </c>
      <c r="BD334" s="45">
        <v>0</v>
      </c>
      <c r="BE334" s="45">
        <v>0</v>
      </c>
      <c r="BF334" s="45">
        <v>0</v>
      </c>
      <c r="BG334" s="45"/>
      <c r="BH334" s="46"/>
      <c r="BI334" s="45">
        <v>0</v>
      </c>
      <c r="BJ334" s="45">
        <v>0</v>
      </c>
      <c r="BK334" s="45"/>
      <c r="BL334" s="45"/>
      <c r="BM334" s="45">
        <v>0</v>
      </c>
      <c r="BN334" s="45"/>
      <c r="BO334" s="45"/>
      <c r="BP334" s="46"/>
      <c r="BQ334" s="87"/>
      <c r="BR334" s="52">
        <v>0</v>
      </c>
      <c r="BS334" s="52">
        <v>0</v>
      </c>
    </row>
    <row r="335" spans="2:71" ht="12" customHeight="1" x14ac:dyDescent="0.2">
      <c r="B335" s="56" t="s">
        <v>64</v>
      </c>
      <c r="C335" s="45"/>
      <c r="D335" s="45">
        <v>0</v>
      </c>
      <c r="E335" s="52">
        <v>0</v>
      </c>
      <c r="F335" s="52">
        <v>0</v>
      </c>
      <c r="G335" s="48"/>
      <c r="H335" s="45">
        <v>0</v>
      </c>
      <c r="I335" s="45">
        <v>0</v>
      </c>
      <c r="J335" s="45">
        <v>0</v>
      </c>
      <c r="K335" s="45"/>
      <c r="L335" s="45"/>
      <c r="M335" s="52">
        <v>0</v>
      </c>
      <c r="N335" s="52">
        <v>0</v>
      </c>
      <c r="O335" s="83">
        <v>0</v>
      </c>
      <c r="P335" s="83"/>
      <c r="Q335" s="52"/>
      <c r="R335" s="52">
        <v>0</v>
      </c>
      <c r="S335" s="61">
        <v>0</v>
      </c>
      <c r="T335" s="49"/>
      <c r="U335" s="45"/>
      <c r="V335" s="45"/>
      <c r="W335" s="45"/>
      <c r="X335" s="45"/>
      <c r="Y335" s="45">
        <v>0</v>
      </c>
      <c r="Z335" s="45">
        <v>0</v>
      </c>
      <c r="AA335" s="45"/>
      <c r="AB335" s="45"/>
      <c r="AC335" s="45"/>
      <c r="AD335" s="52"/>
      <c r="AE335" s="52">
        <v>0</v>
      </c>
      <c r="AF335" s="48">
        <v>0</v>
      </c>
      <c r="AG335" s="52">
        <v>0</v>
      </c>
      <c r="AH335" s="52">
        <v>0</v>
      </c>
      <c r="AI335" s="48"/>
      <c r="AJ335" s="48">
        <v>0</v>
      </c>
      <c r="AK335" s="52">
        <v>0</v>
      </c>
      <c r="AL335" s="52">
        <v>0</v>
      </c>
      <c r="AM335" s="48">
        <v>0</v>
      </c>
      <c r="AN335" s="89">
        <v>0</v>
      </c>
      <c r="AO335" s="52">
        <v>0</v>
      </c>
      <c r="AP335" s="48">
        <v>0</v>
      </c>
      <c r="AQ335" s="88">
        <v>0</v>
      </c>
      <c r="AR335" s="52">
        <v>0</v>
      </c>
      <c r="AS335" s="52"/>
      <c r="AT335" s="78"/>
      <c r="AU335" s="52">
        <v>0</v>
      </c>
      <c r="AV335" s="48"/>
      <c r="AW335" s="52"/>
      <c r="AX335" s="52">
        <v>0</v>
      </c>
      <c r="AY335" s="87"/>
      <c r="AZ335" s="52">
        <v>0</v>
      </c>
      <c r="BA335" s="52">
        <v>0</v>
      </c>
      <c r="BB335" s="48"/>
      <c r="BC335" s="45">
        <v>0</v>
      </c>
      <c r="BD335" s="45">
        <v>0</v>
      </c>
      <c r="BE335" s="45">
        <v>0</v>
      </c>
      <c r="BF335" s="45">
        <v>0</v>
      </c>
      <c r="BG335" s="45"/>
      <c r="BH335" s="46"/>
      <c r="BI335" s="45">
        <v>0</v>
      </c>
      <c r="BJ335" s="45">
        <v>0</v>
      </c>
      <c r="BK335" s="45"/>
      <c r="BL335" s="45"/>
      <c r="BM335" s="45">
        <v>0</v>
      </c>
      <c r="BN335" s="45"/>
      <c r="BO335" s="45"/>
      <c r="BP335" s="46"/>
      <c r="BQ335" s="87"/>
      <c r="BR335" s="52">
        <v>0</v>
      </c>
      <c r="BS335" s="52">
        <v>0</v>
      </c>
    </row>
    <row r="336" spans="2:71" ht="12" customHeight="1" x14ac:dyDescent="0.2">
      <c r="B336" s="56" t="s">
        <v>64</v>
      </c>
      <c r="C336" s="45"/>
      <c r="D336" s="45">
        <v>0</v>
      </c>
      <c r="E336" s="52">
        <v>0</v>
      </c>
      <c r="F336" s="52">
        <v>0</v>
      </c>
      <c r="G336" s="48"/>
      <c r="H336" s="45">
        <v>0</v>
      </c>
      <c r="I336" s="45">
        <v>0</v>
      </c>
      <c r="J336" s="45">
        <v>0</v>
      </c>
      <c r="K336" s="45"/>
      <c r="L336" s="45"/>
      <c r="M336" s="52">
        <v>0</v>
      </c>
      <c r="N336" s="52">
        <v>0</v>
      </c>
      <c r="O336" s="83">
        <v>0</v>
      </c>
      <c r="P336" s="83"/>
      <c r="Q336" s="52"/>
      <c r="R336" s="52">
        <v>0</v>
      </c>
      <c r="S336" s="61">
        <v>0</v>
      </c>
      <c r="T336" s="49"/>
      <c r="U336" s="45"/>
      <c r="V336" s="45"/>
      <c r="W336" s="45"/>
      <c r="X336" s="45"/>
      <c r="Y336" s="45">
        <v>0</v>
      </c>
      <c r="Z336" s="45">
        <v>0</v>
      </c>
      <c r="AA336" s="45"/>
      <c r="AB336" s="45"/>
      <c r="AC336" s="45"/>
      <c r="AD336" s="52"/>
      <c r="AE336" s="52">
        <v>0</v>
      </c>
      <c r="AF336" s="48">
        <v>0</v>
      </c>
      <c r="AG336" s="52">
        <v>0</v>
      </c>
      <c r="AH336" s="52">
        <v>0</v>
      </c>
      <c r="AI336" s="48"/>
      <c r="AJ336" s="48">
        <v>0</v>
      </c>
      <c r="AK336" s="52">
        <v>0</v>
      </c>
      <c r="AL336" s="52">
        <v>0</v>
      </c>
      <c r="AM336" s="48">
        <v>0</v>
      </c>
      <c r="AN336" s="89">
        <v>0</v>
      </c>
      <c r="AO336" s="52">
        <v>0</v>
      </c>
      <c r="AP336" s="48">
        <v>0</v>
      </c>
      <c r="AQ336" s="88">
        <v>0</v>
      </c>
      <c r="AR336" s="52">
        <v>0</v>
      </c>
      <c r="AS336" s="52"/>
      <c r="AT336" s="78"/>
      <c r="AU336" s="52">
        <v>0</v>
      </c>
      <c r="AV336" s="48"/>
      <c r="AW336" s="52"/>
      <c r="AX336" s="52">
        <v>0</v>
      </c>
      <c r="AY336" s="87"/>
      <c r="AZ336" s="52">
        <v>0</v>
      </c>
      <c r="BA336" s="52">
        <v>0</v>
      </c>
      <c r="BB336" s="48"/>
      <c r="BC336" s="45">
        <v>0</v>
      </c>
      <c r="BD336" s="45">
        <v>0</v>
      </c>
      <c r="BE336" s="45">
        <v>0</v>
      </c>
      <c r="BF336" s="45">
        <v>0</v>
      </c>
      <c r="BG336" s="45"/>
      <c r="BH336" s="46"/>
      <c r="BI336" s="45">
        <v>0</v>
      </c>
      <c r="BJ336" s="45">
        <v>0</v>
      </c>
      <c r="BK336" s="45"/>
      <c r="BL336" s="45"/>
      <c r="BM336" s="45">
        <v>0</v>
      </c>
      <c r="BN336" s="45"/>
      <c r="BO336" s="45"/>
      <c r="BP336" s="46"/>
      <c r="BQ336" s="87"/>
      <c r="BR336" s="52">
        <v>0</v>
      </c>
      <c r="BS336" s="52">
        <v>0</v>
      </c>
    </row>
    <row r="337" spans="2:71" ht="12" customHeight="1" x14ac:dyDescent="0.2">
      <c r="B337" s="56" t="s">
        <v>64</v>
      </c>
      <c r="C337" s="45"/>
      <c r="D337" s="45">
        <v>0</v>
      </c>
      <c r="E337" s="52">
        <v>0</v>
      </c>
      <c r="F337" s="52">
        <v>0</v>
      </c>
      <c r="G337" s="48"/>
      <c r="H337" s="45">
        <v>0</v>
      </c>
      <c r="I337" s="45">
        <v>0</v>
      </c>
      <c r="J337" s="45">
        <v>0</v>
      </c>
      <c r="K337" s="45"/>
      <c r="L337" s="45"/>
      <c r="M337" s="52">
        <v>0</v>
      </c>
      <c r="N337" s="52">
        <v>0</v>
      </c>
      <c r="O337" s="83">
        <v>0</v>
      </c>
      <c r="P337" s="83"/>
      <c r="Q337" s="52"/>
      <c r="R337" s="52">
        <v>0</v>
      </c>
      <c r="S337" s="61">
        <v>0</v>
      </c>
      <c r="T337" s="49"/>
      <c r="U337" s="45"/>
      <c r="V337" s="45"/>
      <c r="W337" s="45"/>
      <c r="X337" s="45"/>
      <c r="Y337" s="45">
        <v>0</v>
      </c>
      <c r="Z337" s="45">
        <v>0</v>
      </c>
      <c r="AA337" s="45"/>
      <c r="AB337" s="45"/>
      <c r="AC337" s="45"/>
      <c r="AD337" s="52"/>
      <c r="AE337" s="52">
        <v>0</v>
      </c>
      <c r="AF337" s="48">
        <v>0</v>
      </c>
      <c r="AG337" s="52">
        <v>0</v>
      </c>
      <c r="AH337" s="52">
        <v>0</v>
      </c>
      <c r="AI337" s="48"/>
      <c r="AJ337" s="48">
        <v>0</v>
      </c>
      <c r="AK337" s="52">
        <v>0</v>
      </c>
      <c r="AL337" s="52">
        <v>0</v>
      </c>
      <c r="AM337" s="48">
        <v>0</v>
      </c>
      <c r="AN337" s="89">
        <v>0</v>
      </c>
      <c r="AO337" s="52">
        <v>0</v>
      </c>
      <c r="AP337" s="48">
        <v>0</v>
      </c>
      <c r="AQ337" s="88">
        <v>0</v>
      </c>
      <c r="AR337" s="52">
        <v>0</v>
      </c>
      <c r="AS337" s="52"/>
      <c r="AT337" s="78"/>
      <c r="AU337" s="52">
        <v>0</v>
      </c>
      <c r="AV337" s="48"/>
      <c r="AW337" s="52"/>
      <c r="AX337" s="52">
        <v>0</v>
      </c>
      <c r="AY337" s="87"/>
      <c r="AZ337" s="52">
        <v>0</v>
      </c>
      <c r="BA337" s="52">
        <v>0</v>
      </c>
      <c r="BB337" s="48"/>
      <c r="BC337" s="45">
        <v>0</v>
      </c>
      <c r="BD337" s="45">
        <v>0</v>
      </c>
      <c r="BE337" s="45">
        <v>0</v>
      </c>
      <c r="BF337" s="45">
        <v>0</v>
      </c>
      <c r="BG337" s="45"/>
      <c r="BH337" s="46"/>
      <c r="BI337" s="45">
        <v>0</v>
      </c>
      <c r="BJ337" s="45">
        <v>0</v>
      </c>
      <c r="BK337" s="45"/>
      <c r="BL337" s="45"/>
      <c r="BM337" s="45">
        <v>0</v>
      </c>
      <c r="BN337" s="45"/>
      <c r="BO337" s="45"/>
      <c r="BP337" s="46"/>
      <c r="BQ337" s="87"/>
      <c r="BR337" s="52">
        <v>0</v>
      </c>
      <c r="BS337" s="52">
        <v>0</v>
      </c>
    </row>
    <row r="338" spans="2:71" ht="12" customHeight="1" x14ac:dyDescent="0.2">
      <c r="B338" s="56" t="s">
        <v>64</v>
      </c>
      <c r="C338" s="45"/>
      <c r="D338" s="45">
        <v>0</v>
      </c>
      <c r="E338" s="52">
        <v>0</v>
      </c>
      <c r="F338" s="52">
        <v>0</v>
      </c>
      <c r="G338" s="48"/>
      <c r="H338" s="45">
        <v>0</v>
      </c>
      <c r="I338" s="45">
        <v>0</v>
      </c>
      <c r="J338" s="45">
        <v>0</v>
      </c>
      <c r="K338" s="45"/>
      <c r="L338" s="45"/>
      <c r="M338" s="52">
        <v>0</v>
      </c>
      <c r="N338" s="52">
        <v>0</v>
      </c>
      <c r="O338" s="83">
        <v>0</v>
      </c>
      <c r="P338" s="83"/>
      <c r="Q338" s="52"/>
      <c r="R338" s="52">
        <v>0</v>
      </c>
      <c r="S338" s="61">
        <v>0</v>
      </c>
      <c r="T338" s="49"/>
      <c r="U338" s="45"/>
      <c r="V338" s="45"/>
      <c r="W338" s="45"/>
      <c r="X338" s="45"/>
      <c r="Y338" s="45">
        <v>0</v>
      </c>
      <c r="Z338" s="45">
        <v>0</v>
      </c>
      <c r="AA338" s="45"/>
      <c r="AB338" s="45"/>
      <c r="AC338" s="45"/>
      <c r="AD338" s="52"/>
      <c r="AE338" s="52">
        <v>0</v>
      </c>
      <c r="AF338" s="48">
        <v>0</v>
      </c>
      <c r="AG338" s="52">
        <v>0</v>
      </c>
      <c r="AH338" s="52">
        <v>0</v>
      </c>
      <c r="AI338" s="48"/>
      <c r="AJ338" s="48">
        <v>0</v>
      </c>
      <c r="AK338" s="52">
        <v>0</v>
      </c>
      <c r="AL338" s="52">
        <v>0</v>
      </c>
      <c r="AM338" s="48">
        <v>0</v>
      </c>
      <c r="AN338" s="89">
        <v>0</v>
      </c>
      <c r="AO338" s="52">
        <v>0</v>
      </c>
      <c r="AP338" s="48">
        <v>0</v>
      </c>
      <c r="AQ338" s="88">
        <v>0</v>
      </c>
      <c r="AR338" s="52">
        <v>0</v>
      </c>
      <c r="AS338" s="52"/>
      <c r="AT338" s="78"/>
      <c r="AU338" s="52">
        <v>0</v>
      </c>
      <c r="AV338" s="48"/>
      <c r="AW338" s="52"/>
      <c r="AX338" s="52">
        <v>0</v>
      </c>
      <c r="AY338" s="87"/>
      <c r="AZ338" s="52">
        <v>0</v>
      </c>
      <c r="BA338" s="52">
        <v>0</v>
      </c>
      <c r="BB338" s="48"/>
      <c r="BC338" s="45">
        <v>0</v>
      </c>
      <c r="BD338" s="45">
        <v>0</v>
      </c>
      <c r="BE338" s="45">
        <v>0</v>
      </c>
      <c r="BF338" s="45">
        <v>0</v>
      </c>
      <c r="BG338" s="45"/>
      <c r="BH338" s="46"/>
      <c r="BI338" s="45">
        <v>0</v>
      </c>
      <c r="BJ338" s="45">
        <v>0</v>
      </c>
      <c r="BK338" s="45"/>
      <c r="BL338" s="45"/>
      <c r="BM338" s="45">
        <v>0</v>
      </c>
      <c r="BN338" s="45"/>
      <c r="BO338" s="45"/>
      <c r="BP338" s="46"/>
      <c r="BQ338" s="87"/>
      <c r="BR338" s="52">
        <v>0</v>
      </c>
      <c r="BS338" s="52">
        <v>0</v>
      </c>
    </row>
    <row r="339" spans="2:71" ht="12" customHeight="1" x14ac:dyDescent="0.2">
      <c r="B339" s="56" t="s">
        <v>64</v>
      </c>
      <c r="C339" s="45"/>
      <c r="D339" s="45">
        <v>0</v>
      </c>
      <c r="E339" s="52">
        <v>0</v>
      </c>
      <c r="F339" s="52">
        <v>0</v>
      </c>
      <c r="G339" s="48"/>
      <c r="H339" s="45">
        <v>0</v>
      </c>
      <c r="I339" s="45">
        <v>0</v>
      </c>
      <c r="J339" s="45">
        <v>0</v>
      </c>
      <c r="K339" s="45"/>
      <c r="L339" s="45"/>
      <c r="M339" s="52">
        <v>0</v>
      </c>
      <c r="N339" s="52">
        <v>0</v>
      </c>
      <c r="O339" s="83">
        <v>0</v>
      </c>
      <c r="P339" s="83"/>
      <c r="Q339" s="52"/>
      <c r="R339" s="52">
        <v>0</v>
      </c>
      <c r="S339" s="61">
        <v>0</v>
      </c>
      <c r="T339" s="49"/>
      <c r="U339" s="45"/>
      <c r="V339" s="45"/>
      <c r="W339" s="45"/>
      <c r="X339" s="45"/>
      <c r="Y339" s="45">
        <v>0</v>
      </c>
      <c r="Z339" s="45">
        <v>0</v>
      </c>
      <c r="AA339" s="45"/>
      <c r="AB339" s="45"/>
      <c r="AC339" s="45"/>
      <c r="AD339" s="52"/>
      <c r="AE339" s="52">
        <v>0</v>
      </c>
      <c r="AF339" s="48">
        <v>0</v>
      </c>
      <c r="AG339" s="52">
        <v>0</v>
      </c>
      <c r="AH339" s="52">
        <v>0</v>
      </c>
      <c r="AI339" s="48"/>
      <c r="AJ339" s="48">
        <v>0</v>
      </c>
      <c r="AK339" s="52">
        <v>0</v>
      </c>
      <c r="AL339" s="52">
        <v>0</v>
      </c>
      <c r="AM339" s="48">
        <v>0</v>
      </c>
      <c r="AN339" s="89">
        <v>0</v>
      </c>
      <c r="AO339" s="52">
        <v>0</v>
      </c>
      <c r="AP339" s="48">
        <v>0</v>
      </c>
      <c r="AQ339" s="88">
        <v>0</v>
      </c>
      <c r="AR339" s="52">
        <v>0</v>
      </c>
      <c r="AS339" s="52"/>
      <c r="AT339" s="78"/>
      <c r="AU339" s="52">
        <v>0</v>
      </c>
      <c r="AV339" s="48"/>
      <c r="AW339" s="52"/>
      <c r="AX339" s="52">
        <v>0</v>
      </c>
      <c r="AY339" s="87"/>
      <c r="AZ339" s="52">
        <v>0</v>
      </c>
      <c r="BA339" s="52">
        <v>0</v>
      </c>
      <c r="BB339" s="48"/>
      <c r="BC339" s="45">
        <v>0</v>
      </c>
      <c r="BD339" s="45">
        <v>0</v>
      </c>
      <c r="BE339" s="45">
        <v>0</v>
      </c>
      <c r="BF339" s="45">
        <v>0</v>
      </c>
      <c r="BG339" s="45"/>
      <c r="BH339" s="46"/>
      <c r="BI339" s="45">
        <v>0</v>
      </c>
      <c r="BJ339" s="45">
        <v>0</v>
      </c>
      <c r="BK339" s="45"/>
      <c r="BL339" s="45"/>
      <c r="BM339" s="45">
        <v>0</v>
      </c>
      <c r="BN339" s="45"/>
      <c r="BO339" s="45"/>
      <c r="BP339" s="46"/>
      <c r="BQ339" s="87"/>
      <c r="BR339" s="52">
        <v>0</v>
      </c>
      <c r="BS339" s="52">
        <v>0</v>
      </c>
    </row>
    <row r="340" spans="2:71" ht="12" customHeight="1" x14ac:dyDescent="0.2">
      <c r="B340" s="56" t="s">
        <v>64</v>
      </c>
      <c r="C340" s="45"/>
      <c r="D340" s="45">
        <v>0</v>
      </c>
      <c r="E340" s="52">
        <v>0</v>
      </c>
      <c r="F340" s="52">
        <v>0</v>
      </c>
      <c r="G340" s="48"/>
      <c r="H340" s="45">
        <v>0</v>
      </c>
      <c r="I340" s="45">
        <v>0</v>
      </c>
      <c r="J340" s="45">
        <v>0</v>
      </c>
      <c r="K340" s="45"/>
      <c r="L340" s="45"/>
      <c r="M340" s="52">
        <v>0</v>
      </c>
      <c r="N340" s="52">
        <v>0</v>
      </c>
      <c r="O340" s="83">
        <v>0</v>
      </c>
      <c r="P340" s="83"/>
      <c r="Q340" s="52"/>
      <c r="R340" s="52">
        <v>0</v>
      </c>
      <c r="S340" s="61">
        <v>0</v>
      </c>
      <c r="T340" s="49"/>
      <c r="U340" s="45"/>
      <c r="V340" s="45"/>
      <c r="W340" s="45"/>
      <c r="X340" s="45"/>
      <c r="Y340" s="45">
        <v>0</v>
      </c>
      <c r="Z340" s="45">
        <v>0</v>
      </c>
      <c r="AA340" s="45"/>
      <c r="AB340" s="45"/>
      <c r="AC340" s="45"/>
      <c r="AD340" s="52"/>
      <c r="AE340" s="52">
        <v>0</v>
      </c>
      <c r="AF340" s="48">
        <v>0</v>
      </c>
      <c r="AG340" s="52">
        <v>0</v>
      </c>
      <c r="AH340" s="52">
        <v>0</v>
      </c>
      <c r="AI340" s="48"/>
      <c r="AJ340" s="48">
        <v>0</v>
      </c>
      <c r="AK340" s="52">
        <v>0</v>
      </c>
      <c r="AL340" s="52">
        <v>0</v>
      </c>
      <c r="AM340" s="48">
        <v>0</v>
      </c>
      <c r="AN340" s="89">
        <v>0</v>
      </c>
      <c r="AO340" s="52">
        <v>0</v>
      </c>
      <c r="AP340" s="48">
        <v>0</v>
      </c>
      <c r="AQ340" s="88">
        <v>0</v>
      </c>
      <c r="AR340" s="52">
        <v>0</v>
      </c>
      <c r="AS340" s="52"/>
      <c r="AT340" s="78"/>
      <c r="AU340" s="52">
        <v>0</v>
      </c>
      <c r="AV340" s="48"/>
      <c r="AW340" s="52"/>
      <c r="AX340" s="52">
        <v>0</v>
      </c>
      <c r="AY340" s="87"/>
      <c r="AZ340" s="52">
        <v>0</v>
      </c>
      <c r="BA340" s="52">
        <v>0</v>
      </c>
      <c r="BB340" s="48"/>
      <c r="BC340" s="45">
        <v>0</v>
      </c>
      <c r="BD340" s="45">
        <v>0</v>
      </c>
      <c r="BE340" s="45">
        <v>0</v>
      </c>
      <c r="BF340" s="45">
        <v>0</v>
      </c>
      <c r="BG340" s="45"/>
      <c r="BH340" s="46"/>
      <c r="BI340" s="45">
        <v>0</v>
      </c>
      <c r="BJ340" s="45">
        <v>0</v>
      </c>
      <c r="BK340" s="45"/>
      <c r="BL340" s="45"/>
      <c r="BM340" s="45">
        <v>0</v>
      </c>
      <c r="BN340" s="45"/>
      <c r="BO340" s="45"/>
      <c r="BP340" s="46"/>
      <c r="BQ340" s="87"/>
      <c r="BR340" s="52">
        <v>0</v>
      </c>
      <c r="BS340" s="52">
        <v>0</v>
      </c>
    </row>
    <row r="341" spans="2:71" ht="12" customHeight="1" x14ac:dyDescent="0.2">
      <c r="B341" s="56" t="s">
        <v>64</v>
      </c>
      <c r="C341" s="45"/>
      <c r="D341" s="45">
        <v>0</v>
      </c>
      <c r="E341" s="52">
        <v>0</v>
      </c>
      <c r="F341" s="52">
        <v>0</v>
      </c>
      <c r="G341" s="48"/>
      <c r="H341" s="45">
        <v>0</v>
      </c>
      <c r="I341" s="45">
        <v>0</v>
      </c>
      <c r="J341" s="45">
        <v>0</v>
      </c>
      <c r="K341" s="45"/>
      <c r="L341" s="45"/>
      <c r="M341" s="52">
        <v>0</v>
      </c>
      <c r="N341" s="52">
        <v>0</v>
      </c>
      <c r="O341" s="83">
        <v>0</v>
      </c>
      <c r="P341" s="83"/>
      <c r="Q341" s="52"/>
      <c r="R341" s="52">
        <v>0</v>
      </c>
      <c r="S341" s="61">
        <v>0</v>
      </c>
      <c r="T341" s="49"/>
      <c r="U341" s="45"/>
      <c r="V341" s="45"/>
      <c r="W341" s="45"/>
      <c r="X341" s="45"/>
      <c r="Y341" s="45">
        <v>0</v>
      </c>
      <c r="Z341" s="45">
        <v>0</v>
      </c>
      <c r="AA341" s="45"/>
      <c r="AB341" s="45"/>
      <c r="AC341" s="45"/>
      <c r="AD341" s="52"/>
      <c r="AE341" s="52">
        <v>0</v>
      </c>
      <c r="AF341" s="48">
        <v>0</v>
      </c>
      <c r="AG341" s="52">
        <v>0</v>
      </c>
      <c r="AH341" s="52">
        <v>0</v>
      </c>
      <c r="AI341" s="48"/>
      <c r="AJ341" s="48">
        <v>0</v>
      </c>
      <c r="AK341" s="52">
        <v>0</v>
      </c>
      <c r="AL341" s="52">
        <v>0</v>
      </c>
      <c r="AM341" s="48">
        <v>0</v>
      </c>
      <c r="AN341" s="89">
        <v>0</v>
      </c>
      <c r="AO341" s="52">
        <v>0</v>
      </c>
      <c r="AP341" s="48">
        <v>0</v>
      </c>
      <c r="AQ341" s="88">
        <v>0</v>
      </c>
      <c r="AR341" s="52">
        <v>0</v>
      </c>
      <c r="AS341" s="52"/>
      <c r="AT341" s="78"/>
      <c r="AU341" s="52">
        <v>0</v>
      </c>
      <c r="AV341" s="48"/>
      <c r="AW341" s="52"/>
      <c r="AX341" s="52">
        <v>0</v>
      </c>
      <c r="AY341" s="87"/>
      <c r="AZ341" s="52">
        <v>0</v>
      </c>
      <c r="BA341" s="52">
        <v>0</v>
      </c>
      <c r="BB341" s="48"/>
      <c r="BC341" s="45">
        <v>0</v>
      </c>
      <c r="BD341" s="45">
        <v>0</v>
      </c>
      <c r="BE341" s="45">
        <v>0</v>
      </c>
      <c r="BF341" s="45">
        <v>0</v>
      </c>
      <c r="BG341" s="45"/>
      <c r="BH341" s="46"/>
      <c r="BI341" s="45">
        <v>0</v>
      </c>
      <c r="BJ341" s="45">
        <v>0</v>
      </c>
      <c r="BK341" s="45"/>
      <c r="BL341" s="45"/>
      <c r="BM341" s="45">
        <v>0</v>
      </c>
      <c r="BN341" s="45"/>
      <c r="BO341" s="45"/>
      <c r="BP341" s="46"/>
      <c r="BQ341" s="87"/>
      <c r="BR341" s="52">
        <v>0</v>
      </c>
      <c r="BS341" s="52">
        <v>0</v>
      </c>
    </row>
    <row r="342" spans="2:71" ht="12" customHeight="1" x14ac:dyDescent="0.2">
      <c r="B342" s="56" t="s">
        <v>64</v>
      </c>
      <c r="C342" s="45"/>
      <c r="D342" s="45">
        <v>0</v>
      </c>
      <c r="E342" s="52">
        <v>0</v>
      </c>
      <c r="F342" s="52">
        <v>0</v>
      </c>
      <c r="G342" s="48"/>
      <c r="H342" s="45">
        <v>0</v>
      </c>
      <c r="I342" s="45">
        <v>0</v>
      </c>
      <c r="J342" s="45">
        <v>0</v>
      </c>
      <c r="K342" s="45"/>
      <c r="L342" s="45"/>
      <c r="M342" s="52">
        <v>0</v>
      </c>
      <c r="N342" s="52">
        <v>0</v>
      </c>
      <c r="O342" s="83">
        <v>0</v>
      </c>
      <c r="P342" s="83"/>
      <c r="Q342" s="52"/>
      <c r="R342" s="52">
        <v>0</v>
      </c>
      <c r="S342" s="61">
        <v>0</v>
      </c>
      <c r="T342" s="49"/>
      <c r="U342" s="45"/>
      <c r="V342" s="45"/>
      <c r="W342" s="45"/>
      <c r="X342" s="45"/>
      <c r="Y342" s="45">
        <v>0</v>
      </c>
      <c r="Z342" s="45">
        <v>0</v>
      </c>
      <c r="AA342" s="45"/>
      <c r="AB342" s="45"/>
      <c r="AC342" s="45"/>
      <c r="AD342" s="52"/>
      <c r="AE342" s="52">
        <v>0</v>
      </c>
      <c r="AF342" s="48">
        <v>0</v>
      </c>
      <c r="AG342" s="52">
        <v>0</v>
      </c>
      <c r="AH342" s="52">
        <v>0</v>
      </c>
      <c r="AI342" s="48"/>
      <c r="AJ342" s="48">
        <v>0</v>
      </c>
      <c r="AK342" s="52">
        <v>0</v>
      </c>
      <c r="AL342" s="52">
        <v>0</v>
      </c>
      <c r="AM342" s="48">
        <v>0</v>
      </c>
      <c r="AN342" s="89">
        <v>0</v>
      </c>
      <c r="AO342" s="52">
        <v>0</v>
      </c>
      <c r="AP342" s="48">
        <v>0</v>
      </c>
      <c r="AQ342" s="88">
        <v>0</v>
      </c>
      <c r="AR342" s="52">
        <v>0</v>
      </c>
      <c r="AS342" s="52"/>
      <c r="AT342" s="78"/>
      <c r="AU342" s="52">
        <v>0</v>
      </c>
      <c r="AV342" s="48"/>
      <c r="AW342" s="52"/>
      <c r="AX342" s="52">
        <v>0</v>
      </c>
      <c r="AY342" s="87"/>
      <c r="AZ342" s="52">
        <v>0</v>
      </c>
      <c r="BA342" s="52">
        <v>0</v>
      </c>
      <c r="BB342" s="48"/>
      <c r="BC342" s="45">
        <v>0</v>
      </c>
      <c r="BD342" s="45">
        <v>0</v>
      </c>
      <c r="BE342" s="45">
        <v>0</v>
      </c>
      <c r="BF342" s="45">
        <v>0</v>
      </c>
      <c r="BG342" s="45"/>
      <c r="BH342" s="46"/>
      <c r="BI342" s="45">
        <v>0</v>
      </c>
      <c r="BJ342" s="45">
        <v>0</v>
      </c>
      <c r="BK342" s="45"/>
      <c r="BL342" s="45"/>
      <c r="BM342" s="45">
        <v>0</v>
      </c>
      <c r="BN342" s="45"/>
      <c r="BO342" s="45"/>
      <c r="BP342" s="46"/>
      <c r="BQ342" s="87"/>
      <c r="BR342" s="52">
        <v>0</v>
      </c>
      <c r="BS342" s="52">
        <v>0</v>
      </c>
    </row>
    <row r="343" spans="2:71" ht="12" customHeight="1" x14ac:dyDescent="0.2">
      <c r="B343" s="56" t="s">
        <v>64</v>
      </c>
      <c r="C343" s="45"/>
      <c r="D343" s="45">
        <v>0</v>
      </c>
      <c r="E343" s="52">
        <v>0</v>
      </c>
      <c r="F343" s="52">
        <v>0</v>
      </c>
      <c r="G343" s="48"/>
      <c r="H343" s="45">
        <v>0</v>
      </c>
      <c r="I343" s="45">
        <v>0</v>
      </c>
      <c r="J343" s="45">
        <v>0</v>
      </c>
      <c r="K343" s="45"/>
      <c r="L343" s="45"/>
      <c r="M343" s="52">
        <v>0</v>
      </c>
      <c r="N343" s="52">
        <v>0</v>
      </c>
      <c r="O343" s="83">
        <v>0</v>
      </c>
      <c r="P343" s="83"/>
      <c r="Q343" s="52"/>
      <c r="R343" s="52">
        <v>0</v>
      </c>
      <c r="S343" s="61">
        <v>0</v>
      </c>
      <c r="T343" s="49"/>
      <c r="U343" s="45"/>
      <c r="V343" s="45"/>
      <c r="W343" s="45"/>
      <c r="X343" s="45"/>
      <c r="Y343" s="45">
        <v>0</v>
      </c>
      <c r="Z343" s="45">
        <v>0</v>
      </c>
      <c r="AA343" s="45"/>
      <c r="AB343" s="45"/>
      <c r="AC343" s="45"/>
      <c r="AD343" s="52"/>
      <c r="AE343" s="52">
        <v>0</v>
      </c>
      <c r="AF343" s="48">
        <v>0</v>
      </c>
      <c r="AG343" s="52">
        <v>0</v>
      </c>
      <c r="AH343" s="52">
        <v>0</v>
      </c>
      <c r="AI343" s="48"/>
      <c r="AJ343" s="48">
        <v>0</v>
      </c>
      <c r="AK343" s="52">
        <v>0</v>
      </c>
      <c r="AL343" s="52">
        <v>0</v>
      </c>
      <c r="AM343" s="48">
        <v>0</v>
      </c>
      <c r="AN343" s="89">
        <v>0</v>
      </c>
      <c r="AO343" s="52">
        <v>0</v>
      </c>
      <c r="AP343" s="48">
        <v>0</v>
      </c>
      <c r="AQ343" s="88">
        <v>0</v>
      </c>
      <c r="AR343" s="52">
        <v>0</v>
      </c>
      <c r="AS343" s="52"/>
      <c r="AT343" s="78"/>
      <c r="AU343" s="52">
        <v>0</v>
      </c>
      <c r="AV343" s="48"/>
      <c r="AW343" s="52"/>
      <c r="AX343" s="52">
        <v>0</v>
      </c>
      <c r="AY343" s="87"/>
      <c r="AZ343" s="52">
        <v>0</v>
      </c>
      <c r="BA343" s="52">
        <v>0</v>
      </c>
      <c r="BB343" s="48"/>
      <c r="BC343" s="45">
        <v>0</v>
      </c>
      <c r="BD343" s="45">
        <v>0</v>
      </c>
      <c r="BE343" s="45">
        <v>0</v>
      </c>
      <c r="BF343" s="45">
        <v>0</v>
      </c>
      <c r="BG343" s="45"/>
      <c r="BH343" s="46"/>
      <c r="BI343" s="45">
        <v>0</v>
      </c>
      <c r="BJ343" s="45">
        <v>0</v>
      </c>
      <c r="BK343" s="45"/>
      <c r="BL343" s="45"/>
      <c r="BM343" s="45">
        <v>0</v>
      </c>
      <c r="BN343" s="45"/>
      <c r="BO343" s="45"/>
      <c r="BP343" s="46"/>
      <c r="BQ343" s="87"/>
      <c r="BR343" s="52">
        <v>0</v>
      </c>
      <c r="BS343" s="52">
        <v>0</v>
      </c>
    </row>
    <row r="344" spans="2:71" ht="12" customHeight="1" x14ac:dyDescent="0.2">
      <c r="B344" s="56" t="s">
        <v>64</v>
      </c>
      <c r="C344" s="45"/>
      <c r="D344" s="45">
        <v>0</v>
      </c>
      <c r="E344" s="52">
        <v>0</v>
      </c>
      <c r="F344" s="52">
        <v>0</v>
      </c>
      <c r="G344" s="48"/>
      <c r="H344" s="45">
        <v>0</v>
      </c>
      <c r="I344" s="45">
        <v>0</v>
      </c>
      <c r="J344" s="45">
        <v>0</v>
      </c>
      <c r="K344" s="45"/>
      <c r="L344" s="45"/>
      <c r="M344" s="52">
        <v>0</v>
      </c>
      <c r="N344" s="52">
        <v>0</v>
      </c>
      <c r="O344" s="83">
        <v>0</v>
      </c>
      <c r="P344" s="83"/>
      <c r="Q344" s="52"/>
      <c r="R344" s="52">
        <v>0</v>
      </c>
      <c r="S344" s="61">
        <v>0</v>
      </c>
      <c r="T344" s="49"/>
      <c r="U344" s="45"/>
      <c r="V344" s="45"/>
      <c r="W344" s="45"/>
      <c r="X344" s="45"/>
      <c r="Y344" s="45">
        <v>0</v>
      </c>
      <c r="Z344" s="45">
        <v>0</v>
      </c>
      <c r="AA344" s="45"/>
      <c r="AB344" s="45"/>
      <c r="AC344" s="45"/>
      <c r="AD344" s="52"/>
      <c r="AE344" s="52">
        <v>0</v>
      </c>
      <c r="AF344" s="48">
        <v>0</v>
      </c>
      <c r="AG344" s="52">
        <v>0</v>
      </c>
      <c r="AH344" s="52">
        <v>0</v>
      </c>
      <c r="AI344" s="48"/>
      <c r="AJ344" s="48">
        <v>0</v>
      </c>
      <c r="AK344" s="52">
        <v>0</v>
      </c>
      <c r="AL344" s="52">
        <v>0</v>
      </c>
      <c r="AM344" s="48">
        <v>0</v>
      </c>
      <c r="AN344" s="89">
        <v>0</v>
      </c>
      <c r="AO344" s="52">
        <v>0</v>
      </c>
      <c r="AP344" s="48">
        <v>0</v>
      </c>
      <c r="AQ344" s="88">
        <v>0</v>
      </c>
      <c r="AR344" s="52">
        <v>0</v>
      </c>
      <c r="AS344" s="52"/>
      <c r="AT344" s="78"/>
      <c r="AU344" s="52">
        <v>0</v>
      </c>
      <c r="AV344" s="48"/>
      <c r="AW344" s="52"/>
      <c r="AX344" s="52">
        <v>0</v>
      </c>
      <c r="AY344" s="87"/>
      <c r="AZ344" s="52">
        <v>0</v>
      </c>
      <c r="BA344" s="52">
        <v>0</v>
      </c>
      <c r="BB344" s="48"/>
      <c r="BC344" s="45">
        <v>0</v>
      </c>
      <c r="BD344" s="45">
        <v>0</v>
      </c>
      <c r="BE344" s="45">
        <v>0</v>
      </c>
      <c r="BF344" s="45">
        <v>0</v>
      </c>
      <c r="BG344" s="45"/>
      <c r="BH344" s="46"/>
      <c r="BI344" s="45">
        <v>0</v>
      </c>
      <c r="BJ344" s="45">
        <v>0</v>
      </c>
      <c r="BK344" s="45"/>
      <c r="BL344" s="45"/>
      <c r="BM344" s="45">
        <v>0</v>
      </c>
      <c r="BN344" s="45"/>
      <c r="BO344" s="45"/>
      <c r="BP344" s="46"/>
      <c r="BQ344" s="87"/>
      <c r="BR344" s="52">
        <v>0</v>
      </c>
      <c r="BS344" s="52">
        <v>0</v>
      </c>
    </row>
    <row r="345" spans="2:71" ht="12" customHeight="1" x14ac:dyDescent="0.2">
      <c r="B345" s="56" t="s">
        <v>64</v>
      </c>
      <c r="C345" s="45"/>
      <c r="D345" s="45">
        <v>0</v>
      </c>
      <c r="E345" s="52">
        <v>0</v>
      </c>
      <c r="F345" s="52">
        <v>0</v>
      </c>
      <c r="G345" s="48"/>
      <c r="H345" s="45">
        <v>0</v>
      </c>
      <c r="I345" s="45">
        <v>0</v>
      </c>
      <c r="J345" s="45">
        <v>0</v>
      </c>
      <c r="K345" s="45"/>
      <c r="L345" s="45"/>
      <c r="M345" s="52">
        <v>0</v>
      </c>
      <c r="N345" s="52">
        <v>0</v>
      </c>
      <c r="O345" s="83">
        <v>0</v>
      </c>
      <c r="P345" s="83"/>
      <c r="Q345" s="52"/>
      <c r="R345" s="52">
        <v>0</v>
      </c>
      <c r="S345" s="61">
        <v>0</v>
      </c>
      <c r="T345" s="49"/>
      <c r="U345" s="45"/>
      <c r="V345" s="45"/>
      <c r="W345" s="45"/>
      <c r="X345" s="45"/>
      <c r="Y345" s="45">
        <v>0</v>
      </c>
      <c r="Z345" s="45">
        <v>0</v>
      </c>
      <c r="AA345" s="45"/>
      <c r="AB345" s="45"/>
      <c r="AC345" s="45"/>
      <c r="AD345" s="52"/>
      <c r="AE345" s="52">
        <v>0</v>
      </c>
      <c r="AF345" s="48">
        <v>0</v>
      </c>
      <c r="AG345" s="52">
        <v>0</v>
      </c>
      <c r="AH345" s="52">
        <v>0</v>
      </c>
      <c r="AI345" s="48"/>
      <c r="AJ345" s="48">
        <v>0</v>
      </c>
      <c r="AK345" s="52">
        <v>0</v>
      </c>
      <c r="AL345" s="52">
        <v>0</v>
      </c>
      <c r="AM345" s="48">
        <v>0</v>
      </c>
      <c r="AN345" s="89">
        <v>0</v>
      </c>
      <c r="AO345" s="52">
        <v>0</v>
      </c>
      <c r="AP345" s="48">
        <v>0</v>
      </c>
      <c r="AQ345" s="88">
        <v>0</v>
      </c>
      <c r="AR345" s="52">
        <v>0</v>
      </c>
      <c r="AS345" s="52"/>
      <c r="AT345" s="78"/>
      <c r="AU345" s="52">
        <v>0</v>
      </c>
      <c r="AV345" s="48"/>
      <c r="AW345" s="52"/>
      <c r="AX345" s="52">
        <v>0</v>
      </c>
      <c r="AY345" s="87"/>
      <c r="AZ345" s="52">
        <v>0</v>
      </c>
      <c r="BA345" s="52">
        <v>0</v>
      </c>
      <c r="BB345" s="48"/>
      <c r="BC345" s="45">
        <v>0</v>
      </c>
      <c r="BD345" s="45">
        <v>0</v>
      </c>
      <c r="BE345" s="45">
        <v>0</v>
      </c>
      <c r="BF345" s="45">
        <v>0</v>
      </c>
      <c r="BG345" s="45"/>
      <c r="BH345" s="46"/>
      <c r="BI345" s="45">
        <v>0</v>
      </c>
      <c r="BJ345" s="45">
        <v>0</v>
      </c>
      <c r="BK345" s="45"/>
      <c r="BL345" s="45"/>
      <c r="BM345" s="45">
        <v>0</v>
      </c>
      <c r="BN345" s="45"/>
      <c r="BO345" s="45"/>
      <c r="BP345" s="46"/>
      <c r="BQ345" s="87"/>
      <c r="BR345" s="52">
        <v>0</v>
      </c>
      <c r="BS345" s="52">
        <v>0</v>
      </c>
    </row>
    <row r="346" spans="2:71" ht="12" customHeight="1" x14ac:dyDescent="0.2">
      <c r="B346" s="56" t="s">
        <v>64</v>
      </c>
      <c r="C346" s="45"/>
      <c r="D346" s="45">
        <v>0</v>
      </c>
      <c r="E346" s="52">
        <v>0</v>
      </c>
      <c r="F346" s="52">
        <v>0</v>
      </c>
      <c r="G346" s="48"/>
      <c r="H346" s="45">
        <v>0</v>
      </c>
      <c r="I346" s="45">
        <v>0</v>
      </c>
      <c r="J346" s="45">
        <v>0</v>
      </c>
      <c r="K346" s="45"/>
      <c r="L346" s="45"/>
      <c r="M346" s="52">
        <v>0</v>
      </c>
      <c r="N346" s="52">
        <v>0</v>
      </c>
      <c r="O346" s="83">
        <v>0</v>
      </c>
      <c r="P346" s="83"/>
      <c r="Q346" s="52"/>
      <c r="R346" s="52">
        <v>0</v>
      </c>
      <c r="S346" s="61">
        <v>0</v>
      </c>
      <c r="T346" s="49"/>
      <c r="U346" s="45"/>
      <c r="V346" s="45"/>
      <c r="W346" s="45"/>
      <c r="X346" s="45"/>
      <c r="Y346" s="45">
        <v>0</v>
      </c>
      <c r="Z346" s="45">
        <v>0</v>
      </c>
      <c r="AA346" s="45"/>
      <c r="AB346" s="45"/>
      <c r="AC346" s="45"/>
      <c r="AD346" s="52"/>
      <c r="AE346" s="52">
        <v>0</v>
      </c>
      <c r="AF346" s="48">
        <v>0</v>
      </c>
      <c r="AG346" s="52">
        <v>0</v>
      </c>
      <c r="AH346" s="52">
        <v>0</v>
      </c>
      <c r="AI346" s="48"/>
      <c r="AJ346" s="48">
        <v>0</v>
      </c>
      <c r="AK346" s="52">
        <v>0</v>
      </c>
      <c r="AL346" s="52">
        <v>0</v>
      </c>
      <c r="AM346" s="48">
        <v>0</v>
      </c>
      <c r="AN346" s="89">
        <v>0</v>
      </c>
      <c r="AO346" s="52">
        <v>0</v>
      </c>
      <c r="AP346" s="48">
        <v>0</v>
      </c>
      <c r="AQ346" s="88">
        <v>0</v>
      </c>
      <c r="AR346" s="52">
        <v>0</v>
      </c>
      <c r="AS346" s="52"/>
      <c r="AT346" s="78"/>
      <c r="AU346" s="52">
        <v>0</v>
      </c>
      <c r="AV346" s="48"/>
      <c r="AW346" s="52"/>
      <c r="AX346" s="52">
        <v>0</v>
      </c>
      <c r="AY346" s="66"/>
      <c r="AZ346" s="52">
        <v>0</v>
      </c>
      <c r="BA346" s="52">
        <v>0</v>
      </c>
      <c r="BB346" s="48"/>
      <c r="BC346" s="45">
        <v>0</v>
      </c>
      <c r="BD346" s="45">
        <v>0</v>
      </c>
      <c r="BE346" s="45">
        <v>0</v>
      </c>
      <c r="BF346" s="45">
        <v>0</v>
      </c>
      <c r="BG346" s="45"/>
      <c r="BH346" s="46"/>
      <c r="BI346" s="45">
        <v>0</v>
      </c>
      <c r="BJ346" s="45">
        <v>0</v>
      </c>
      <c r="BK346" s="45"/>
      <c r="BL346" s="45"/>
      <c r="BM346" s="45">
        <v>0</v>
      </c>
      <c r="BN346" s="45"/>
      <c r="BO346" s="45"/>
      <c r="BP346" s="46"/>
      <c r="BQ346" s="66"/>
      <c r="BR346" s="52">
        <v>0</v>
      </c>
      <c r="BS346" s="52">
        <v>0</v>
      </c>
    </row>
    <row r="347" spans="2:71" ht="12" customHeight="1" x14ac:dyDescent="0.2">
      <c r="B347" s="56" t="s">
        <v>64</v>
      </c>
      <c r="C347" s="45"/>
      <c r="D347" s="45">
        <v>0</v>
      </c>
      <c r="E347" s="52">
        <v>0</v>
      </c>
      <c r="F347" s="52">
        <v>0</v>
      </c>
      <c r="G347" s="48"/>
      <c r="H347" s="45">
        <v>0</v>
      </c>
      <c r="I347" s="45">
        <v>0</v>
      </c>
      <c r="J347" s="45">
        <v>0</v>
      </c>
      <c r="K347" s="45"/>
      <c r="L347" s="45"/>
      <c r="M347" s="52">
        <v>0</v>
      </c>
      <c r="N347" s="52">
        <v>0</v>
      </c>
      <c r="O347" s="83">
        <v>0</v>
      </c>
      <c r="P347" s="83"/>
      <c r="Q347" s="52"/>
      <c r="R347" s="52">
        <v>0</v>
      </c>
      <c r="S347" s="61">
        <v>0</v>
      </c>
      <c r="T347" s="49"/>
      <c r="U347" s="45"/>
      <c r="V347" s="45"/>
      <c r="W347" s="45"/>
      <c r="X347" s="45"/>
      <c r="Y347" s="45">
        <v>0</v>
      </c>
      <c r="Z347" s="45">
        <v>0</v>
      </c>
      <c r="AA347" s="45"/>
      <c r="AB347" s="45"/>
      <c r="AC347" s="45"/>
      <c r="AD347" s="52"/>
      <c r="AE347" s="52">
        <v>0</v>
      </c>
      <c r="AF347" s="48">
        <v>0</v>
      </c>
      <c r="AG347" s="52">
        <v>0</v>
      </c>
      <c r="AH347" s="52">
        <v>0</v>
      </c>
      <c r="AI347" s="48"/>
      <c r="AJ347" s="48">
        <v>0</v>
      </c>
      <c r="AK347" s="52">
        <v>0</v>
      </c>
      <c r="AL347" s="52">
        <v>0</v>
      </c>
      <c r="AM347" s="48">
        <v>0</v>
      </c>
      <c r="AN347" s="89">
        <v>0</v>
      </c>
      <c r="AO347" s="52">
        <v>0</v>
      </c>
      <c r="AP347" s="48">
        <v>0</v>
      </c>
      <c r="AQ347" s="88">
        <v>0</v>
      </c>
      <c r="AR347" s="52">
        <v>0</v>
      </c>
      <c r="AS347" s="52"/>
      <c r="AT347" s="78"/>
      <c r="AU347" s="52">
        <v>0</v>
      </c>
      <c r="AV347" s="48"/>
      <c r="AW347" s="52"/>
      <c r="AX347" s="52">
        <v>0</v>
      </c>
      <c r="AY347" s="66"/>
      <c r="AZ347" s="52">
        <v>0</v>
      </c>
      <c r="BA347" s="52">
        <v>0</v>
      </c>
      <c r="BB347" s="48"/>
      <c r="BC347" s="45">
        <v>0</v>
      </c>
      <c r="BD347" s="45">
        <v>0</v>
      </c>
      <c r="BE347" s="45">
        <v>0</v>
      </c>
      <c r="BF347" s="45">
        <v>0</v>
      </c>
      <c r="BG347" s="45"/>
      <c r="BH347" s="46"/>
      <c r="BI347" s="45">
        <v>0</v>
      </c>
      <c r="BJ347" s="45">
        <v>0</v>
      </c>
      <c r="BK347" s="45"/>
      <c r="BL347" s="45"/>
      <c r="BM347" s="45">
        <v>0</v>
      </c>
      <c r="BN347" s="45"/>
      <c r="BO347" s="45"/>
      <c r="BP347" s="46"/>
      <c r="BQ347" s="66"/>
      <c r="BR347" s="52">
        <v>0</v>
      </c>
      <c r="BS347" s="52">
        <v>0</v>
      </c>
    </row>
    <row r="348" spans="2:71" ht="12" customHeight="1" x14ac:dyDescent="0.2">
      <c r="B348" s="56" t="s">
        <v>64</v>
      </c>
      <c r="C348" s="45"/>
      <c r="D348" s="45">
        <v>0</v>
      </c>
      <c r="E348" s="52">
        <v>0</v>
      </c>
      <c r="F348" s="52">
        <v>0</v>
      </c>
      <c r="G348" s="48"/>
      <c r="H348" s="45">
        <v>0</v>
      </c>
      <c r="I348" s="45">
        <v>0</v>
      </c>
      <c r="J348" s="45">
        <v>0</v>
      </c>
      <c r="K348" s="45"/>
      <c r="L348" s="45"/>
      <c r="M348" s="52">
        <v>0</v>
      </c>
      <c r="N348" s="52">
        <v>0</v>
      </c>
      <c r="O348" s="83">
        <v>0</v>
      </c>
      <c r="P348" s="83"/>
      <c r="Q348" s="52"/>
      <c r="R348" s="52">
        <v>0</v>
      </c>
      <c r="S348" s="61">
        <v>0</v>
      </c>
      <c r="T348" s="49"/>
      <c r="U348" s="45"/>
      <c r="V348" s="45"/>
      <c r="W348" s="45"/>
      <c r="X348" s="45"/>
      <c r="Y348" s="45">
        <v>0</v>
      </c>
      <c r="Z348" s="45">
        <v>0</v>
      </c>
      <c r="AA348" s="45"/>
      <c r="AB348" s="45"/>
      <c r="AC348" s="45"/>
      <c r="AD348" s="52"/>
      <c r="AE348" s="52">
        <v>0</v>
      </c>
      <c r="AF348" s="48">
        <v>0</v>
      </c>
      <c r="AG348" s="52">
        <v>0</v>
      </c>
      <c r="AH348" s="52">
        <v>0</v>
      </c>
      <c r="AI348" s="48"/>
      <c r="AJ348" s="48">
        <v>0</v>
      </c>
      <c r="AK348" s="52">
        <v>0</v>
      </c>
      <c r="AL348" s="52">
        <v>0</v>
      </c>
      <c r="AM348" s="48">
        <v>0</v>
      </c>
      <c r="AN348" s="89">
        <v>0</v>
      </c>
      <c r="AO348" s="52">
        <v>0</v>
      </c>
      <c r="AP348" s="48">
        <v>0</v>
      </c>
      <c r="AQ348" s="88">
        <v>0</v>
      </c>
      <c r="AR348" s="52">
        <v>0</v>
      </c>
      <c r="AS348" s="52"/>
      <c r="AT348" s="78"/>
      <c r="AU348" s="52">
        <v>0</v>
      </c>
      <c r="AV348" s="48"/>
      <c r="AW348" s="52"/>
      <c r="AX348" s="52">
        <v>0</v>
      </c>
      <c r="AY348" s="66"/>
      <c r="AZ348" s="52">
        <v>0</v>
      </c>
      <c r="BA348" s="52">
        <v>0</v>
      </c>
      <c r="BB348" s="48"/>
      <c r="BC348" s="45">
        <v>0</v>
      </c>
      <c r="BD348" s="45">
        <v>0</v>
      </c>
      <c r="BE348" s="45">
        <v>0</v>
      </c>
      <c r="BF348" s="45">
        <v>0</v>
      </c>
      <c r="BG348" s="45"/>
      <c r="BH348" s="46"/>
      <c r="BI348" s="45">
        <v>0</v>
      </c>
      <c r="BJ348" s="45">
        <v>0</v>
      </c>
      <c r="BK348" s="45"/>
      <c r="BL348" s="45"/>
      <c r="BM348" s="45">
        <v>0</v>
      </c>
      <c r="BN348" s="45"/>
      <c r="BO348" s="45"/>
      <c r="BP348" s="46"/>
      <c r="BQ348" s="66"/>
      <c r="BR348" s="52">
        <v>0</v>
      </c>
      <c r="BS348" s="52">
        <v>0</v>
      </c>
    </row>
    <row r="349" spans="2:71" ht="12" customHeight="1" x14ac:dyDescent="0.2">
      <c r="B349" s="56" t="s">
        <v>64</v>
      </c>
      <c r="C349" s="45"/>
      <c r="D349" s="45">
        <v>0</v>
      </c>
      <c r="E349" s="52">
        <v>0</v>
      </c>
      <c r="F349" s="52">
        <v>0</v>
      </c>
      <c r="G349" s="48"/>
      <c r="H349" s="45">
        <v>0</v>
      </c>
      <c r="I349" s="45">
        <v>0</v>
      </c>
      <c r="J349" s="45">
        <v>0</v>
      </c>
      <c r="K349" s="45"/>
      <c r="L349" s="45"/>
      <c r="M349" s="52">
        <v>0</v>
      </c>
      <c r="N349" s="52">
        <v>0</v>
      </c>
      <c r="O349" s="83">
        <v>0</v>
      </c>
      <c r="P349" s="83"/>
      <c r="Q349" s="52"/>
      <c r="R349" s="52">
        <v>0</v>
      </c>
      <c r="S349" s="61">
        <v>0</v>
      </c>
      <c r="T349" s="49"/>
      <c r="U349" s="45"/>
      <c r="V349" s="45"/>
      <c r="W349" s="45"/>
      <c r="X349" s="45"/>
      <c r="Y349" s="45">
        <v>0</v>
      </c>
      <c r="Z349" s="45">
        <v>0</v>
      </c>
      <c r="AA349" s="45"/>
      <c r="AB349" s="45"/>
      <c r="AC349" s="45"/>
      <c r="AD349" s="52"/>
      <c r="AE349" s="52">
        <v>0</v>
      </c>
      <c r="AF349" s="48">
        <v>0</v>
      </c>
      <c r="AG349" s="52">
        <v>0</v>
      </c>
      <c r="AH349" s="52">
        <v>0</v>
      </c>
      <c r="AI349" s="48"/>
      <c r="AJ349" s="48">
        <v>0</v>
      </c>
      <c r="AK349" s="52">
        <v>0</v>
      </c>
      <c r="AL349" s="52">
        <v>0</v>
      </c>
      <c r="AM349" s="48">
        <v>0</v>
      </c>
      <c r="AN349" s="89">
        <v>0</v>
      </c>
      <c r="AO349" s="52">
        <v>0</v>
      </c>
      <c r="AP349" s="48">
        <v>0</v>
      </c>
      <c r="AQ349" s="88">
        <v>0</v>
      </c>
      <c r="AR349" s="52">
        <v>0</v>
      </c>
      <c r="AS349" s="52"/>
      <c r="AT349" s="78"/>
      <c r="AU349" s="52">
        <v>0</v>
      </c>
      <c r="AV349" s="48"/>
      <c r="AW349" s="52"/>
      <c r="AX349" s="52">
        <v>0</v>
      </c>
      <c r="AY349" s="66"/>
      <c r="AZ349" s="52">
        <v>0</v>
      </c>
      <c r="BA349" s="52">
        <v>0</v>
      </c>
      <c r="BB349" s="48"/>
      <c r="BC349" s="45">
        <v>0</v>
      </c>
      <c r="BD349" s="45">
        <v>0</v>
      </c>
      <c r="BE349" s="45">
        <v>0</v>
      </c>
      <c r="BF349" s="45">
        <v>0</v>
      </c>
      <c r="BG349" s="45"/>
      <c r="BH349" s="46"/>
      <c r="BI349" s="45">
        <v>0</v>
      </c>
      <c r="BJ349" s="45">
        <v>0</v>
      </c>
      <c r="BK349" s="45"/>
      <c r="BL349" s="45"/>
      <c r="BM349" s="45">
        <v>0</v>
      </c>
      <c r="BN349" s="45"/>
      <c r="BO349" s="45"/>
      <c r="BP349" s="46"/>
      <c r="BQ349" s="66"/>
      <c r="BR349" s="52">
        <v>0</v>
      </c>
      <c r="BS349" s="52">
        <v>0</v>
      </c>
    </row>
    <row r="350" spans="2:71" ht="12" customHeight="1" x14ac:dyDescent="0.2">
      <c r="B350" s="56" t="s">
        <v>64</v>
      </c>
      <c r="C350" s="45"/>
      <c r="D350" s="45">
        <v>0</v>
      </c>
      <c r="E350" s="52">
        <v>0</v>
      </c>
      <c r="F350" s="52">
        <v>0</v>
      </c>
      <c r="G350" s="48"/>
      <c r="H350" s="45">
        <v>0</v>
      </c>
      <c r="I350" s="45">
        <v>0</v>
      </c>
      <c r="J350" s="45">
        <v>0</v>
      </c>
      <c r="K350" s="45"/>
      <c r="L350" s="45"/>
      <c r="M350" s="52">
        <v>0</v>
      </c>
      <c r="N350" s="52">
        <v>0</v>
      </c>
      <c r="O350" s="83">
        <v>0</v>
      </c>
      <c r="P350" s="83"/>
      <c r="Q350" s="52"/>
      <c r="R350" s="52">
        <v>0</v>
      </c>
      <c r="S350" s="61">
        <v>0</v>
      </c>
      <c r="T350" s="49"/>
      <c r="U350" s="45"/>
      <c r="V350" s="45"/>
      <c r="W350" s="45"/>
      <c r="X350" s="45"/>
      <c r="Y350" s="45">
        <v>0</v>
      </c>
      <c r="Z350" s="45">
        <v>0</v>
      </c>
      <c r="AA350" s="45"/>
      <c r="AB350" s="45"/>
      <c r="AC350" s="45"/>
      <c r="AD350" s="52"/>
      <c r="AE350" s="52">
        <v>0</v>
      </c>
      <c r="AF350" s="48">
        <v>0</v>
      </c>
      <c r="AG350" s="52">
        <v>0</v>
      </c>
      <c r="AH350" s="52">
        <v>0</v>
      </c>
      <c r="AI350" s="48"/>
      <c r="AJ350" s="48">
        <v>0</v>
      </c>
      <c r="AK350" s="52">
        <v>0</v>
      </c>
      <c r="AL350" s="52">
        <v>0</v>
      </c>
      <c r="AM350" s="48">
        <v>0</v>
      </c>
      <c r="AN350" s="89">
        <v>0</v>
      </c>
      <c r="AO350" s="52">
        <v>0</v>
      </c>
      <c r="AP350" s="48">
        <v>0</v>
      </c>
      <c r="AQ350" s="88">
        <v>0</v>
      </c>
      <c r="AR350" s="52">
        <v>0</v>
      </c>
      <c r="AS350" s="52"/>
      <c r="AT350" s="78"/>
      <c r="AU350" s="52">
        <v>0</v>
      </c>
      <c r="AV350" s="48"/>
      <c r="AW350" s="52"/>
      <c r="AX350" s="52">
        <v>0</v>
      </c>
      <c r="AY350" s="66"/>
      <c r="AZ350" s="52">
        <v>0</v>
      </c>
      <c r="BA350" s="52">
        <v>0</v>
      </c>
      <c r="BB350" s="48"/>
      <c r="BC350" s="45">
        <v>0</v>
      </c>
      <c r="BD350" s="45">
        <v>0</v>
      </c>
      <c r="BE350" s="45">
        <v>0</v>
      </c>
      <c r="BF350" s="45">
        <v>0</v>
      </c>
      <c r="BG350" s="45"/>
      <c r="BH350" s="46"/>
      <c r="BI350" s="45">
        <v>0</v>
      </c>
      <c r="BJ350" s="45">
        <v>0</v>
      </c>
      <c r="BK350" s="45"/>
      <c r="BL350" s="45"/>
      <c r="BM350" s="45">
        <v>0</v>
      </c>
      <c r="BN350" s="45"/>
      <c r="BO350" s="45"/>
      <c r="BP350" s="46"/>
      <c r="BQ350" s="66"/>
      <c r="BR350" s="52">
        <v>0</v>
      </c>
      <c r="BS350" s="52">
        <v>0</v>
      </c>
    </row>
    <row r="351" spans="2:71" ht="12" customHeight="1" x14ac:dyDescent="0.2">
      <c r="B351" s="56" t="s">
        <v>64</v>
      </c>
      <c r="C351" s="45"/>
      <c r="D351" s="45">
        <v>0</v>
      </c>
      <c r="E351" s="52">
        <v>0</v>
      </c>
      <c r="F351" s="52">
        <v>0</v>
      </c>
      <c r="G351" s="48"/>
      <c r="H351" s="45">
        <v>0</v>
      </c>
      <c r="I351" s="45">
        <v>0</v>
      </c>
      <c r="J351" s="45">
        <v>0</v>
      </c>
      <c r="K351" s="45"/>
      <c r="L351" s="45"/>
      <c r="M351" s="52">
        <v>0</v>
      </c>
      <c r="N351" s="52">
        <v>0</v>
      </c>
      <c r="O351" s="83">
        <v>0</v>
      </c>
      <c r="P351" s="83"/>
      <c r="Q351" s="52"/>
      <c r="R351" s="52">
        <v>0</v>
      </c>
      <c r="S351" s="61">
        <v>0</v>
      </c>
      <c r="T351" s="49"/>
      <c r="U351" s="45"/>
      <c r="V351" s="45"/>
      <c r="W351" s="45"/>
      <c r="X351" s="45"/>
      <c r="Y351" s="45">
        <v>0</v>
      </c>
      <c r="Z351" s="45">
        <v>0</v>
      </c>
      <c r="AA351" s="45"/>
      <c r="AB351" s="45"/>
      <c r="AC351" s="45"/>
      <c r="AD351" s="52"/>
      <c r="AE351" s="52">
        <v>0</v>
      </c>
      <c r="AF351" s="48">
        <v>0</v>
      </c>
      <c r="AG351" s="52">
        <v>0</v>
      </c>
      <c r="AH351" s="52">
        <v>0</v>
      </c>
      <c r="AI351" s="48"/>
      <c r="AJ351" s="48">
        <v>0</v>
      </c>
      <c r="AK351" s="52">
        <v>0</v>
      </c>
      <c r="AL351" s="52">
        <v>0</v>
      </c>
      <c r="AM351" s="48">
        <v>0</v>
      </c>
      <c r="AN351" s="89">
        <v>0</v>
      </c>
      <c r="AO351" s="52">
        <v>0</v>
      </c>
      <c r="AP351" s="48">
        <v>0</v>
      </c>
      <c r="AQ351" s="88">
        <v>0</v>
      </c>
      <c r="AR351" s="52">
        <v>0</v>
      </c>
      <c r="AS351" s="52"/>
      <c r="AT351" s="78"/>
      <c r="AU351" s="52">
        <v>0</v>
      </c>
      <c r="AV351" s="48"/>
      <c r="AW351" s="52"/>
      <c r="AX351" s="52">
        <v>0</v>
      </c>
      <c r="AY351" s="66"/>
      <c r="AZ351" s="52">
        <v>0</v>
      </c>
      <c r="BA351" s="52">
        <v>0</v>
      </c>
      <c r="BB351" s="48"/>
      <c r="BC351" s="45">
        <v>0</v>
      </c>
      <c r="BD351" s="45">
        <v>0</v>
      </c>
      <c r="BE351" s="45">
        <v>0</v>
      </c>
      <c r="BF351" s="45">
        <v>0</v>
      </c>
      <c r="BG351" s="45"/>
      <c r="BH351" s="46"/>
      <c r="BI351" s="45">
        <v>0</v>
      </c>
      <c r="BJ351" s="45">
        <v>0</v>
      </c>
      <c r="BK351" s="45"/>
      <c r="BL351" s="45"/>
      <c r="BM351" s="45">
        <v>0</v>
      </c>
      <c r="BN351" s="45"/>
      <c r="BO351" s="45"/>
      <c r="BP351" s="46"/>
      <c r="BQ351" s="66"/>
      <c r="BR351" s="52">
        <v>0</v>
      </c>
      <c r="BS351" s="52">
        <v>0</v>
      </c>
    </row>
    <row r="352" spans="2:71" ht="12" customHeight="1" x14ac:dyDescent="0.2">
      <c r="B352" s="56" t="s">
        <v>64</v>
      </c>
      <c r="C352" s="45"/>
      <c r="D352" s="45">
        <v>0</v>
      </c>
      <c r="E352" s="52">
        <v>0</v>
      </c>
      <c r="F352" s="52">
        <v>0</v>
      </c>
      <c r="G352" s="48"/>
      <c r="H352" s="45">
        <v>0</v>
      </c>
      <c r="I352" s="45">
        <v>0</v>
      </c>
      <c r="J352" s="45">
        <v>0</v>
      </c>
      <c r="K352" s="45"/>
      <c r="L352" s="45"/>
      <c r="M352" s="52">
        <v>0</v>
      </c>
      <c r="N352" s="52">
        <v>0</v>
      </c>
      <c r="O352" s="83">
        <v>0</v>
      </c>
      <c r="P352" s="83"/>
      <c r="Q352" s="52"/>
      <c r="R352" s="52">
        <v>0</v>
      </c>
      <c r="S352" s="61">
        <v>0</v>
      </c>
      <c r="T352" s="49"/>
      <c r="U352" s="45"/>
      <c r="V352" s="45"/>
      <c r="W352" s="45"/>
      <c r="X352" s="45"/>
      <c r="Y352" s="45">
        <v>0</v>
      </c>
      <c r="Z352" s="45">
        <v>0</v>
      </c>
      <c r="AA352" s="45"/>
      <c r="AB352" s="45"/>
      <c r="AC352" s="45"/>
      <c r="AD352" s="52"/>
      <c r="AE352" s="52">
        <v>0</v>
      </c>
      <c r="AF352" s="48">
        <v>0</v>
      </c>
      <c r="AG352" s="52">
        <v>0</v>
      </c>
      <c r="AH352" s="52">
        <v>0</v>
      </c>
      <c r="AI352" s="48"/>
      <c r="AJ352" s="48">
        <v>0</v>
      </c>
      <c r="AK352" s="52">
        <v>0</v>
      </c>
      <c r="AL352" s="52">
        <v>0</v>
      </c>
      <c r="AM352" s="48">
        <v>0</v>
      </c>
      <c r="AN352" s="89">
        <v>0</v>
      </c>
      <c r="AO352" s="52">
        <v>0</v>
      </c>
      <c r="AP352" s="48">
        <v>0</v>
      </c>
      <c r="AQ352" s="88">
        <v>0</v>
      </c>
      <c r="AR352" s="52">
        <v>0</v>
      </c>
      <c r="AS352" s="52"/>
      <c r="AT352" s="78"/>
      <c r="AU352" s="52">
        <v>0</v>
      </c>
      <c r="AV352" s="48"/>
      <c r="AW352" s="52"/>
      <c r="AX352" s="52">
        <v>0</v>
      </c>
      <c r="AY352" s="48"/>
      <c r="AZ352" s="52">
        <v>0</v>
      </c>
      <c r="BA352" s="52">
        <v>0</v>
      </c>
      <c r="BB352" s="48"/>
      <c r="BC352" s="45">
        <v>0</v>
      </c>
      <c r="BD352" s="45">
        <v>0</v>
      </c>
      <c r="BE352" s="45">
        <v>0</v>
      </c>
      <c r="BF352" s="45">
        <v>0</v>
      </c>
      <c r="BG352" s="45"/>
      <c r="BH352" s="46"/>
      <c r="BI352" s="45">
        <v>0</v>
      </c>
      <c r="BJ352" s="45">
        <v>0</v>
      </c>
      <c r="BK352" s="45"/>
      <c r="BL352" s="45"/>
      <c r="BM352" s="45">
        <v>0</v>
      </c>
      <c r="BN352" s="45"/>
      <c r="BO352" s="45"/>
      <c r="BP352" s="46"/>
      <c r="BQ352" s="48"/>
      <c r="BR352" s="52">
        <v>0</v>
      </c>
      <c r="BS352" s="52">
        <v>0</v>
      </c>
    </row>
    <row r="353" spans="2:71" ht="12" customHeight="1" x14ac:dyDescent="0.2">
      <c r="B353" s="56" t="s">
        <v>64</v>
      </c>
      <c r="C353" s="45"/>
      <c r="D353" s="45">
        <v>0</v>
      </c>
      <c r="E353" s="52">
        <v>0</v>
      </c>
      <c r="F353" s="52">
        <v>0</v>
      </c>
      <c r="G353" s="48"/>
      <c r="H353" s="45">
        <v>0</v>
      </c>
      <c r="I353" s="45">
        <v>0</v>
      </c>
      <c r="J353" s="45">
        <v>0</v>
      </c>
      <c r="K353" s="45"/>
      <c r="L353" s="45"/>
      <c r="M353" s="52">
        <v>0</v>
      </c>
      <c r="N353" s="52">
        <v>0</v>
      </c>
      <c r="O353" s="83">
        <v>0</v>
      </c>
      <c r="P353" s="83"/>
      <c r="Q353" s="52"/>
      <c r="R353" s="52">
        <v>0</v>
      </c>
      <c r="S353" s="61">
        <v>0</v>
      </c>
      <c r="T353" s="49"/>
      <c r="U353" s="45"/>
      <c r="V353" s="45"/>
      <c r="W353" s="45"/>
      <c r="X353" s="45"/>
      <c r="Y353" s="45">
        <v>0</v>
      </c>
      <c r="Z353" s="45">
        <v>0</v>
      </c>
      <c r="AA353" s="45"/>
      <c r="AB353" s="45"/>
      <c r="AC353" s="45"/>
      <c r="AD353" s="52"/>
      <c r="AE353" s="52">
        <v>0</v>
      </c>
      <c r="AF353" s="48">
        <v>0</v>
      </c>
      <c r="AG353" s="52">
        <v>0</v>
      </c>
      <c r="AH353" s="52">
        <v>0</v>
      </c>
      <c r="AI353" s="48"/>
      <c r="AJ353" s="48">
        <v>0</v>
      </c>
      <c r="AK353" s="52">
        <v>0</v>
      </c>
      <c r="AL353" s="52">
        <v>0</v>
      </c>
      <c r="AM353" s="48">
        <v>0</v>
      </c>
      <c r="AN353" s="89">
        <v>0</v>
      </c>
      <c r="AO353" s="52">
        <v>0</v>
      </c>
      <c r="AP353" s="48">
        <v>0</v>
      </c>
      <c r="AQ353" s="88">
        <v>0</v>
      </c>
      <c r="AR353" s="52">
        <v>0</v>
      </c>
      <c r="AS353" s="52"/>
      <c r="AT353" s="78"/>
      <c r="AU353" s="52">
        <v>0</v>
      </c>
      <c r="AV353" s="48"/>
      <c r="AW353" s="52"/>
      <c r="AX353" s="52">
        <v>0</v>
      </c>
      <c r="AY353" s="48"/>
      <c r="AZ353" s="52">
        <v>0</v>
      </c>
      <c r="BA353" s="52">
        <v>0</v>
      </c>
      <c r="BB353" s="48"/>
      <c r="BC353" s="45">
        <v>0</v>
      </c>
      <c r="BD353" s="45">
        <v>0</v>
      </c>
      <c r="BE353" s="45">
        <v>0</v>
      </c>
      <c r="BF353" s="45">
        <v>0</v>
      </c>
      <c r="BG353" s="45"/>
      <c r="BH353" s="46"/>
      <c r="BI353" s="45">
        <v>0</v>
      </c>
      <c r="BJ353" s="45">
        <v>0</v>
      </c>
      <c r="BK353" s="45"/>
      <c r="BL353" s="45"/>
      <c r="BM353" s="45">
        <v>0</v>
      </c>
      <c r="BN353" s="45"/>
      <c r="BO353" s="45"/>
      <c r="BP353" s="46"/>
      <c r="BQ353" s="48"/>
      <c r="BR353" s="52">
        <v>0</v>
      </c>
      <c r="BS353" s="52">
        <v>0</v>
      </c>
    </row>
    <row r="354" spans="2:71" ht="12" customHeight="1" x14ac:dyDescent="0.2">
      <c r="B354" s="56" t="s">
        <v>64</v>
      </c>
      <c r="C354" s="45"/>
      <c r="D354" s="45">
        <v>0</v>
      </c>
      <c r="E354" s="52">
        <v>0</v>
      </c>
      <c r="F354" s="52">
        <v>0</v>
      </c>
      <c r="G354" s="48"/>
      <c r="H354" s="45">
        <v>0</v>
      </c>
      <c r="I354" s="45">
        <v>0</v>
      </c>
      <c r="J354" s="45">
        <v>0</v>
      </c>
      <c r="K354" s="45"/>
      <c r="L354" s="45"/>
      <c r="M354" s="52">
        <v>0</v>
      </c>
      <c r="N354" s="52">
        <v>0</v>
      </c>
      <c r="O354" s="83">
        <v>0</v>
      </c>
      <c r="P354" s="83"/>
      <c r="Q354" s="52"/>
      <c r="R354" s="52">
        <v>0</v>
      </c>
      <c r="S354" s="61">
        <v>0</v>
      </c>
      <c r="T354" s="49"/>
      <c r="U354" s="45"/>
      <c r="V354" s="45"/>
      <c r="W354" s="45"/>
      <c r="X354" s="45"/>
      <c r="Y354" s="45">
        <v>0</v>
      </c>
      <c r="Z354" s="45">
        <v>0</v>
      </c>
      <c r="AA354" s="45"/>
      <c r="AB354" s="45"/>
      <c r="AC354" s="45"/>
      <c r="AD354" s="52"/>
      <c r="AE354" s="52">
        <v>0</v>
      </c>
      <c r="AF354" s="48">
        <v>0</v>
      </c>
      <c r="AG354" s="52">
        <v>0</v>
      </c>
      <c r="AH354" s="52">
        <v>0</v>
      </c>
      <c r="AI354" s="48"/>
      <c r="AJ354" s="48">
        <v>0</v>
      </c>
      <c r="AK354" s="52">
        <v>0</v>
      </c>
      <c r="AL354" s="52">
        <v>0</v>
      </c>
      <c r="AM354" s="48">
        <v>0</v>
      </c>
      <c r="AN354" s="89">
        <v>0</v>
      </c>
      <c r="AO354" s="52">
        <v>0</v>
      </c>
      <c r="AP354" s="48">
        <v>0</v>
      </c>
      <c r="AQ354" s="88">
        <v>0</v>
      </c>
      <c r="AR354" s="52">
        <v>0</v>
      </c>
      <c r="AS354" s="52"/>
      <c r="AT354" s="78"/>
      <c r="AU354" s="52">
        <v>0</v>
      </c>
      <c r="AV354" s="48"/>
      <c r="AW354" s="52"/>
      <c r="AX354" s="52">
        <v>0</v>
      </c>
      <c r="AY354" s="48"/>
      <c r="AZ354" s="52">
        <v>0</v>
      </c>
      <c r="BA354" s="52">
        <v>0</v>
      </c>
      <c r="BB354" s="48"/>
      <c r="BC354" s="45">
        <v>0</v>
      </c>
      <c r="BD354" s="45">
        <v>0</v>
      </c>
      <c r="BE354" s="45">
        <v>0</v>
      </c>
      <c r="BF354" s="45">
        <v>0</v>
      </c>
      <c r="BG354" s="45"/>
      <c r="BH354" s="46"/>
      <c r="BI354" s="45">
        <v>0</v>
      </c>
      <c r="BJ354" s="45">
        <v>0</v>
      </c>
      <c r="BK354" s="45"/>
      <c r="BL354" s="45"/>
      <c r="BM354" s="45">
        <v>0</v>
      </c>
      <c r="BN354" s="45"/>
      <c r="BO354" s="45"/>
      <c r="BP354" s="46"/>
      <c r="BQ354" s="48"/>
      <c r="BR354" s="52">
        <v>0</v>
      </c>
      <c r="BS354" s="52">
        <v>0</v>
      </c>
    </row>
    <row r="355" spans="2:71" ht="12" customHeight="1" x14ac:dyDescent="0.2">
      <c r="B355" s="56" t="s">
        <v>64</v>
      </c>
      <c r="C355" s="45"/>
      <c r="D355" s="45">
        <v>0</v>
      </c>
      <c r="E355" s="52">
        <v>0</v>
      </c>
      <c r="F355" s="52">
        <v>0</v>
      </c>
      <c r="G355" s="48"/>
      <c r="H355" s="45">
        <v>0</v>
      </c>
      <c r="I355" s="45">
        <v>0</v>
      </c>
      <c r="J355" s="45">
        <v>0</v>
      </c>
      <c r="K355" s="45"/>
      <c r="L355" s="45"/>
      <c r="M355" s="52">
        <v>0</v>
      </c>
      <c r="N355" s="52">
        <v>0</v>
      </c>
      <c r="O355" s="83">
        <v>0</v>
      </c>
      <c r="P355" s="83"/>
      <c r="Q355" s="52"/>
      <c r="R355" s="52">
        <v>0</v>
      </c>
      <c r="S355" s="61">
        <v>0</v>
      </c>
      <c r="T355" s="49"/>
      <c r="U355" s="45"/>
      <c r="V355" s="45"/>
      <c r="W355" s="45"/>
      <c r="X355" s="45"/>
      <c r="Y355" s="45">
        <v>0</v>
      </c>
      <c r="Z355" s="45">
        <v>0</v>
      </c>
      <c r="AA355" s="45"/>
      <c r="AB355" s="45"/>
      <c r="AC355" s="45"/>
      <c r="AD355" s="52"/>
      <c r="AE355" s="52">
        <v>0</v>
      </c>
      <c r="AF355" s="48">
        <v>0</v>
      </c>
      <c r="AG355" s="52">
        <v>0</v>
      </c>
      <c r="AH355" s="52">
        <v>0</v>
      </c>
      <c r="AI355" s="48"/>
      <c r="AJ355" s="48">
        <v>0</v>
      </c>
      <c r="AK355" s="52">
        <v>0</v>
      </c>
      <c r="AL355" s="52">
        <v>0</v>
      </c>
      <c r="AM355" s="48">
        <v>0</v>
      </c>
      <c r="AN355" s="89">
        <v>0</v>
      </c>
      <c r="AO355" s="52">
        <v>0</v>
      </c>
      <c r="AP355" s="48">
        <v>0</v>
      </c>
      <c r="AQ355" s="88">
        <v>0</v>
      </c>
      <c r="AR355" s="52">
        <v>0</v>
      </c>
      <c r="AS355" s="52"/>
      <c r="AT355" s="78"/>
      <c r="AU355" s="52">
        <v>0</v>
      </c>
      <c r="AV355" s="48"/>
      <c r="AW355" s="52"/>
      <c r="AX355" s="52">
        <v>0</v>
      </c>
      <c r="AY355" s="48"/>
      <c r="AZ355" s="52">
        <v>0</v>
      </c>
      <c r="BA355" s="52">
        <v>0</v>
      </c>
      <c r="BB355" s="48"/>
      <c r="BC355" s="45">
        <v>0</v>
      </c>
      <c r="BD355" s="45">
        <v>0</v>
      </c>
      <c r="BE355" s="45">
        <v>0</v>
      </c>
      <c r="BF355" s="45">
        <v>0</v>
      </c>
      <c r="BG355" s="45"/>
      <c r="BH355" s="46"/>
      <c r="BI355" s="45">
        <v>0</v>
      </c>
      <c r="BJ355" s="45">
        <v>0</v>
      </c>
      <c r="BK355" s="45"/>
      <c r="BL355" s="45"/>
      <c r="BM355" s="45">
        <v>0</v>
      </c>
      <c r="BN355" s="45"/>
      <c r="BO355" s="45"/>
      <c r="BP355" s="46"/>
      <c r="BQ355" s="48"/>
      <c r="BR355" s="52">
        <v>0</v>
      </c>
      <c r="BS355" s="52">
        <v>0</v>
      </c>
    </row>
    <row r="356" spans="2:71" ht="12" customHeight="1" x14ac:dyDescent="0.2">
      <c r="B356" s="56" t="s">
        <v>64</v>
      </c>
      <c r="C356" s="45"/>
      <c r="D356" s="45">
        <v>0</v>
      </c>
      <c r="E356" s="52">
        <v>0</v>
      </c>
      <c r="F356" s="52">
        <v>0</v>
      </c>
      <c r="G356" s="48"/>
      <c r="H356" s="45">
        <v>0</v>
      </c>
      <c r="I356" s="45">
        <v>0</v>
      </c>
      <c r="J356" s="45">
        <v>0</v>
      </c>
      <c r="K356" s="45"/>
      <c r="L356" s="45"/>
      <c r="M356" s="52">
        <v>0</v>
      </c>
      <c r="N356" s="52">
        <v>0</v>
      </c>
      <c r="O356" s="83">
        <v>0</v>
      </c>
      <c r="P356" s="83"/>
      <c r="Q356" s="52"/>
      <c r="R356" s="52">
        <v>0</v>
      </c>
      <c r="S356" s="61">
        <v>0</v>
      </c>
      <c r="T356" s="49"/>
      <c r="U356" s="45"/>
      <c r="V356" s="45"/>
      <c r="W356" s="45"/>
      <c r="X356" s="45"/>
      <c r="Y356" s="45">
        <v>0</v>
      </c>
      <c r="Z356" s="45">
        <v>0</v>
      </c>
      <c r="AA356" s="45"/>
      <c r="AB356" s="45"/>
      <c r="AC356" s="45"/>
      <c r="AD356" s="52"/>
      <c r="AE356" s="52">
        <v>0</v>
      </c>
      <c r="AF356" s="48">
        <v>0</v>
      </c>
      <c r="AG356" s="52">
        <v>0</v>
      </c>
      <c r="AH356" s="52">
        <v>0</v>
      </c>
      <c r="AI356" s="48"/>
      <c r="AJ356" s="48">
        <v>0</v>
      </c>
      <c r="AK356" s="52">
        <v>0</v>
      </c>
      <c r="AL356" s="52">
        <v>0</v>
      </c>
      <c r="AM356" s="48">
        <v>0</v>
      </c>
      <c r="AN356" s="89">
        <v>0</v>
      </c>
      <c r="AO356" s="52">
        <v>0</v>
      </c>
      <c r="AP356" s="48">
        <v>0</v>
      </c>
      <c r="AQ356" s="88">
        <v>0</v>
      </c>
      <c r="AR356" s="52">
        <v>0</v>
      </c>
      <c r="AS356" s="52"/>
      <c r="AT356" s="78"/>
      <c r="AU356" s="52">
        <v>0</v>
      </c>
      <c r="AV356" s="48"/>
      <c r="AW356" s="52"/>
      <c r="AX356" s="52">
        <v>0</v>
      </c>
      <c r="AY356" s="48"/>
      <c r="AZ356" s="52">
        <v>0</v>
      </c>
      <c r="BA356" s="52">
        <v>0</v>
      </c>
      <c r="BB356" s="48"/>
      <c r="BC356" s="45">
        <v>0</v>
      </c>
      <c r="BD356" s="45">
        <v>0</v>
      </c>
      <c r="BE356" s="45">
        <v>0</v>
      </c>
      <c r="BF356" s="45">
        <v>0</v>
      </c>
      <c r="BG356" s="45"/>
      <c r="BH356" s="46"/>
      <c r="BI356" s="45">
        <v>0</v>
      </c>
      <c r="BJ356" s="45">
        <v>0</v>
      </c>
      <c r="BK356" s="45"/>
      <c r="BL356" s="45"/>
      <c r="BM356" s="45">
        <v>0</v>
      </c>
      <c r="BN356" s="45"/>
      <c r="BO356" s="45"/>
      <c r="BP356" s="46"/>
      <c r="BQ356" s="48"/>
      <c r="BR356" s="52">
        <v>0</v>
      </c>
      <c r="BS356" s="52">
        <v>0</v>
      </c>
    </row>
    <row r="357" spans="2:71" ht="12" customHeight="1" x14ac:dyDescent="0.2">
      <c r="B357" s="56" t="s">
        <v>64</v>
      </c>
      <c r="C357" s="45"/>
      <c r="D357" s="45">
        <v>0</v>
      </c>
      <c r="E357" s="52">
        <v>0</v>
      </c>
      <c r="F357" s="52">
        <v>0</v>
      </c>
      <c r="G357" s="48"/>
      <c r="H357" s="45">
        <v>0</v>
      </c>
      <c r="I357" s="45">
        <v>0</v>
      </c>
      <c r="J357" s="45">
        <v>0</v>
      </c>
      <c r="K357" s="45"/>
      <c r="L357" s="45"/>
      <c r="M357" s="52">
        <v>0</v>
      </c>
      <c r="N357" s="52">
        <v>0</v>
      </c>
      <c r="O357" s="83">
        <v>0</v>
      </c>
      <c r="P357" s="83"/>
      <c r="Q357" s="52"/>
      <c r="R357" s="52">
        <v>0</v>
      </c>
      <c r="S357" s="61">
        <v>0</v>
      </c>
      <c r="T357" s="49"/>
      <c r="U357" s="45"/>
      <c r="V357" s="45"/>
      <c r="W357" s="45"/>
      <c r="X357" s="45"/>
      <c r="Y357" s="45">
        <v>0</v>
      </c>
      <c r="Z357" s="45">
        <v>0</v>
      </c>
      <c r="AA357" s="45"/>
      <c r="AB357" s="45"/>
      <c r="AC357" s="45"/>
      <c r="AD357" s="52"/>
      <c r="AE357" s="52">
        <v>0</v>
      </c>
      <c r="AF357" s="48">
        <v>0</v>
      </c>
      <c r="AG357" s="52">
        <v>0</v>
      </c>
      <c r="AH357" s="52">
        <v>0</v>
      </c>
      <c r="AI357" s="48"/>
      <c r="AJ357" s="48">
        <v>0</v>
      </c>
      <c r="AK357" s="52">
        <v>0</v>
      </c>
      <c r="AL357" s="52">
        <v>0</v>
      </c>
      <c r="AM357" s="48">
        <v>0</v>
      </c>
      <c r="AN357" s="89">
        <v>0</v>
      </c>
      <c r="AO357" s="52">
        <v>0</v>
      </c>
      <c r="AP357" s="48">
        <v>0</v>
      </c>
      <c r="AQ357" s="88">
        <v>0</v>
      </c>
      <c r="AR357" s="52">
        <v>0</v>
      </c>
      <c r="AS357" s="52"/>
      <c r="AT357" s="78"/>
      <c r="AU357" s="52">
        <v>0</v>
      </c>
      <c r="AV357" s="48"/>
      <c r="AW357" s="52"/>
      <c r="AX357" s="52">
        <v>0</v>
      </c>
      <c r="AY357" s="48"/>
      <c r="AZ357" s="52">
        <v>0</v>
      </c>
      <c r="BA357" s="52">
        <v>0</v>
      </c>
      <c r="BB357" s="48"/>
      <c r="BC357" s="45">
        <v>0</v>
      </c>
      <c r="BD357" s="45">
        <v>0</v>
      </c>
      <c r="BE357" s="45">
        <v>0</v>
      </c>
      <c r="BF357" s="45">
        <v>0</v>
      </c>
      <c r="BG357" s="45"/>
      <c r="BH357" s="46"/>
      <c r="BI357" s="45">
        <v>0</v>
      </c>
      <c r="BJ357" s="45">
        <v>0</v>
      </c>
      <c r="BK357" s="45"/>
      <c r="BL357" s="45"/>
      <c r="BM357" s="45">
        <v>0</v>
      </c>
      <c r="BN357" s="45"/>
      <c r="BO357" s="45"/>
      <c r="BP357" s="46"/>
      <c r="BQ357" s="48"/>
      <c r="BR357" s="52">
        <v>0</v>
      </c>
      <c r="BS357" s="52">
        <v>0</v>
      </c>
    </row>
    <row r="358" spans="2:71" ht="12" customHeight="1" x14ac:dyDescent="0.2">
      <c r="B358" s="56" t="s">
        <v>64</v>
      </c>
      <c r="C358" s="45"/>
      <c r="D358" s="45">
        <v>0</v>
      </c>
      <c r="E358" s="52">
        <v>0</v>
      </c>
      <c r="F358" s="52">
        <v>0</v>
      </c>
      <c r="G358" s="48"/>
      <c r="H358" s="45">
        <v>0</v>
      </c>
      <c r="I358" s="45">
        <v>0</v>
      </c>
      <c r="J358" s="45">
        <v>0</v>
      </c>
      <c r="K358" s="45"/>
      <c r="L358" s="45"/>
      <c r="M358" s="52">
        <v>0</v>
      </c>
      <c r="N358" s="52">
        <v>0</v>
      </c>
      <c r="O358" s="83">
        <v>0</v>
      </c>
      <c r="P358" s="83"/>
      <c r="Q358" s="52"/>
      <c r="R358" s="52">
        <v>0</v>
      </c>
      <c r="S358" s="61">
        <v>0</v>
      </c>
      <c r="T358" s="49"/>
      <c r="U358" s="45"/>
      <c r="V358" s="45"/>
      <c r="W358" s="45"/>
      <c r="X358" s="45"/>
      <c r="Y358" s="45">
        <v>0</v>
      </c>
      <c r="Z358" s="45">
        <v>0</v>
      </c>
      <c r="AA358" s="45"/>
      <c r="AB358" s="45"/>
      <c r="AC358" s="45"/>
      <c r="AD358" s="52"/>
      <c r="AE358" s="52">
        <v>0</v>
      </c>
      <c r="AF358" s="48">
        <v>0</v>
      </c>
      <c r="AG358" s="52">
        <v>0</v>
      </c>
      <c r="AH358" s="52">
        <v>0</v>
      </c>
      <c r="AI358" s="48"/>
      <c r="AJ358" s="48">
        <v>0</v>
      </c>
      <c r="AK358" s="52">
        <v>0</v>
      </c>
      <c r="AL358" s="52">
        <v>0</v>
      </c>
      <c r="AM358" s="48">
        <v>0</v>
      </c>
      <c r="AN358" s="89">
        <v>0</v>
      </c>
      <c r="AO358" s="52">
        <v>0</v>
      </c>
      <c r="AP358" s="48">
        <v>0</v>
      </c>
      <c r="AQ358" s="88">
        <v>0</v>
      </c>
      <c r="AR358" s="52">
        <v>0</v>
      </c>
      <c r="AS358" s="52"/>
      <c r="AT358" s="78"/>
      <c r="AU358" s="52">
        <v>0</v>
      </c>
      <c r="AV358" s="48"/>
      <c r="AW358" s="52"/>
      <c r="AX358" s="52">
        <v>0</v>
      </c>
      <c r="AY358" s="48"/>
      <c r="AZ358" s="52">
        <v>0</v>
      </c>
      <c r="BA358" s="52">
        <v>0</v>
      </c>
      <c r="BB358" s="48"/>
      <c r="BC358" s="45">
        <v>0</v>
      </c>
      <c r="BD358" s="45">
        <v>0</v>
      </c>
      <c r="BE358" s="45">
        <v>0</v>
      </c>
      <c r="BF358" s="45">
        <v>0</v>
      </c>
      <c r="BG358" s="45"/>
      <c r="BH358" s="46"/>
      <c r="BI358" s="45">
        <v>0</v>
      </c>
      <c r="BJ358" s="45">
        <v>0</v>
      </c>
      <c r="BK358" s="45"/>
      <c r="BL358" s="45"/>
      <c r="BM358" s="45">
        <v>0</v>
      </c>
      <c r="BN358" s="45"/>
      <c r="BO358" s="45"/>
      <c r="BP358" s="46"/>
      <c r="BQ358" s="48"/>
      <c r="BR358" s="52">
        <v>0</v>
      </c>
      <c r="BS358" s="52">
        <v>0</v>
      </c>
    </row>
    <row r="359" spans="2:71" ht="12" customHeight="1" x14ac:dyDescent="0.2">
      <c r="B359" s="56" t="s">
        <v>64</v>
      </c>
      <c r="C359" s="45"/>
      <c r="D359" s="45">
        <v>0</v>
      </c>
      <c r="E359" s="52">
        <v>0</v>
      </c>
      <c r="F359" s="52">
        <v>0</v>
      </c>
      <c r="G359" s="48"/>
      <c r="H359" s="45">
        <v>0</v>
      </c>
      <c r="I359" s="45">
        <v>0</v>
      </c>
      <c r="J359" s="45">
        <v>0</v>
      </c>
      <c r="K359" s="45"/>
      <c r="L359" s="45"/>
      <c r="M359" s="52">
        <v>0</v>
      </c>
      <c r="N359" s="52">
        <v>0</v>
      </c>
      <c r="O359" s="83">
        <v>0</v>
      </c>
      <c r="P359" s="83"/>
      <c r="Q359" s="52"/>
      <c r="R359" s="52">
        <v>0</v>
      </c>
      <c r="S359" s="61">
        <v>0</v>
      </c>
      <c r="T359" s="49"/>
      <c r="U359" s="45"/>
      <c r="V359" s="45"/>
      <c r="W359" s="45"/>
      <c r="X359" s="45"/>
      <c r="Y359" s="45">
        <v>0</v>
      </c>
      <c r="Z359" s="45">
        <v>0</v>
      </c>
      <c r="AA359" s="45"/>
      <c r="AB359" s="45"/>
      <c r="AC359" s="45"/>
      <c r="AD359" s="52"/>
      <c r="AE359" s="52">
        <v>0</v>
      </c>
      <c r="AF359" s="48">
        <v>0</v>
      </c>
      <c r="AG359" s="52">
        <v>0</v>
      </c>
      <c r="AH359" s="52">
        <v>0</v>
      </c>
      <c r="AI359" s="48"/>
      <c r="AJ359" s="48">
        <v>0</v>
      </c>
      <c r="AK359" s="52">
        <v>0</v>
      </c>
      <c r="AL359" s="52">
        <v>0</v>
      </c>
      <c r="AM359" s="48">
        <v>0</v>
      </c>
      <c r="AN359" s="89">
        <v>0</v>
      </c>
      <c r="AO359" s="52">
        <v>0</v>
      </c>
      <c r="AP359" s="48">
        <v>0</v>
      </c>
      <c r="AQ359" s="88">
        <v>0</v>
      </c>
      <c r="AR359" s="52">
        <v>0</v>
      </c>
      <c r="AS359" s="52"/>
      <c r="AT359" s="78"/>
      <c r="AU359" s="52">
        <v>0</v>
      </c>
      <c r="AV359" s="48"/>
      <c r="AW359" s="52"/>
      <c r="AX359" s="52">
        <v>0</v>
      </c>
      <c r="AY359" s="48"/>
      <c r="AZ359" s="52">
        <v>0</v>
      </c>
      <c r="BA359" s="52">
        <v>0</v>
      </c>
      <c r="BB359" s="48"/>
      <c r="BC359" s="45">
        <v>0</v>
      </c>
      <c r="BD359" s="45">
        <v>0</v>
      </c>
      <c r="BE359" s="45">
        <v>0</v>
      </c>
      <c r="BF359" s="45">
        <v>0</v>
      </c>
      <c r="BG359" s="45"/>
      <c r="BH359" s="46"/>
      <c r="BI359" s="45">
        <v>0</v>
      </c>
      <c r="BJ359" s="45">
        <v>0</v>
      </c>
      <c r="BK359" s="45"/>
      <c r="BL359" s="45"/>
      <c r="BM359" s="45">
        <v>0</v>
      </c>
      <c r="BN359" s="45"/>
      <c r="BO359" s="45"/>
      <c r="BP359" s="46"/>
      <c r="BQ359" s="48"/>
      <c r="BR359" s="52">
        <v>0</v>
      </c>
      <c r="BS359" s="52">
        <v>0</v>
      </c>
    </row>
    <row r="360" spans="2:71" ht="12" customHeight="1" x14ac:dyDescent="0.2">
      <c r="B360" s="56" t="s">
        <v>64</v>
      </c>
      <c r="C360" s="45"/>
      <c r="D360" s="45">
        <v>0</v>
      </c>
      <c r="E360" s="52">
        <v>0</v>
      </c>
      <c r="F360" s="52">
        <v>0</v>
      </c>
      <c r="G360" s="48"/>
      <c r="H360" s="45">
        <v>0</v>
      </c>
      <c r="I360" s="45">
        <v>0</v>
      </c>
      <c r="J360" s="45">
        <v>0</v>
      </c>
      <c r="K360" s="45"/>
      <c r="L360" s="45"/>
      <c r="M360" s="52">
        <v>0</v>
      </c>
      <c r="N360" s="52">
        <v>0</v>
      </c>
      <c r="O360" s="83">
        <v>0</v>
      </c>
      <c r="P360" s="83"/>
      <c r="Q360" s="52"/>
      <c r="R360" s="52">
        <v>0</v>
      </c>
      <c r="S360" s="61">
        <v>0</v>
      </c>
      <c r="T360" s="49"/>
      <c r="U360" s="45"/>
      <c r="V360" s="45"/>
      <c r="W360" s="45"/>
      <c r="X360" s="45"/>
      <c r="Y360" s="45">
        <v>0</v>
      </c>
      <c r="Z360" s="45">
        <v>0</v>
      </c>
      <c r="AA360" s="45"/>
      <c r="AB360" s="45"/>
      <c r="AC360" s="45"/>
      <c r="AD360" s="52"/>
      <c r="AE360" s="52">
        <v>0</v>
      </c>
      <c r="AF360" s="48">
        <v>0</v>
      </c>
      <c r="AG360" s="52">
        <v>0</v>
      </c>
      <c r="AH360" s="52">
        <v>0</v>
      </c>
      <c r="AI360" s="48"/>
      <c r="AJ360" s="48">
        <v>0</v>
      </c>
      <c r="AK360" s="52">
        <v>0</v>
      </c>
      <c r="AL360" s="52">
        <v>0</v>
      </c>
      <c r="AM360" s="48">
        <v>0</v>
      </c>
      <c r="AN360" s="89">
        <v>0</v>
      </c>
      <c r="AO360" s="52">
        <v>0</v>
      </c>
      <c r="AP360" s="48">
        <v>0</v>
      </c>
      <c r="AQ360" s="88">
        <v>0</v>
      </c>
      <c r="AR360" s="52">
        <v>0</v>
      </c>
      <c r="AS360" s="52"/>
      <c r="AT360" s="78"/>
      <c r="AU360" s="52">
        <v>0</v>
      </c>
      <c r="AV360" s="48"/>
      <c r="AW360" s="52"/>
      <c r="AX360" s="52">
        <v>0</v>
      </c>
      <c r="AY360" s="48"/>
      <c r="AZ360" s="52">
        <v>0</v>
      </c>
      <c r="BA360" s="52">
        <v>0</v>
      </c>
      <c r="BB360" s="48"/>
      <c r="BC360" s="45">
        <v>0</v>
      </c>
      <c r="BD360" s="45">
        <v>0</v>
      </c>
      <c r="BE360" s="45">
        <v>0</v>
      </c>
      <c r="BF360" s="45">
        <v>0</v>
      </c>
      <c r="BG360" s="45"/>
      <c r="BH360" s="46"/>
      <c r="BI360" s="45">
        <v>0</v>
      </c>
      <c r="BJ360" s="45">
        <v>0</v>
      </c>
      <c r="BK360" s="45"/>
      <c r="BL360" s="45"/>
      <c r="BM360" s="45">
        <v>0</v>
      </c>
      <c r="BN360" s="45"/>
      <c r="BO360" s="45"/>
      <c r="BP360" s="46"/>
      <c r="BQ360" s="48"/>
      <c r="BR360" s="52">
        <v>0</v>
      </c>
      <c r="BS360" s="52">
        <v>0</v>
      </c>
    </row>
    <row r="361" spans="2:71" ht="12" customHeight="1" x14ac:dyDescent="0.2">
      <c r="B361" s="56" t="s">
        <v>64</v>
      </c>
      <c r="C361" s="45"/>
      <c r="D361" s="45">
        <v>0</v>
      </c>
      <c r="E361" s="52">
        <v>0</v>
      </c>
      <c r="F361" s="52">
        <v>0</v>
      </c>
      <c r="G361" s="48"/>
      <c r="H361" s="45">
        <v>0</v>
      </c>
      <c r="I361" s="45">
        <v>0</v>
      </c>
      <c r="J361" s="45">
        <v>0</v>
      </c>
      <c r="K361" s="45"/>
      <c r="L361" s="45"/>
      <c r="M361" s="52">
        <v>0</v>
      </c>
      <c r="N361" s="52">
        <v>0</v>
      </c>
      <c r="O361" s="83">
        <v>0</v>
      </c>
      <c r="P361" s="83"/>
      <c r="Q361" s="52"/>
      <c r="R361" s="52">
        <v>0</v>
      </c>
      <c r="S361" s="61">
        <v>0</v>
      </c>
      <c r="T361" s="49"/>
      <c r="U361" s="45"/>
      <c r="V361" s="45"/>
      <c r="W361" s="45"/>
      <c r="X361" s="45"/>
      <c r="Y361" s="45">
        <v>0</v>
      </c>
      <c r="Z361" s="45">
        <v>0</v>
      </c>
      <c r="AA361" s="45"/>
      <c r="AB361" s="45"/>
      <c r="AC361" s="45"/>
      <c r="AD361" s="52"/>
      <c r="AE361" s="52">
        <v>0</v>
      </c>
      <c r="AF361" s="48">
        <v>0</v>
      </c>
      <c r="AG361" s="52">
        <v>0</v>
      </c>
      <c r="AH361" s="52">
        <v>0</v>
      </c>
      <c r="AI361" s="48"/>
      <c r="AJ361" s="48">
        <v>0</v>
      </c>
      <c r="AK361" s="52">
        <v>0</v>
      </c>
      <c r="AL361" s="52">
        <v>0</v>
      </c>
      <c r="AM361" s="48">
        <v>0</v>
      </c>
      <c r="AN361" s="89">
        <v>0</v>
      </c>
      <c r="AO361" s="52">
        <v>0</v>
      </c>
      <c r="AP361" s="48">
        <v>0</v>
      </c>
      <c r="AQ361" s="88">
        <v>0</v>
      </c>
      <c r="AR361" s="52">
        <v>0</v>
      </c>
      <c r="AS361" s="52"/>
      <c r="AT361" s="78"/>
      <c r="AU361" s="52">
        <v>0</v>
      </c>
      <c r="AV361" s="48"/>
      <c r="AW361" s="52"/>
      <c r="AX361" s="52">
        <v>0</v>
      </c>
      <c r="AY361" s="48"/>
      <c r="AZ361" s="52">
        <v>0</v>
      </c>
      <c r="BA361" s="52">
        <v>0</v>
      </c>
      <c r="BB361" s="48"/>
      <c r="BC361" s="45">
        <v>0</v>
      </c>
      <c r="BD361" s="45">
        <v>0</v>
      </c>
      <c r="BE361" s="45">
        <v>0</v>
      </c>
      <c r="BF361" s="45">
        <v>0</v>
      </c>
      <c r="BG361" s="45"/>
      <c r="BH361" s="46"/>
      <c r="BI361" s="45">
        <v>0</v>
      </c>
      <c r="BJ361" s="45">
        <v>0</v>
      </c>
      <c r="BK361" s="45"/>
      <c r="BL361" s="45"/>
      <c r="BM361" s="45">
        <v>0</v>
      </c>
      <c r="BN361" s="45"/>
      <c r="BO361" s="45"/>
      <c r="BP361" s="46"/>
      <c r="BQ361" s="48"/>
      <c r="BR361" s="52">
        <v>0</v>
      </c>
      <c r="BS361" s="52">
        <v>0</v>
      </c>
    </row>
    <row r="362" spans="2:71" ht="12" customHeight="1" x14ac:dyDescent="0.2">
      <c r="B362" s="56" t="s">
        <v>64</v>
      </c>
      <c r="C362" s="45"/>
      <c r="D362" s="45">
        <v>0</v>
      </c>
      <c r="E362" s="52">
        <v>0</v>
      </c>
      <c r="F362" s="52">
        <v>0</v>
      </c>
      <c r="G362" s="48"/>
      <c r="H362" s="45">
        <v>0</v>
      </c>
      <c r="I362" s="45">
        <v>0</v>
      </c>
      <c r="J362" s="45">
        <v>0</v>
      </c>
      <c r="K362" s="45"/>
      <c r="L362" s="45"/>
      <c r="M362" s="52">
        <v>0</v>
      </c>
      <c r="N362" s="52">
        <v>0</v>
      </c>
      <c r="O362" s="83">
        <v>0</v>
      </c>
      <c r="P362" s="83"/>
      <c r="Q362" s="52"/>
      <c r="R362" s="52">
        <v>0</v>
      </c>
      <c r="S362" s="61">
        <v>0</v>
      </c>
      <c r="T362" s="49"/>
      <c r="U362" s="45"/>
      <c r="V362" s="45"/>
      <c r="W362" s="45"/>
      <c r="X362" s="45"/>
      <c r="Y362" s="45">
        <v>0</v>
      </c>
      <c r="Z362" s="45">
        <v>0</v>
      </c>
      <c r="AA362" s="45"/>
      <c r="AB362" s="45"/>
      <c r="AC362" s="45"/>
      <c r="AD362" s="52"/>
      <c r="AE362" s="52">
        <v>0</v>
      </c>
      <c r="AF362" s="48">
        <v>0</v>
      </c>
      <c r="AG362" s="52">
        <v>0</v>
      </c>
      <c r="AH362" s="52">
        <v>0</v>
      </c>
      <c r="AI362" s="48"/>
      <c r="AJ362" s="48">
        <v>0</v>
      </c>
      <c r="AK362" s="52">
        <v>0</v>
      </c>
      <c r="AL362" s="52">
        <v>0</v>
      </c>
      <c r="AM362" s="48">
        <v>0</v>
      </c>
      <c r="AN362" s="89">
        <v>0</v>
      </c>
      <c r="AO362" s="52">
        <v>0</v>
      </c>
      <c r="AP362" s="48">
        <v>0</v>
      </c>
      <c r="AQ362" s="88">
        <v>0</v>
      </c>
      <c r="AR362" s="52">
        <v>0</v>
      </c>
      <c r="AS362" s="52"/>
      <c r="AT362" s="78"/>
      <c r="AU362" s="52">
        <v>0</v>
      </c>
      <c r="AV362" s="48"/>
      <c r="AW362" s="52"/>
      <c r="AX362" s="52">
        <v>0</v>
      </c>
      <c r="AY362" s="48"/>
      <c r="AZ362" s="52">
        <v>0</v>
      </c>
      <c r="BA362" s="52">
        <v>0</v>
      </c>
      <c r="BB362" s="48"/>
      <c r="BC362" s="45">
        <v>0</v>
      </c>
      <c r="BD362" s="45">
        <v>0</v>
      </c>
      <c r="BE362" s="45">
        <v>0</v>
      </c>
      <c r="BF362" s="45">
        <v>0</v>
      </c>
      <c r="BG362" s="45"/>
      <c r="BH362" s="46"/>
      <c r="BI362" s="45">
        <v>0</v>
      </c>
      <c r="BJ362" s="45">
        <v>0</v>
      </c>
      <c r="BK362" s="45"/>
      <c r="BL362" s="45"/>
      <c r="BM362" s="45">
        <v>0</v>
      </c>
      <c r="BN362" s="45"/>
      <c r="BO362" s="45"/>
      <c r="BP362" s="46"/>
      <c r="BQ362" s="48"/>
      <c r="BR362" s="52">
        <v>0</v>
      </c>
      <c r="BS362" s="52">
        <v>0</v>
      </c>
    </row>
    <row r="363" spans="2:71" ht="12" customHeight="1" x14ac:dyDescent="0.2">
      <c r="B363" s="56" t="s">
        <v>64</v>
      </c>
      <c r="C363" s="45"/>
      <c r="D363" s="45">
        <v>0</v>
      </c>
      <c r="E363" s="52">
        <v>0</v>
      </c>
      <c r="F363" s="52">
        <v>0</v>
      </c>
      <c r="G363" s="48"/>
      <c r="H363" s="45">
        <v>0</v>
      </c>
      <c r="I363" s="45">
        <v>0</v>
      </c>
      <c r="J363" s="45">
        <v>0</v>
      </c>
      <c r="K363" s="45"/>
      <c r="L363" s="45"/>
      <c r="M363" s="52">
        <v>0</v>
      </c>
      <c r="N363" s="52">
        <v>0</v>
      </c>
      <c r="O363" s="83">
        <v>0</v>
      </c>
      <c r="P363" s="83"/>
      <c r="Q363" s="52"/>
      <c r="R363" s="52">
        <v>0</v>
      </c>
      <c r="S363" s="61">
        <v>0</v>
      </c>
      <c r="T363" s="49"/>
      <c r="U363" s="45"/>
      <c r="V363" s="45"/>
      <c r="W363" s="45"/>
      <c r="X363" s="45"/>
      <c r="Y363" s="45">
        <v>0</v>
      </c>
      <c r="Z363" s="45">
        <v>0</v>
      </c>
      <c r="AA363" s="45"/>
      <c r="AB363" s="45"/>
      <c r="AC363" s="45"/>
      <c r="AD363" s="52"/>
      <c r="AE363" s="52">
        <v>0</v>
      </c>
      <c r="AF363" s="48">
        <v>0</v>
      </c>
      <c r="AG363" s="52">
        <v>0</v>
      </c>
      <c r="AH363" s="52">
        <v>0</v>
      </c>
      <c r="AI363" s="48"/>
      <c r="AJ363" s="48">
        <v>0</v>
      </c>
      <c r="AK363" s="52">
        <v>0</v>
      </c>
      <c r="AL363" s="52">
        <v>0</v>
      </c>
      <c r="AM363" s="48">
        <v>0</v>
      </c>
      <c r="AN363" s="89">
        <v>0</v>
      </c>
      <c r="AO363" s="52">
        <v>0</v>
      </c>
      <c r="AP363" s="48">
        <v>0</v>
      </c>
      <c r="AQ363" s="88">
        <v>0</v>
      </c>
      <c r="AR363" s="52">
        <v>0</v>
      </c>
      <c r="AS363" s="52"/>
      <c r="AT363" s="78"/>
      <c r="AU363" s="52">
        <v>0</v>
      </c>
      <c r="AV363" s="48"/>
      <c r="AW363" s="52"/>
      <c r="AX363" s="52">
        <v>0</v>
      </c>
      <c r="AY363" s="48"/>
      <c r="AZ363" s="52">
        <v>0</v>
      </c>
      <c r="BA363" s="52">
        <v>0</v>
      </c>
      <c r="BB363" s="48"/>
      <c r="BC363" s="45">
        <v>0</v>
      </c>
      <c r="BD363" s="45">
        <v>0</v>
      </c>
      <c r="BE363" s="45">
        <v>0</v>
      </c>
      <c r="BF363" s="45">
        <v>0</v>
      </c>
      <c r="BG363" s="45"/>
      <c r="BH363" s="46"/>
      <c r="BI363" s="45">
        <v>0</v>
      </c>
      <c r="BJ363" s="45">
        <v>0</v>
      </c>
      <c r="BK363" s="45"/>
      <c r="BL363" s="45"/>
      <c r="BM363" s="45">
        <v>0</v>
      </c>
      <c r="BN363" s="45"/>
      <c r="BO363" s="45"/>
      <c r="BP363" s="46"/>
      <c r="BQ363" s="48"/>
      <c r="BR363" s="52">
        <v>0</v>
      </c>
      <c r="BS363" s="52">
        <v>0</v>
      </c>
    </row>
    <row r="364" spans="2:71" ht="12" customHeight="1" x14ac:dyDescent="0.2">
      <c r="B364" s="56" t="s">
        <v>64</v>
      </c>
      <c r="C364" s="45"/>
      <c r="D364" s="45">
        <v>0</v>
      </c>
      <c r="E364" s="52">
        <v>0</v>
      </c>
      <c r="F364" s="52">
        <v>0</v>
      </c>
      <c r="G364" s="48"/>
      <c r="H364" s="45">
        <v>0</v>
      </c>
      <c r="I364" s="45">
        <v>0</v>
      </c>
      <c r="J364" s="45">
        <v>0</v>
      </c>
      <c r="K364" s="45"/>
      <c r="L364" s="45"/>
      <c r="M364" s="52">
        <v>0</v>
      </c>
      <c r="N364" s="52">
        <v>0</v>
      </c>
      <c r="O364" s="83">
        <v>0</v>
      </c>
      <c r="P364" s="83"/>
      <c r="Q364" s="52"/>
      <c r="R364" s="52">
        <v>0</v>
      </c>
      <c r="S364" s="61">
        <v>0</v>
      </c>
      <c r="T364" s="49"/>
      <c r="U364" s="45"/>
      <c r="V364" s="45"/>
      <c r="W364" s="45"/>
      <c r="X364" s="45"/>
      <c r="Y364" s="45">
        <v>0</v>
      </c>
      <c r="Z364" s="45">
        <v>0</v>
      </c>
      <c r="AA364" s="45"/>
      <c r="AB364" s="45"/>
      <c r="AC364" s="45"/>
      <c r="AD364" s="52"/>
      <c r="AE364" s="52">
        <v>0</v>
      </c>
      <c r="AF364" s="48">
        <v>0</v>
      </c>
      <c r="AG364" s="52">
        <v>0</v>
      </c>
      <c r="AH364" s="52">
        <v>0</v>
      </c>
      <c r="AI364" s="48"/>
      <c r="AJ364" s="48">
        <v>0</v>
      </c>
      <c r="AK364" s="52">
        <v>0</v>
      </c>
      <c r="AL364" s="52">
        <v>0</v>
      </c>
      <c r="AM364" s="48">
        <v>0</v>
      </c>
      <c r="AN364" s="89">
        <v>0</v>
      </c>
      <c r="AO364" s="52">
        <v>0</v>
      </c>
      <c r="AP364" s="48">
        <v>0</v>
      </c>
      <c r="AQ364" s="88">
        <v>0</v>
      </c>
      <c r="AR364" s="52">
        <v>0</v>
      </c>
      <c r="AS364" s="52"/>
      <c r="AT364" s="78"/>
      <c r="AU364" s="52">
        <v>0</v>
      </c>
      <c r="AV364" s="48"/>
      <c r="AW364" s="52"/>
      <c r="AX364" s="52">
        <v>0</v>
      </c>
      <c r="AY364" s="48"/>
      <c r="AZ364" s="52">
        <v>0</v>
      </c>
      <c r="BA364" s="52">
        <v>0</v>
      </c>
      <c r="BB364" s="48"/>
      <c r="BC364" s="45">
        <v>0</v>
      </c>
      <c r="BD364" s="45">
        <v>0</v>
      </c>
      <c r="BE364" s="45">
        <v>0</v>
      </c>
      <c r="BF364" s="45">
        <v>0</v>
      </c>
      <c r="BG364" s="45"/>
      <c r="BH364" s="46"/>
      <c r="BI364" s="45">
        <v>0</v>
      </c>
      <c r="BJ364" s="45">
        <v>0</v>
      </c>
      <c r="BK364" s="45"/>
      <c r="BL364" s="45"/>
      <c r="BM364" s="45">
        <v>0</v>
      </c>
      <c r="BN364" s="45"/>
      <c r="BO364" s="45"/>
      <c r="BP364" s="46"/>
      <c r="BQ364" s="48"/>
      <c r="BR364" s="52">
        <v>0</v>
      </c>
      <c r="BS364" s="52">
        <v>0</v>
      </c>
    </row>
    <row r="365" spans="2:71" ht="12" customHeight="1" x14ac:dyDescent="0.2">
      <c r="B365" s="56" t="s">
        <v>64</v>
      </c>
      <c r="C365" s="45"/>
      <c r="D365" s="45">
        <v>0</v>
      </c>
      <c r="E365" s="52">
        <v>0</v>
      </c>
      <c r="F365" s="52">
        <v>0</v>
      </c>
      <c r="G365" s="48"/>
      <c r="H365" s="45">
        <v>0</v>
      </c>
      <c r="I365" s="45">
        <v>0</v>
      </c>
      <c r="J365" s="45">
        <v>0</v>
      </c>
      <c r="K365" s="45"/>
      <c r="L365" s="45"/>
      <c r="M365" s="52">
        <v>0</v>
      </c>
      <c r="N365" s="52">
        <v>0</v>
      </c>
      <c r="O365" s="83">
        <v>0</v>
      </c>
      <c r="P365" s="83"/>
      <c r="Q365" s="52"/>
      <c r="R365" s="52">
        <v>0</v>
      </c>
      <c r="S365" s="61">
        <v>0</v>
      </c>
      <c r="T365" s="49"/>
      <c r="U365" s="45"/>
      <c r="V365" s="45"/>
      <c r="W365" s="45"/>
      <c r="X365" s="45"/>
      <c r="Y365" s="45">
        <v>0</v>
      </c>
      <c r="Z365" s="45">
        <v>0</v>
      </c>
      <c r="AA365" s="45"/>
      <c r="AB365" s="45"/>
      <c r="AC365" s="45"/>
      <c r="AD365" s="52"/>
      <c r="AE365" s="52">
        <v>0</v>
      </c>
      <c r="AF365" s="48">
        <v>0</v>
      </c>
      <c r="AG365" s="52">
        <v>0</v>
      </c>
      <c r="AH365" s="52">
        <v>0</v>
      </c>
      <c r="AI365" s="48"/>
      <c r="AJ365" s="48">
        <v>0</v>
      </c>
      <c r="AK365" s="52">
        <v>0</v>
      </c>
      <c r="AL365" s="52">
        <v>0</v>
      </c>
      <c r="AM365" s="48">
        <v>0</v>
      </c>
      <c r="AN365" s="89">
        <v>0</v>
      </c>
      <c r="AO365" s="52">
        <v>0</v>
      </c>
      <c r="AP365" s="48">
        <v>0</v>
      </c>
      <c r="AQ365" s="88">
        <v>0</v>
      </c>
      <c r="AR365" s="52">
        <v>0</v>
      </c>
      <c r="AS365" s="52"/>
      <c r="AT365" s="78"/>
      <c r="AU365" s="52">
        <v>0</v>
      </c>
      <c r="AV365" s="48"/>
      <c r="AW365" s="52"/>
      <c r="AX365" s="52">
        <v>0</v>
      </c>
      <c r="AY365" s="48"/>
      <c r="AZ365" s="52">
        <v>0</v>
      </c>
      <c r="BA365" s="52">
        <v>0</v>
      </c>
      <c r="BB365" s="48"/>
      <c r="BC365" s="45">
        <v>0</v>
      </c>
      <c r="BD365" s="45">
        <v>0</v>
      </c>
      <c r="BE365" s="45">
        <v>0</v>
      </c>
      <c r="BF365" s="45">
        <v>0</v>
      </c>
      <c r="BG365" s="45"/>
      <c r="BH365" s="46"/>
      <c r="BI365" s="45">
        <v>0</v>
      </c>
      <c r="BJ365" s="45">
        <v>0</v>
      </c>
      <c r="BK365" s="45"/>
      <c r="BL365" s="45"/>
      <c r="BM365" s="45">
        <v>0</v>
      </c>
      <c r="BN365" s="45"/>
      <c r="BO365" s="45"/>
      <c r="BP365" s="46"/>
      <c r="BQ365" s="48"/>
      <c r="BR365" s="52">
        <v>0</v>
      </c>
      <c r="BS365" s="52">
        <v>0</v>
      </c>
    </row>
    <row r="366" spans="2:71" ht="12" customHeight="1" x14ac:dyDescent="0.2">
      <c r="B366" s="56" t="s">
        <v>64</v>
      </c>
      <c r="C366" s="45"/>
      <c r="D366" s="45">
        <v>0</v>
      </c>
      <c r="E366" s="52">
        <v>0</v>
      </c>
      <c r="F366" s="52">
        <v>0</v>
      </c>
      <c r="G366" s="48"/>
      <c r="H366" s="45">
        <v>0</v>
      </c>
      <c r="I366" s="45">
        <v>0</v>
      </c>
      <c r="J366" s="45">
        <v>0</v>
      </c>
      <c r="K366" s="45"/>
      <c r="L366" s="45"/>
      <c r="M366" s="52">
        <v>0</v>
      </c>
      <c r="N366" s="52">
        <v>0</v>
      </c>
      <c r="O366" s="83">
        <v>0</v>
      </c>
      <c r="P366" s="83"/>
      <c r="Q366" s="52"/>
      <c r="R366" s="52">
        <v>0</v>
      </c>
      <c r="S366" s="61">
        <v>0</v>
      </c>
      <c r="T366" s="49"/>
      <c r="U366" s="45"/>
      <c r="V366" s="45"/>
      <c r="W366" s="45"/>
      <c r="X366" s="45"/>
      <c r="Y366" s="45">
        <v>0</v>
      </c>
      <c r="Z366" s="45">
        <v>0</v>
      </c>
      <c r="AA366" s="45"/>
      <c r="AB366" s="45"/>
      <c r="AC366" s="45"/>
      <c r="AD366" s="52"/>
      <c r="AE366" s="52">
        <v>0</v>
      </c>
      <c r="AF366" s="48">
        <v>0</v>
      </c>
      <c r="AG366" s="52">
        <v>0</v>
      </c>
      <c r="AH366" s="52">
        <v>0</v>
      </c>
      <c r="AI366" s="48"/>
      <c r="AJ366" s="48">
        <v>0</v>
      </c>
      <c r="AK366" s="52">
        <v>0</v>
      </c>
      <c r="AL366" s="52">
        <v>0</v>
      </c>
      <c r="AM366" s="48">
        <v>0</v>
      </c>
      <c r="AN366" s="89">
        <v>0</v>
      </c>
      <c r="AO366" s="52">
        <v>0</v>
      </c>
      <c r="AP366" s="48">
        <v>0</v>
      </c>
      <c r="AQ366" s="88">
        <v>0</v>
      </c>
      <c r="AR366" s="52">
        <v>0</v>
      </c>
      <c r="AS366" s="52"/>
      <c r="AT366" s="78"/>
      <c r="AU366" s="52">
        <v>0</v>
      </c>
      <c r="AV366" s="48"/>
      <c r="AW366" s="52"/>
      <c r="AX366" s="52">
        <v>0</v>
      </c>
      <c r="AY366" s="48"/>
      <c r="AZ366" s="52">
        <v>0</v>
      </c>
      <c r="BA366" s="52">
        <v>0</v>
      </c>
      <c r="BB366" s="48"/>
      <c r="BC366" s="45">
        <v>0</v>
      </c>
      <c r="BD366" s="45">
        <v>0</v>
      </c>
      <c r="BE366" s="45">
        <v>0</v>
      </c>
      <c r="BF366" s="45">
        <v>0</v>
      </c>
      <c r="BG366" s="45"/>
      <c r="BH366" s="46"/>
      <c r="BI366" s="45">
        <v>0</v>
      </c>
      <c r="BJ366" s="45">
        <v>0</v>
      </c>
      <c r="BK366" s="45"/>
      <c r="BL366" s="45"/>
      <c r="BM366" s="45">
        <v>0</v>
      </c>
      <c r="BN366" s="45"/>
      <c r="BO366" s="45"/>
      <c r="BP366" s="46"/>
      <c r="BQ366" s="48"/>
      <c r="BR366" s="52">
        <v>0</v>
      </c>
      <c r="BS366" s="52">
        <v>0</v>
      </c>
    </row>
    <row r="367" spans="2:71" ht="12" customHeight="1" x14ac:dyDescent="0.2">
      <c r="B367" s="56" t="s">
        <v>64</v>
      </c>
      <c r="C367" s="45"/>
      <c r="D367" s="45">
        <v>0</v>
      </c>
      <c r="E367" s="52">
        <v>0</v>
      </c>
      <c r="F367" s="52">
        <v>0</v>
      </c>
      <c r="G367" s="48"/>
      <c r="H367" s="45">
        <v>0</v>
      </c>
      <c r="I367" s="45">
        <v>0</v>
      </c>
      <c r="J367" s="45">
        <v>0</v>
      </c>
      <c r="K367" s="45"/>
      <c r="L367" s="45"/>
      <c r="M367" s="52">
        <v>0</v>
      </c>
      <c r="N367" s="52">
        <v>0</v>
      </c>
      <c r="O367" s="83">
        <v>0</v>
      </c>
      <c r="P367" s="83"/>
      <c r="Q367" s="52"/>
      <c r="R367" s="52">
        <v>0</v>
      </c>
      <c r="S367" s="61">
        <v>0</v>
      </c>
      <c r="T367" s="49"/>
      <c r="U367" s="45"/>
      <c r="V367" s="45"/>
      <c r="W367" s="45"/>
      <c r="X367" s="45"/>
      <c r="Y367" s="45">
        <v>0</v>
      </c>
      <c r="Z367" s="45">
        <v>0</v>
      </c>
      <c r="AA367" s="45"/>
      <c r="AB367" s="45"/>
      <c r="AC367" s="45"/>
      <c r="AD367" s="52"/>
      <c r="AE367" s="52">
        <v>0</v>
      </c>
      <c r="AF367" s="48">
        <v>0</v>
      </c>
      <c r="AG367" s="52">
        <v>0</v>
      </c>
      <c r="AH367" s="52">
        <v>0</v>
      </c>
      <c r="AI367" s="48"/>
      <c r="AJ367" s="48">
        <v>0</v>
      </c>
      <c r="AK367" s="52">
        <v>0</v>
      </c>
      <c r="AL367" s="52">
        <v>0</v>
      </c>
      <c r="AM367" s="48">
        <v>0</v>
      </c>
      <c r="AN367" s="89">
        <v>0</v>
      </c>
      <c r="AO367" s="52">
        <v>0</v>
      </c>
      <c r="AP367" s="48">
        <v>0</v>
      </c>
      <c r="AQ367" s="88">
        <v>0</v>
      </c>
      <c r="AR367" s="52">
        <v>0</v>
      </c>
      <c r="AS367" s="52"/>
      <c r="AT367" s="78"/>
      <c r="AU367" s="52">
        <v>0</v>
      </c>
      <c r="AV367" s="48"/>
      <c r="AW367" s="52"/>
      <c r="AX367" s="52">
        <v>0</v>
      </c>
      <c r="AY367" s="48"/>
      <c r="AZ367" s="52">
        <v>0</v>
      </c>
      <c r="BA367" s="52">
        <v>0</v>
      </c>
      <c r="BB367" s="48"/>
      <c r="BC367" s="45">
        <v>0</v>
      </c>
      <c r="BD367" s="45">
        <v>0</v>
      </c>
      <c r="BE367" s="45">
        <v>0</v>
      </c>
      <c r="BF367" s="45">
        <v>0</v>
      </c>
      <c r="BG367" s="45"/>
      <c r="BH367" s="46"/>
      <c r="BI367" s="45">
        <v>0</v>
      </c>
      <c r="BJ367" s="45">
        <v>0</v>
      </c>
      <c r="BK367" s="45"/>
      <c r="BL367" s="45"/>
      <c r="BM367" s="45">
        <v>0</v>
      </c>
      <c r="BN367" s="45"/>
      <c r="BO367" s="45"/>
      <c r="BP367" s="46"/>
      <c r="BQ367" s="48"/>
      <c r="BR367" s="52">
        <v>0</v>
      </c>
      <c r="BS367" s="52">
        <v>0</v>
      </c>
    </row>
    <row r="368" spans="2:71" ht="12" customHeight="1" x14ac:dyDescent="0.2">
      <c r="B368" s="56" t="s">
        <v>64</v>
      </c>
      <c r="C368" s="45"/>
      <c r="D368" s="45">
        <v>0</v>
      </c>
      <c r="E368" s="52">
        <v>0</v>
      </c>
      <c r="F368" s="52">
        <v>0</v>
      </c>
      <c r="G368" s="48"/>
      <c r="H368" s="45">
        <v>0</v>
      </c>
      <c r="I368" s="45">
        <v>0</v>
      </c>
      <c r="J368" s="45">
        <v>0</v>
      </c>
      <c r="K368" s="45"/>
      <c r="L368" s="45"/>
      <c r="M368" s="52">
        <v>0</v>
      </c>
      <c r="N368" s="52">
        <v>0</v>
      </c>
      <c r="O368" s="83">
        <v>0</v>
      </c>
      <c r="P368" s="83"/>
      <c r="Q368" s="52"/>
      <c r="R368" s="52">
        <v>0</v>
      </c>
      <c r="S368" s="61">
        <v>0</v>
      </c>
      <c r="T368" s="49"/>
      <c r="U368" s="45"/>
      <c r="V368" s="45"/>
      <c r="W368" s="45"/>
      <c r="X368" s="45"/>
      <c r="Y368" s="45">
        <v>0</v>
      </c>
      <c r="Z368" s="45">
        <v>0</v>
      </c>
      <c r="AA368" s="45"/>
      <c r="AB368" s="45"/>
      <c r="AC368" s="45"/>
      <c r="AD368" s="52"/>
      <c r="AE368" s="52">
        <v>0</v>
      </c>
      <c r="AF368" s="48">
        <v>0</v>
      </c>
      <c r="AG368" s="52">
        <v>0</v>
      </c>
      <c r="AH368" s="52">
        <v>0</v>
      </c>
      <c r="AI368" s="48"/>
      <c r="AJ368" s="48">
        <v>0</v>
      </c>
      <c r="AK368" s="52">
        <v>0</v>
      </c>
      <c r="AL368" s="52">
        <v>0</v>
      </c>
      <c r="AM368" s="48">
        <v>0</v>
      </c>
      <c r="AN368" s="89">
        <v>0</v>
      </c>
      <c r="AO368" s="52">
        <v>0</v>
      </c>
      <c r="AP368" s="48">
        <v>0</v>
      </c>
      <c r="AQ368" s="88">
        <v>0</v>
      </c>
      <c r="AR368" s="52">
        <v>0</v>
      </c>
      <c r="AS368" s="52"/>
      <c r="AT368" s="78"/>
      <c r="AU368" s="52">
        <v>0</v>
      </c>
      <c r="AV368" s="48"/>
      <c r="AW368" s="52"/>
      <c r="AX368" s="52">
        <v>0</v>
      </c>
      <c r="AY368" s="48"/>
      <c r="AZ368" s="52">
        <v>0</v>
      </c>
      <c r="BA368" s="52">
        <v>0</v>
      </c>
      <c r="BB368" s="48"/>
      <c r="BC368" s="45">
        <v>0</v>
      </c>
      <c r="BD368" s="45">
        <v>0</v>
      </c>
      <c r="BE368" s="45">
        <v>0</v>
      </c>
      <c r="BF368" s="45">
        <v>0</v>
      </c>
      <c r="BG368" s="45"/>
      <c r="BH368" s="46"/>
      <c r="BI368" s="45">
        <v>0</v>
      </c>
      <c r="BJ368" s="45">
        <v>0</v>
      </c>
      <c r="BK368" s="45"/>
      <c r="BL368" s="45"/>
      <c r="BM368" s="45">
        <v>0</v>
      </c>
      <c r="BN368" s="45"/>
      <c r="BO368" s="45"/>
      <c r="BP368" s="46"/>
      <c r="BQ368" s="48"/>
      <c r="BR368" s="52">
        <v>0</v>
      </c>
      <c r="BS368" s="52">
        <v>0</v>
      </c>
    </row>
    <row r="369" spans="2:71" ht="12" customHeight="1" x14ac:dyDescent="0.2">
      <c r="B369" s="56" t="s">
        <v>64</v>
      </c>
      <c r="C369" s="45"/>
      <c r="D369" s="45">
        <v>0</v>
      </c>
      <c r="E369" s="52">
        <v>0</v>
      </c>
      <c r="F369" s="52">
        <v>0</v>
      </c>
      <c r="G369" s="48"/>
      <c r="H369" s="45">
        <v>0</v>
      </c>
      <c r="I369" s="45">
        <v>0</v>
      </c>
      <c r="J369" s="45">
        <v>0</v>
      </c>
      <c r="K369" s="45"/>
      <c r="L369" s="45"/>
      <c r="M369" s="52">
        <v>0</v>
      </c>
      <c r="N369" s="52">
        <v>0</v>
      </c>
      <c r="O369" s="45">
        <v>0</v>
      </c>
      <c r="P369" s="45"/>
      <c r="Q369" s="52"/>
      <c r="R369" s="52">
        <v>0</v>
      </c>
      <c r="S369" s="61">
        <v>0</v>
      </c>
      <c r="T369" s="49"/>
      <c r="U369" s="45"/>
      <c r="V369" s="45"/>
      <c r="W369" s="45"/>
      <c r="X369" s="45"/>
      <c r="Y369" s="45">
        <v>0</v>
      </c>
      <c r="Z369" s="45">
        <v>0</v>
      </c>
      <c r="AA369" s="45"/>
      <c r="AB369" s="45"/>
      <c r="AC369" s="45"/>
      <c r="AD369" s="52"/>
      <c r="AE369" s="52">
        <v>0</v>
      </c>
      <c r="AF369" s="48">
        <v>0</v>
      </c>
      <c r="AG369" s="52">
        <v>0</v>
      </c>
      <c r="AH369" s="52">
        <v>0</v>
      </c>
      <c r="AI369" s="48"/>
      <c r="AJ369" s="48">
        <v>0</v>
      </c>
      <c r="AK369" s="52">
        <v>0</v>
      </c>
      <c r="AL369" s="52">
        <v>0</v>
      </c>
      <c r="AM369" s="48">
        <v>0</v>
      </c>
      <c r="AN369" s="52">
        <v>0</v>
      </c>
      <c r="AO369" s="52">
        <v>0</v>
      </c>
      <c r="AP369" s="48">
        <v>0</v>
      </c>
      <c r="AQ369" s="88">
        <v>0</v>
      </c>
      <c r="AR369" s="52">
        <v>0</v>
      </c>
      <c r="AS369" s="52"/>
      <c r="AT369" s="78"/>
      <c r="AU369" s="52">
        <v>0</v>
      </c>
      <c r="AV369" s="48"/>
      <c r="AW369" s="52"/>
      <c r="AX369" s="52">
        <v>0</v>
      </c>
      <c r="AY369" s="48"/>
      <c r="AZ369" s="52">
        <v>0</v>
      </c>
      <c r="BA369" s="52">
        <v>0</v>
      </c>
      <c r="BB369" s="48"/>
      <c r="BC369" s="45">
        <v>0</v>
      </c>
      <c r="BD369" s="45">
        <v>0</v>
      </c>
      <c r="BE369" s="45">
        <v>0</v>
      </c>
      <c r="BF369" s="45">
        <v>0</v>
      </c>
      <c r="BG369" s="45"/>
      <c r="BH369" s="46"/>
      <c r="BI369" s="45">
        <v>0</v>
      </c>
      <c r="BJ369" s="45">
        <v>0</v>
      </c>
      <c r="BK369" s="45"/>
      <c r="BL369" s="45"/>
      <c r="BM369" s="45">
        <v>0</v>
      </c>
      <c r="BN369" s="45"/>
      <c r="BO369" s="45"/>
      <c r="BP369" s="46"/>
      <c r="BQ369" s="48"/>
      <c r="BR369" s="52">
        <v>0</v>
      </c>
      <c r="BS369" s="52">
        <v>0</v>
      </c>
    </row>
    <row r="370" spans="2:71" ht="12" customHeight="1" x14ac:dyDescent="0.2">
      <c r="B370" s="56" t="s">
        <v>64</v>
      </c>
      <c r="C370" s="45"/>
      <c r="D370" s="45">
        <v>0</v>
      </c>
      <c r="E370" s="52">
        <v>0</v>
      </c>
      <c r="F370" s="52">
        <v>0</v>
      </c>
      <c r="G370" s="48"/>
      <c r="H370" s="45">
        <v>0</v>
      </c>
      <c r="I370" s="45">
        <v>0</v>
      </c>
      <c r="J370" s="45">
        <v>0</v>
      </c>
      <c r="K370" s="45"/>
      <c r="L370" s="45"/>
      <c r="M370" s="52">
        <v>0</v>
      </c>
      <c r="N370" s="52">
        <v>0</v>
      </c>
      <c r="O370" s="45">
        <v>0</v>
      </c>
      <c r="P370" s="45"/>
      <c r="Q370" s="52"/>
      <c r="R370" s="52">
        <v>0</v>
      </c>
      <c r="S370" s="61">
        <v>0</v>
      </c>
      <c r="T370" s="49"/>
      <c r="U370" s="45"/>
      <c r="V370" s="45"/>
      <c r="W370" s="45"/>
      <c r="X370" s="45"/>
      <c r="Y370" s="45">
        <v>0</v>
      </c>
      <c r="Z370" s="45">
        <v>0</v>
      </c>
      <c r="AA370" s="45"/>
      <c r="AB370" s="45"/>
      <c r="AC370" s="45"/>
      <c r="AD370" s="52"/>
      <c r="AE370" s="52">
        <v>0</v>
      </c>
      <c r="AF370" s="48">
        <v>0</v>
      </c>
      <c r="AG370" s="52">
        <v>0</v>
      </c>
      <c r="AH370" s="52">
        <v>0</v>
      </c>
      <c r="AI370" s="48"/>
      <c r="AJ370" s="48">
        <v>0</v>
      </c>
      <c r="AK370" s="52">
        <v>0</v>
      </c>
      <c r="AL370" s="52">
        <v>0</v>
      </c>
      <c r="AM370" s="48">
        <v>0</v>
      </c>
      <c r="AN370" s="52">
        <v>0</v>
      </c>
      <c r="AO370" s="52">
        <v>0</v>
      </c>
      <c r="AP370" s="48">
        <v>0</v>
      </c>
      <c r="AQ370" s="88">
        <v>0</v>
      </c>
      <c r="AR370" s="52">
        <v>0</v>
      </c>
      <c r="AS370" s="52"/>
      <c r="AT370" s="78"/>
      <c r="AU370" s="52">
        <v>0</v>
      </c>
      <c r="AV370" s="48"/>
      <c r="AW370" s="52"/>
      <c r="AX370" s="52">
        <v>0</v>
      </c>
      <c r="AY370" s="48"/>
      <c r="AZ370" s="52">
        <v>0</v>
      </c>
      <c r="BA370" s="52">
        <v>0</v>
      </c>
      <c r="BB370" s="48"/>
      <c r="BC370" s="45">
        <v>0</v>
      </c>
      <c r="BD370" s="45">
        <v>0</v>
      </c>
      <c r="BE370" s="45">
        <v>0</v>
      </c>
      <c r="BF370" s="45">
        <v>0</v>
      </c>
      <c r="BG370" s="45"/>
      <c r="BH370" s="46"/>
      <c r="BI370" s="45">
        <v>0</v>
      </c>
      <c r="BJ370" s="45">
        <v>0</v>
      </c>
      <c r="BK370" s="45"/>
      <c r="BL370" s="45"/>
      <c r="BM370" s="45">
        <v>0</v>
      </c>
      <c r="BN370" s="45"/>
      <c r="BO370" s="45"/>
      <c r="BP370" s="46"/>
      <c r="BQ370" s="48"/>
      <c r="BR370" s="52">
        <v>0</v>
      </c>
      <c r="BS370" s="52">
        <v>0</v>
      </c>
    </row>
    <row r="371" spans="2:71" ht="12" customHeight="1" x14ac:dyDescent="0.2">
      <c r="B371" s="56" t="s">
        <v>64</v>
      </c>
      <c r="C371" s="45"/>
      <c r="D371" s="45">
        <v>0</v>
      </c>
      <c r="E371" s="52">
        <v>0</v>
      </c>
      <c r="F371" s="52">
        <v>0</v>
      </c>
      <c r="G371" s="48"/>
      <c r="H371" s="45">
        <v>0</v>
      </c>
      <c r="I371" s="45">
        <v>0</v>
      </c>
      <c r="J371" s="45">
        <v>0</v>
      </c>
      <c r="K371" s="45"/>
      <c r="L371" s="45"/>
      <c r="M371" s="52">
        <v>0</v>
      </c>
      <c r="N371" s="52">
        <v>0</v>
      </c>
      <c r="O371" s="45">
        <v>0</v>
      </c>
      <c r="P371" s="45"/>
      <c r="Q371" s="52"/>
      <c r="R371" s="52">
        <v>0</v>
      </c>
      <c r="S371" s="61">
        <v>0</v>
      </c>
      <c r="T371" s="49"/>
      <c r="U371" s="45"/>
      <c r="V371" s="45"/>
      <c r="W371" s="45"/>
      <c r="X371" s="45"/>
      <c r="Y371" s="45">
        <v>0</v>
      </c>
      <c r="Z371" s="45">
        <v>0</v>
      </c>
      <c r="AA371" s="45"/>
      <c r="AB371" s="45"/>
      <c r="AC371" s="45"/>
      <c r="AD371" s="52"/>
      <c r="AE371" s="52">
        <v>0</v>
      </c>
      <c r="AF371" s="48">
        <v>0</v>
      </c>
      <c r="AG371" s="52">
        <v>0</v>
      </c>
      <c r="AH371" s="52">
        <v>0</v>
      </c>
      <c r="AI371" s="48"/>
      <c r="AJ371" s="48">
        <v>0</v>
      </c>
      <c r="AK371" s="52">
        <v>0</v>
      </c>
      <c r="AL371" s="52">
        <v>0</v>
      </c>
      <c r="AM371" s="48">
        <v>0</v>
      </c>
      <c r="AN371" s="52">
        <v>0</v>
      </c>
      <c r="AO371" s="52">
        <v>0</v>
      </c>
      <c r="AP371" s="48">
        <v>0</v>
      </c>
      <c r="AQ371" s="88">
        <v>0</v>
      </c>
      <c r="AR371" s="52">
        <v>0</v>
      </c>
      <c r="AS371" s="52"/>
      <c r="AT371" s="78"/>
      <c r="AU371" s="52">
        <v>0</v>
      </c>
      <c r="AV371" s="48"/>
      <c r="AW371" s="52"/>
      <c r="AX371" s="52">
        <v>0</v>
      </c>
      <c r="AY371" s="48"/>
      <c r="AZ371" s="52">
        <v>0</v>
      </c>
      <c r="BA371" s="52">
        <v>0</v>
      </c>
      <c r="BB371" s="48"/>
      <c r="BC371" s="45">
        <v>0</v>
      </c>
      <c r="BD371" s="45">
        <v>0</v>
      </c>
      <c r="BE371" s="45">
        <v>0</v>
      </c>
      <c r="BF371" s="45">
        <v>0</v>
      </c>
      <c r="BG371" s="45"/>
      <c r="BH371" s="46"/>
      <c r="BI371" s="45">
        <v>0</v>
      </c>
      <c r="BJ371" s="45">
        <v>0</v>
      </c>
      <c r="BK371" s="45"/>
      <c r="BL371" s="45"/>
      <c r="BM371" s="45">
        <v>0</v>
      </c>
      <c r="BN371" s="45"/>
      <c r="BO371" s="45"/>
      <c r="BP371" s="46"/>
      <c r="BQ371" s="48"/>
      <c r="BR371" s="52">
        <v>0</v>
      </c>
      <c r="BS371" s="52">
        <v>0</v>
      </c>
    </row>
    <row r="372" spans="2:71" ht="12" customHeight="1" x14ac:dyDescent="0.2">
      <c r="B372" s="56" t="s">
        <v>64</v>
      </c>
      <c r="C372" s="45"/>
      <c r="D372" s="45">
        <v>0</v>
      </c>
      <c r="E372" s="52">
        <v>0</v>
      </c>
      <c r="F372" s="52">
        <v>0</v>
      </c>
      <c r="G372" s="48"/>
      <c r="H372" s="45">
        <v>0</v>
      </c>
      <c r="I372" s="45">
        <v>0</v>
      </c>
      <c r="J372" s="45">
        <v>0</v>
      </c>
      <c r="K372" s="45"/>
      <c r="L372" s="45"/>
      <c r="M372" s="52">
        <v>0</v>
      </c>
      <c r="N372" s="52">
        <v>0</v>
      </c>
      <c r="O372" s="45">
        <v>0</v>
      </c>
      <c r="P372" s="45"/>
      <c r="Q372" s="52"/>
      <c r="R372" s="52">
        <v>0</v>
      </c>
      <c r="S372" s="61">
        <v>0</v>
      </c>
      <c r="T372" s="49"/>
      <c r="U372" s="45"/>
      <c r="V372" s="45"/>
      <c r="W372" s="45"/>
      <c r="X372" s="45"/>
      <c r="Y372" s="45">
        <v>0</v>
      </c>
      <c r="Z372" s="45">
        <v>0</v>
      </c>
      <c r="AA372" s="45"/>
      <c r="AB372" s="45"/>
      <c r="AC372" s="45"/>
      <c r="AD372" s="52"/>
      <c r="AE372" s="52">
        <v>0</v>
      </c>
      <c r="AF372" s="48">
        <v>0</v>
      </c>
      <c r="AG372" s="52">
        <v>0</v>
      </c>
      <c r="AH372" s="52">
        <v>0</v>
      </c>
      <c r="AI372" s="48"/>
      <c r="AJ372" s="48">
        <v>0</v>
      </c>
      <c r="AK372" s="52">
        <v>0</v>
      </c>
      <c r="AL372" s="52">
        <v>0</v>
      </c>
      <c r="AM372" s="48">
        <v>0</v>
      </c>
      <c r="AN372" s="52">
        <v>0</v>
      </c>
      <c r="AO372" s="52">
        <v>0</v>
      </c>
      <c r="AP372" s="48">
        <v>0</v>
      </c>
      <c r="AQ372" s="88">
        <v>0</v>
      </c>
      <c r="AR372" s="52">
        <v>0</v>
      </c>
      <c r="AS372" s="52"/>
      <c r="AT372" s="78"/>
      <c r="AU372" s="52">
        <v>0</v>
      </c>
      <c r="AV372" s="48"/>
      <c r="AW372" s="52"/>
      <c r="AX372" s="52">
        <v>0</v>
      </c>
      <c r="AY372" s="48"/>
      <c r="AZ372" s="52">
        <v>0</v>
      </c>
      <c r="BA372" s="52">
        <v>0</v>
      </c>
      <c r="BB372" s="48"/>
      <c r="BC372" s="45">
        <v>0</v>
      </c>
      <c r="BD372" s="45">
        <v>0</v>
      </c>
      <c r="BE372" s="45">
        <v>0</v>
      </c>
      <c r="BF372" s="45">
        <v>0</v>
      </c>
      <c r="BG372" s="45"/>
      <c r="BH372" s="46"/>
      <c r="BI372" s="45">
        <v>0</v>
      </c>
      <c r="BJ372" s="45">
        <v>0</v>
      </c>
      <c r="BK372" s="45"/>
      <c r="BL372" s="45"/>
      <c r="BM372" s="45">
        <v>0</v>
      </c>
      <c r="BN372" s="45"/>
      <c r="BO372" s="45"/>
      <c r="BP372" s="46"/>
      <c r="BQ372" s="48"/>
      <c r="BR372" s="52">
        <v>0</v>
      </c>
      <c r="BS372" s="52">
        <v>0</v>
      </c>
    </row>
    <row r="373" spans="2:71" ht="12" customHeight="1" x14ac:dyDescent="0.2">
      <c r="B373" s="56" t="s">
        <v>64</v>
      </c>
      <c r="C373" s="45"/>
      <c r="D373" s="45">
        <v>0</v>
      </c>
      <c r="E373" s="52">
        <v>0</v>
      </c>
      <c r="F373" s="52">
        <v>0</v>
      </c>
      <c r="G373" s="48"/>
      <c r="H373" s="45">
        <v>0</v>
      </c>
      <c r="I373" s="45">
        <v>0</v>
      </c>
      <c r="J373" s="45">
        <v>0</v>
      </c>
      <c r="K373" s="45"/>
      <c r="L373" s="45"/>
      <c r="M373" s="52">
        <v>0</v>
      </c>
      <c r="N373" s="52">
        <v>0</v>
      </c>
      <c r="O373" s="45">
        <v>0</v>
      </c>
      <c r="P373" s="45"/>
      <c r="Q373" s="52"/>
      <c r="R373" s="52">
        <v>0</v>
      </c>
      <c r="S373" s="61">
        <v>0</v>
      </c>
      <c r="T373" s="49"/>
      <c r="U373" s="45"/>
      <c r="V373" s="45"/>
      <c r="W373" s="45"/>
      <c r="X373" s="45"/>
      <c r="Y373" s="45">
        <v>0</v>
      </c>
      <c r="Z373" s="45">
        <v>0</v>
      </c>
      <c r="AA373" s="45"/>
      <c r="AB373" s="45"/>
      <c r="AC373" s="45"/>
      <c r="AD373" s="52"/>
      <c r="AE373" s="52">
        <v>0</v>
      </c>
      <c r="AF373" s="48">
        <v>0</v>
      </c>
      <c r="AG373" s="52">
        <v>0</v>
      </c>
      <c r="AH373" s="52">
        <v>0</v>
      </c>
      <c r="AI373" s="48"/>
      <c r="AJ373" s="48">
        <v>0</v>
      </c>
      <c r="AK373" s="52">
        <v>0</v>
      </c>
      <c r="AL373" s="52">
        <v>0</v>
      </c>
      <c r="AM373" s="48">
        <v>0</v>
      </c>
      <c r="AN373" s="52">
        <v>0</v>
      </c>
      <c r="AO373" s="52">
        <v>0</v>
      </c>
      <c r="AP373" s="48">
        <v>0</v>
      </c>
      <c r="AQ373" s="88">
        <v>0</v>
      </c>
      <c r="AR373" s="52">
        <v>0</v>
      </c>
      <c r="AS373" s="52"/>
      <c r="AT373" s="78"/>
      <c r="AU373" s="52">
        <v>0</v>
      </c>
      <c r="AV373" s="48"/>
      <c r="AW373" s="52"/>
      <c r="AX373" s="52">
        <v>0</v>
      </c>
      <c r="AY373" s="48"/>
      <c r="AZ373" s="52">
        <v>0</v>
      </c>
      <c r="BA373" s="52">
        <v>0</v>
      </c>
      <c r="BB373" s="48"/>
      <c r="BC373" s="45">
        <v>0</v>
      </c>
      <c r="BD373" s="45">
        <v>0</v>
      </c>
      <c r="BE373" s="45">
        <v>0</v>
      </c>
      <c r="BF373" s="45">
        <v>0</v>
      </c>
      <c r="BG373" s="45"/>
      <c r="BH373" s="46"/>
      <c r="BI373" s="45">
        <v>0</v>
      </c>
      <c r="BJ373" s="45">
        <v>0</v>
      </c>
      <c r="BK373" s="45"/>
      <c r="BL373" s="45"/>
      <c r="BM373" s="45">
        <v>0</v>
      </c>
      <c r="BN373" s="45"/>
      <c r="BO373" s="45"/>
      <c r="BP373" s="46"/>
      <c r="BQ373" s="48"/>
      <c r="BR373" s="52">
        <v>0</v>
      </c>
      <c r="BS373" s="52">
        <v>0</v>
      </c>
    </row>
    <row r="374" spans="2:71" ht="12" customHeight="1" x14ac:dyDescent="0.2">
      <c r="B374" s="56" t="s">
        <v>64</v>
      </c>
      <c r="C374" s="45"/>
      <c r="D374" s="45">
        <v>0</v>
      </c>
      <c r="E374" s="52">
        <v>0</v>
      </c>
      <c r="F374" s="52">
        <v>0</v>
      </c>
      <c r="G374" s="48"/>
      <c r="H374" s="45">
        <v>0</v>
      </c>
      <c r="I374" s="45">
        <v>0</v>
      </c>
      <c r="J374" s="45">
        <v>0</v>
      </c>
      <c r="K374" s="45"/>
      <c r="L374" s="45"/>
      <c r="M374" s="52">
        <v>0</v>
      </c>
      <c r="N374" s="52">
        <v>0</v>
      </c>
      <c r="O374" s="45">
        <v>0</v>
      </c>
      <c r="P374" s="45"/>
      <c r="Q374" s="52"/>
      <c r="R374" s="52">
        <v>0</v>
      </c>
      <c r="S374" s="61">
        <v>0</v>
      </c>
      <c r="T374" s="49"/>
      <c r="U374" s="45"/>
      <c r="V374" s="45"/>
      <c r="W374" s="45"/>
      <c r="X374" s="45"/>
      <c r="Y374" s="45">
        <v>0</v>
      </c>
      <c r="Z374" s="45">
        <v>0</v>
      </c>
      <c r="AA374" s="45"/>
      <c r="AB374" s="45"/>
      <c r="AC374" s="45"/>
      <c r="AD374" s="52"/>
      <c r="AE374" s="52">
        <v>0</v>
      </c>
      <c r="AF374" s="48">
        <v>0</v>
      </c>
      <c r="AG374" s="52">
        <v>0</v>
      </c>
      <c r="AH374" s="52">
        <v>0</v>
      </c>
      <c r="AI374" s="48"/>
      <c r="AJ374" s="48">
        <v>0</v>
      </c>
      <c r="AK374" s="52">
        <v>0</v>
      </c>
      <c r="AL374" s="52">
        <v>0</v>
      </c>
      <c r="AM374" s="48">
        <v>0</v>
      </c>
      <c r="AN374" s="52">
        <v>0</v>
      </c>
      <c r="AO374" s="52">
        <v>0</v>
      </c>
      <c r="AP374" s="48">
        <v>0</v>
      </c>
      <c r="AQ374" s="88">
        <v>0</v>
      </c>
      <c r="AR374" s="52">
        <v>0</v>
      </c>
      <c r="AS374" s="52"/>
      <c r="AT374" s="78"/>
      <c r="AU374" s="52">
        <v>0</v>
      </c>
      <c r="AV374" s="48"/>
      <c r="AW374" s="52"/>
      <c r="AX374" s="52">
        <v>0</v>
      </c>
      <c r="AY374" s="48"/>
      <c r="AZ374" s="52">
        <v>0</v>
      </c>
      <c r="BA374" s="52">
        <v>0</v>
      </c>
      <c r="BB374" s="48"/>
      <c r="BC374" s="45">
        <v>0</v>
      </c>
      <c r="BD374" s="45">
        <v>0</v>
      </c>
      <c r="BE374" s="45">
        <v>0</v>
      </c>
      <c r="BF374" s="45">
        <v>0</v>
      </c>
      <c r="BG374" s="45"/>
      <c r="BH374" s="46"/>
      <c r="BI374" s="45">
        <v>0</v>
      </c>
      <c r="BJ374" s="45">
        <v>0</v>
      </c>
      <c r="BK374" s="45"/>
      <c r="BL374" s="45"/>
      <c r="BM374" s="45">
        <v>0</v>
      </c>
      <c r="BN374" s="45"/>
      <c r="BO374" s="45"/>
      <c r="BP374" s="46"/>
      <c r="BQ374" s="48"/>
      <c r="BR374" s="52">
        <v>0</v>
      </c>
      <c r="BS374" s="52">
        <v>0</v>
      </c>
    </row>
    <row r="375" spans="2:71" ht="12" customHeight="1" x14ac:dyDescent="0.2">
      <c r="B375" s="56" t="s">
        <v>64</v>
      </c>
      <c r="C375" s="45"/>
      <c r="D375" s="45">
        <v>0</v>
      </c>
      <c r="E375" s="52">
        <v>0</v>
      </c>
      <c r="F375" s="52">
        <v>0</v>
      </c>
      <c r="G375" s="48"/>
      <c r="H375" s="45">
        <v>0</v>
      </c>
      <c r="I375" s="45">
        <v>0</v>
      </c>
      <c r="J375" s="45">
        <v>0</v>
      </c>
      <c r="K375" s="45"/>
      <c r="L375" s="45"/>
      <c r="M375" s="52">
        <v>0</v>
      </c>
      <c r="N375" s="52">
        <v>0</v>
      </c>
      <c r="O375" s="45">
        <v>0</v>
      </c>
      <c r="P375" s="45"/>
      <c r="Q375" s="52"/>
      <c r="R375" s="52">
        <v>0</v>
      </c>
      <c r="S375" s="61">
        <v>0</v>
      </c>
      <c r="T375" s="49"/>
      <c r="U375" s="45"/>
      <c r="V375" s="45"/>
      <c r="W375" s="45"/>
      <c r="X375" s="45"/>
      <c r="Y375" s="45">
        <v>0</v>
      </c>
      <c r="Z375" s="45">
        <v>0</v>
      </c>
      <c r="AA375" s="45"/>
      <c r="AB375" s="45"/>
      <c r="AC375" s="45"/>
      <c r="AD375" s="52"/>
      <c r="AE375" s="52">
        <v>0</v>
      </c>
      <c r="AF375" s="48">
        <v>0</v>
      </c>
      <c r="AG375" s="52">
        <v>0</v>
      </c>
      <c r="AH375" s="52">
        <v>0</v>
      </c>
      <c r="AI375" s="48"/>
      <c r="AJ375" s="48">
        <v>0</v>
      </c>
      <c r="AK375" s="52">
        <v>0</v>
      </c>
      <c r="AL375" s="52">
        <v>0</v>
      </c>
      <c r="AM375" s="48">
        <v>0</v>
      </c>
      <c r="AN375" s="52">
        <v>0</v>
      </c>
      <c r="AO375" s="52">
        <v>0</v>
      </c>
      <c r="AP375" s="48">
        <v>0</v>
      </c>
      <c r="AQ375" s="88">
        <v>0</v>
      </c>
      <c r="AR375" s="52">
        <v>0</v>
      </c>
      <c r="AS375" s="52"/>
      <c r="AT375" s="78"/>
      <c r="AU375" s="52">
        <v>0</v>
      </c>
      <c r="AV375" s="48"/>
      <c r="AW375" s="52"/>
      <c r="AX375" s="52">
        <v>0</v>
      </c>
      <c r="AY375" s="48"/>
      <c r="AZ375" s="52">
        <v>0</v>
      </c>
      <c r="BA375" s="52">
        <v>0</v>
      </c>
      <c r="BB375" s="48"/>
      <c r="BC375" s="45">
        <v>0</v>
      </c>
      <c r="BD375" s="45">
        <v>0</v>
      </c>
      <c r="BE375" s="45">
        <v>0</v>
      </c>
      <c r="BF375" s="45">
        <v>0</v>
      </c>
      <c r="BG375" s="45"/>
      <c r="BH375" s="46"/>
      <c r="BI375" s="45">
        <v>0</v>
      </c>
      <c r="BJ375" s="45">
        <v>0</v>
      </c>
      <c r="BK375" s="45"/>
      <c r="BL375" s="45"/>
      <c r="BM375" s="45">
        <v>0</v>
      </c>
      <c r="BN375" s="45"/>
      <c r="BO375" s="45"/>
      <c r="BP375" s="46"/>
      <c r="BQ375" s="48"/>
      <c r="BR375" s="52">
        <v>0</v>
      </c>
      <c r="BS375" s="52">
        <v>0</v>
      </c>
    </row>
    <row r="376" spans="2:71" ht="12" customHeight="1" x14ac:dyDescent="0.2">
      <c r="B376" s="56" t="s">
        <v>64</v>
      </c>
      <c r="C376" s="45"/>
      <c r="D376" s="45">
        <v>0</v>
      </c>
      <c r="E376" s="52">
        <v>0</v>
      </c>
      <c r="F376" s="52">
        <v>0</v>
      </c>
      <c r="G376" s="48"/>
      <c r="H376" s="45">
        <v>0</v>
      </c>
      <c r="I376" s="45">
        <v>0</v>
      </c>
      <c r="J376" s="45">
        <v>0</v>
      </c>
      <c r="K376" s="45"/>
      <c r="L376" s="45"/>
      <c r="M376" s="52">
        <v>0</v>
      </c>
      <c r="N376" s="52">
        <v>0</v>
      </c>
      <c r="O376" s="45">
        <v>0</v>
      </c>
      <c r="P376" s="45"/>
      <c r="Q376" s="52"/>
      <c r="R376" s="52">
        <v>0</v>
      </c>
      <c r="S376" s="61">
        <v>0</v>
      </c>
      <c r="T376" s="49"/>
      <c r="U376" s="45"/>
      <c r="V376" s="45"/>
      <c r="W376" s="45"/>
      <c r="X376" s="45"/>
      <c r="Y376" s="45">
        <v>0</v>
      </c>
      <c r="Z376" s="45">
        <v>0</v>
      </c>
      <c r="AA376" s="45"/>
      <c r="AB376" s="45"/>
      <c r="AC376" s="45"/>
      <c r="AD376" s="52"/>
      <c r="AE376" s="52">
        <v>0</v>
      </c>
      <c r="AF376" s="48">
        <v>0</v>
      </c>
      <c r="AG376" s="52">
        <v>0</v>
      </c>
      <c r="AH376" s="52">
        <v>0</v>
      </c>
      <c r="AI376" s="48"/>
      <c r="AJ376" s="48">
        <v>0</v>
      </c>
      <c r="AK376" s="52">
        <v>0</v>
      </c>
      <c r="AL376" s="52">
        <v>0</v>
      </c>
      <c r="AM376" s="48">
        <v>0</v>
      </c>
      <c r="AN376" s="52">
        <v>0</v>
      </c>
      <c r="AO376" s="52">
        <v>0</v>
      </c>
      <c r="AP376" s="48">
        <v>0</v>
      </c>
      <c r="AQ376" s="88">
        <v>0</v>
      </c>
      <c r="AR376" s="52">
        <v>0</v>
      </c>
      <c r="AS376" s="52"/>
      <c r="AT376" s="78"/>
      <c r="AU376" s="52">
        <v>0</v>
      </c>
      <c r="AV376" s="48"/>
      <c r="AW376" s="52"/>
      <c r="AX376" s="52">
        <v>0</v>
      </c>
      <c r="AY376" s="48"/>
      <c r="AZ376" s="52">
        <v>0</v>
      </c>
      <c r="BA376" s="52">
        <v>0</v>
      </c>
      <c r="BB376" s="48"/>
      <c r="BC376" s="45">
        <v>0</v>
      </c>
      <c r="BD376" s="45">
        <v>0</v>
      </c>
      <c r="BE376" s="45">
        <v>0</v>
      </c>
      <c r="BF376" s="45">
        <v>0</v>
      </c>
      <c r="BG376" s="45"/>
      <c r="BH376" s="46"/>
      <c r="BI376" s="45">
        <v>0</v>
      </c>
      <c r="BJ376" s="45">
        <v>0</v>
      </c>
      <c r="BK376" s="45"/>
      <c r="BL376" s="45"/>
      <c r="BM376" s="45">
        <v>0</v>
      </c>
      <c r="BN376" s="45"/>
      <c r="BO376" s="45"/>
      <c r="BP376" s="46"/>
      <c r="BQ376" s="48"/>
      <c r="BR376" s="52">
        <v>0</v>
      </c>
      <c r="BS376" s="52">
        <v>0</v>
      </c>
    </row>
    <row r="377" spans="2:71" ht="12" customHeight="1" x14ac:dyDescent="0.2">
      <c r="B377" s="56" t="s">
        <v>64</v>
      </c>
      <c r="C377" s="45"/>
      <c r="D377" s="45">
        <v>0</v>
      </c>
      <c r="E377" s="52">
        <v>0</v>
      </c>
      <c r="F377" s="52">
        <v>0</v>
      </c>
      <c r="G377" s="48"/>
      <c r="H377" s="45">
        <v>0</v>
      </c>
      <c r="I377" s="45">
        <v>0</v>
      </c>
      <c r="J377" s="45">
        <v>0</v>
      </c>
      <c r="K377" s="45"/>
      <c r="L377" s="45"/>
      <c r="M377" s="52">
        <v>0</v>
      </c>
      <c r="N377" s="52">
        <v>0</v>
      </c>
      <c r="O377" s="45">
        <v>0</v>
      </c>
      <c r="P377" s="45"/>
      <c r="Q377" s="52"/>
      <c r="R377" s="52">
        <v>0</v>
      </c>
      <c r="S377" s="61">
        <v>0</v>
      </c>
      <c r="T377" s="49"/>
      <c r="U377" s="45"/>
      <c r="V377" s="45"/>
      <c r="W377" s="45"/>
      <c r="X377" s="45"/>
      <c r="Y377" s="45">
        <v>0</v>
      </c>
      <c r="Z377" s="45">
        <v>0</v>
      </c>
      <c r="AA377" s="45"/>
      <c r="AB377" s="45"/>
      <c r="AC377" s="45"/>
      <c r="AD377" s="52"/>
      <c r="AE377" s="52">
        <v>0</v>
      </c>
      <c r="AF377" s="48">
        <v>0</v>
      </c>
      <c r="AG377" s="52">
        <v>0</v>
      </c>
      <c r="AH377" s="52">
        <v>0</v>
      </c>
      <c r="AI377" s="48"/>
      <c r="AJ377" s="48">
        <v>0</v>
      </c>
      <c r="AK377" s="52">
        <v>0</v>
      </c>
      <c r="AL377" s="52">
        <v>0</v>
      </c>
      <c r="AM377" s="48">
        <v>0</v>
      </c>
      <c r="AN377" s="52">
        <v>0</v>
      </c>
      <c r="AO377" s="52">
        <v>0</v>
      </c>
      <c r="AP377" s="48">
        <v>0</v>
      </c>
      <c r="AQ377" s="88">
        <v>0</v>
      </c>
      <c r="AR377" s="52">
        <v>0</v>
      </c>
      <c r="AS377" s="52"/>
      <c r="AT377" s="78"/>
      <c r="AU377" s="52">
        <v>0</v>
      </c>
      <c r="AV377" s="48"/>
      <c r="AW377" s="52"/>
      <c r="AX377" s="52">
        <v>0</v>
      </c>
      <c r="AY377" s="48"/>
      <c r="AZ377" s="52">
        <v>0</v>
      </c>
      <c r="BA377" s="52">
        <v>0</v>
      </c>
      <c r="BB377" s="48"/>
      <c r="BC377" s="45">
        <v>0</v>
      </c>
      <c r="BD377" s="45">
        <v>0</v>
      </c>
      <c r="BE377" s="45">
        <v>0</v>
      </c>
      <c r="BF377" s="45">
        <v>0</v>
      </c>
      <c r="BG377" s="45"/>
      <c r="BH377" s="46"/>
      <c r="BI377" s="45">
        <v>0</v>
      </c>
      <c r="BJ377" s="45">
        <v>0</v>
      </c>
      <c r="BK377" s="45"/>
      <c r="BL377" s="45"/>
      <c r="BM377" s="45">
        <v>0</v>
      </c>
      <c r="BN377" s="45"/>
      <c r="BO377" s="45"/>
      <c r="BP377" s="46"/>
      <c r="BQ377" s="48"/>
      <c r="BR377" s="52">
        <v>0</v>
      </c>
      <c r="BS377" s="52">
        <v>0</v>
      </c>
    </row>
    <row r="378" spans="2:71" ht="12" customHeight="1" x14ac:dyDescent="0.2">
      <c r="B378" s="56" t="s">
        <v>64</v>
      </c>
      <c r="C378" s="45"/>
      <c r="D378" s="45">
        <v>0</v>
      </c>
      <c r="E378" s="52">
        <v>0</v>
      </c>
      <c r="F378" s="52">
        <v>0</v>
      </c>
      <c r="G378" s="48"/>
      <c r="H378" s="45">
        <v>0</v>
      </c>
      <c r="I378" s="45">
        <v>0</v>
      </c>
      <c r="J378" s="45">
        <v>0</v>
      </c>
      <c r="K378" s="45"/>
      <c r="L378" s="45"/>
      <c r="M378" s="52">
        <v>0</v>
      </c>
      <c r="N378" s="52">
        <v>0</v>
      </c>
      <c r="O378" s="45">
        <v>0</v>
      </c>
      <c r="P378" s="45"/>
      <c r="Q378" s="52"/>
      <c r="R378" s="52">
        <v>0</v>
      </c>
      <c r="S378" s="61">
        <v>0</v>
      </c>
      <c r="T378" s="49"/>
      <c r="U378" s="45"/>
      <c r="V378" s="45"/>
      <c r="W378" s="45"/>
      <c r="X378" s="45"/>
      <c r="Y378" s="45">
        <v>0</v>
      </c>
      <c r="Z378" s="45">
        <v>0</v>
      </c>
      <c r="AA378" s="45"/>
      <c r="AB378" s="45"/>
      <c r="AC378" s="45"/>
      <c r="AD378" s="52"/>
      <c r="AE378" s="52">
        <v>0</v>
      </c>
      <c r="AF378" s="48">
        <v>0</v>
      </c>
      <c r="AG378" s="52">
        <v>0</v>
      </c>
      <c r="AH378" s="52">
        <v>0</v>
      </c>
      <c r="AI378" s="48"/>
      <c r="AJ378" s="48">
        <v>0</v>
      </c>
      <c r="AK378" s="52">
        <v>0</v>
      </c>
      <c r="AL378" s="52">
        <v>0</v>
      </c>
      <c r="AM378" s="48">
        <v>0</v>
      </c>
      <c r="AN378" s="52">
        <v>0</v>
      </c>
      <c r="AO378" s="52">
        <v>0</v>
      </c>
      <c r="AP378" s="48">
        <v>0</v>
      </c>
      <c r="AQ378" s="88">
        <v>0</v>
      </c>
      <c r="AR378" s="52">
        <v>0</v>
      </c>
      <c r="AS378" s="52"/>
      <c r="AT378" s="78"/>
      <c r="AU378" s="52">
        <v>0</v>
      </c>
      <c r="AV378" s="48"/>
      <c r="AW378" s="52"/>
      <c r="AX378" s="52">
        <v>0</v>
      </c>
      <c r="AY378" s="48"/>
      <c r="AZ378" s="52">
        <v>0</v>
      </c>
      <c r="BA378" s="52">
        <v>0</v>
      </c>
      <c r="BB378" s="48"/>
      <c r="BC378" s="45">
        <v>0</v>
      </c>
      <c r="BD378" s="45">
        <v>0</v>
      </c>
      <c r="BE378" s="45">
        <v>0</v>
      </c>
      <c r="BF378" s="45">
        <v>0</v>
      </c>
      <c r="BG378" s="45"/>
      <c r="BH378" s="46"/>
      <c r="BI378" s="45">
        <v>0</v>
      </c>
      <c r="BJ378" s="45">
        <v>0</v>
      </c>
      <c r="BK378" s="45"/>
      <c r="BL378" s="45"/>
      <c r="BM378" s="45">
        <v>0</v>
      </c>
      <c r="BN378" s="45"/>
      <c r="BO378" s="45"/>
      <c r="BP378" s="46"/>
      <c r="BQ378" s="48"/>
      <c r="BR378" s="52">
        <v>0</v>
      </c>
      <c r="BS378" s="52">
        <v>0</v>
      </c>
    </row>
    <row r="379" spans="2:71" ht="12" customHeight="1" x14ac:dyDescent="0.2">
      <c r="B379" s="56" t="s">
        <v>64</v>
      </c>
      <c r="C379" s="45"/>
      <c r="D379" s="45">
        <v>0</v>
      </c>
      <c r="E379" s="52">
        <v>0</v>
      </c>
      <c r="F379" s="52">
        <v>0</v>
      </c>
      <c r="G379" s="48"/>
      <c r="H379" s="45">
        <v>0</v>
      </c>
      <c r="I379" s="45">
        <v>0</v>
      </c>
      <c r="J379" s="45">
        <v>0</v>
      </c>
      <c r="K379" s="45"/>
      <c r="L379" s="45"/>
      <c r="M379" s="52">
        <v>0</v>
      </c>
      <c r="N379" s="52">
        <v>0</v>
      </c>
      <c r="O379" s="45">
        <v>0</v>
      </c>
      <c r="P379" s="45"/>
      <c r="Q379" s="52"/>
      <c r="R379" s="52">
        <v>0</v>
      </c>
      <c r="S379" s="61">
        <v>0</v>
      </c>
      <c r="T379" s="49"/>
      <c r="U379" s="45"/>
      <c r="V379" s="45"/>
      <c r="W379" s="45"/>
      <c r="X379" s="45"/>
      <c r="Y379" s="45">
        <v>0</v>
      </c>
      <c r="Z379" s="45">
        <v>0</v>
      </c>
      <c r="AA379" s="45"/>
      <c r="AB379" s="45"/>
      <c r="AC379" s="45"/>
      <c r="AD379" s="52"/>
      <c r="AE379" s="52">
        <v>0</v>
      </c>
      <c r="AF379" s="48">
        <v>0</v>
      </c>
      <c r="AG379" s="52">
        <v>0</v>
      </c>
      <c r="AH379" s="52">
        <v>0</v>
      </c>
      <c r="AI379" s="48"/>
      <c r="AJ379" s="48">
        <v>0</v>
      </c>
      <c r="AK379" s="52">
        <v>0</v>
      </c>
      <c r="AL379" s="52">
        <v>0</v>
      </c>
      <c r="AM379" s="48">
        <v>0</v>
      </c>
      <c r="AN379" s="52">
        <v>0</v>
      </c>
      <c r="AO379" s="52">
        <v>0</v>
      </c>
      <c r="AP379" s="48">
        <v>0</v>
      </c>
      <c r="AQ379" s="88">
        <v>0</v>
      </c>
      <c r="AR379" s="52">
        <v>0</v>
      </c>
      <c r="AS379" s="52"/>
      <c r="AT379" s="78"/>
      <c r="AU379" s="52">
        <v>0</v>
      </c>
      <c r="AV379" s="48"/>
      <c r="AW379" s="52"/>
      <c r="AX379" s="52">
        <v>0</v>
      </c>
      <c r="AY379" s="48"/>
      <c r="AZ379" s="52">
        <v>0</v>
      </c>
      <c r="BA379" s="52">
        <v>0</v>
      </c>
      <c r="BB379" s="48"/>
      <c r="BC379" s="45">
        <v>0</v>
      </c>
      <c r="BD379" s="45">
        <v>0</v>
      </c>
      <c r="BE379" s="45">
        <v>0</v>
      </c>
      <c r="BF379" s="45">
        <v>0</v>
      </c>
      <c r="BG379" s="45"/>
      <c r="BH379" s="46"/>
      <c r="BI379" s="45">
        <v>0</v>
      </c>
      <c r="BJ379" s="45">
        <v>0</v>
      </c>
      <c r="BK379" s="45"/>
      <c r="BL379" s="45"/>
      <c r="BM379" s="45">
        <v>0</v>
      </c>
      <c r="BN379" s="45"/>
      <c r="BO379" s="45"/>
      <c r="BP379" s="46"/>
      <c r="BQ379" s="48"/>
      <c r="BR379" s="52">
        <v>0</v>
      </c>
      <c r="BS379" s="52">
        <v>0</v>
      </c>
    </row>
    <row r="380" spans="2:71" ht="12" customHeight="1" x14ac:dyDescent="0.2">
      <c r="B380" s="56" t="s">
        <v>64</v>
      </c>
      <c r="C380" s="45"/>
      <c r="D380" s="45">
        <v>0</v>
      </c>
      <c r="E380" s="52">
        <v>0</v>
      </c>
      <c r="F380" s="52">
        <v>0</v>
      </c>
      <c r="G380" s="48"/>
      <c r="H380" s="45">
        <v>0</v>
      </c>
      <c r="I380" s="45">
        <v>0</v>
      </c>
      <c r="J380" s="45">
        <v>0</v>
      </c>
      <c r="K380" s="45"/>
      <c r="L380" s="45"/>
      <c r="M380" s="52">
        <v>0</v>
      </c>
      <c r="N380" s="52">
        <v>0</v>
      </c>
      <c r="O380" s="45">
        <v>0</v>
      </c>
      <c r="P380" s="45"/>
      <c r="Q380" s="52"/>
      <c r="R380" s="52">
        <v>0</v>
      </c>
      <c r="S380" s="61">
        <v>0</v>
      </c>
      <c r="T380" s="49"/>
      <c r="U380" s="45"/>
      <c r="V380" s="45"/>
      <c r="W380" s="45"/>
      <c r="X380" s="45"/>
      <c r="Y380" s="45">
        <v>0</v>
      </c>
      <c r="Z380" s="45">
        <v>0</v>
      </c>
      <c r="AA380" s="45"/>
      <c r="AB380" s="45"/>
      <c r="AC380" s="45"/>
      <c r="AD380" s="52"/>
      <c r="AE380" s="52">
        <v>0</v>
      </c>
      <c r="AF380" s="48">
        <v>0</v>
      </c>
      <c r="AG380" s="52">
        <v>0</v>
      </c>
      <c r="AH380" s="52">
        <v>0</v>
      </c>
      <c r="AI380" s="48"/>
      <c r="AJ380" s="48">
        <v>0</v>
      </c>
      <c r="AK380" s="52">
        <v>0</v>
      </c>
      <c r="AL380" s="52">
        <v>0</v>
      </c>
      <c r="AM380" s="48">
        <v>0</v>
      </c>
      <c r="AN380" s="52">
        <v>0</v>
      </c>
      <c r="AO380" s="52">
        <v>0</v>
      </c>
      <c r="AP380" s="48">
        <v>0</v>
      </c>
      <c r="AQ380" s="88">
        <v>0</v>
      </c>
      <c r="AR380" s="52">
        <v>0</v>
      </c>
      <c r="AS380" s="52"/>
      <c r="AT380" s="78"/>
      <c r="AU380" s="52">
        <v>0</v>
      </c>
      <c r="AV380" s="48"/>
      <c r="AW380" s="52"/>
      <c r="AX380" s="52">
        <v>0</v>
      </c>
      <c r="AY380" s="48"/>
      <c r="AZ380" s="52">
        <v>0</v>
      </c>
      <c r="BA380" s="52">
        <v>0</v>
      </c>
      <c r="BB380" s="48"/>
      <c r="BC380" s="45">
        <v>0</v>
      </c>
      <c r="BD380" s="45">
        <v>0</v>
      </c>
      <c r="BE380" s="45">
        <v>0</v>
      </c>
      <c r="BF380" s="45">
        <v>0</v>
      </c>
      <c r="BG380" s="45"/>
      <c r="BH380" s="46"/>
      <c r="BI380" s="45">
        <v>0</v>
      </c>
      <c r="BJ380" s="45">
        <v>0</v>
      </c>
      <c r="BK380" s="45"/>
      <c r="BL380" s="45"/>
      <c r="BM380" s="45">
        <v>0</v>
      </c>
      <c r="BN380" s="45"/>
      <c r="BO380" s="45"/>
      <c r="BP380" s="46"/>
      <c r="BQ380" s="48"/>
      <c r="BR380" s="52">
        <v>0</v>
      </c>
      <c r="BS380" s="52">
        <v>0</v>
      </c>
    </row>
    <row r="381" spans="2:71" ht="12" customHeight="1" x14ac:dyDescent="0.2">
      <c r="B381" s="56" t="s">
        <v>64</v>
      </c>
      <c r="C381" s="45"/>
      <c r="D381" s="45">
        <v>0</v>
      </c>
      <c r="E381" s="52">
        <v>0</v>
      </c>
      <c r="F381" s="52">
        <v>0</v>
      </c>
      <c r="G381" s="48"/>
      <c r="H381" s="45">
        <v>0</v>
      </c>
      <c r="I381" s="45">
        <v>0</v>
      </c>
      <c r="J381" s="45">
        <v>0</v>
      </c>
      <c r="K381" s="45"/>
      <c r="L381" s="45"/>
      <c r="M381" s="52">
        <v>0</v>
      </c>
      <c r="N381" s="52">
        <v>0</v>
      </c>
      <c r="O381" s="45">
        <v>0</v>
      </c>
      <c r="P381" s="45"/>
      <c r="Q381" s="52"/>
      <c r="R381" s="52">
        <v>0</v>
      </c>
      <c r="S381" s="61">
        <v>0</v>
      </c>
      <c r="T381" s="49"/>
      <c r="U381" s="45"/>
      <c r="V381" s="45"/>
      <c r="W381" s="45"/>
      <c r="X381" s="45"/>
      <c r="Y381" s="45">
        <v>0</v>
      </c>
      <c r="Z381" s="45">
        <v>0</v>
      </c>
      <c r="AA381" s="45"/>
      <c r="AB381" s="45"/>
      <c r="AC381" s="45"/>
      <c r="AD381" s="52"/>
      <c r="AE381" s="52">
        <v>0</v>
      </c>
      <c r="AF381" s="48">
        <v>0</v>
      </c>
      <c r="AG381" s="52">
        <v>0</v>
      </c>
      <c r="AH381" s="52">
        <v>0</v>
      </c>
      <c r="AI381" s="48"/>
      <c r="AJ381" s="48">
        <v>0</v>
      </c>
      <c r="AK381" s="52">
        <v>0</v>
      </c>
      <c r="AL381" s="52">
        <v>0</v>
      </c>
      <c r="AM381" s="48">
        <v>0</v>
      </c>
      <c r="AN381" s="52">
        <v>0</v>
      </c>
      <c r="AO381" s="52">
        <v>0</v>
      </c>
      <c r="AP381" s="48">
        <v>0</v>
      </c>
      <c r="AQ381" s="88">
        <v>0</v>
      </c>
      <c r="AR381" s="52">
        <v>0</v>
      </c>
      <c r="AS381" s="52"/>
      <c r="AT381" s="78"/>
      <c r="AU381" s="52">
        <v>0</v>
      </c>
      <c r="AV381" s="48"/>
      <c r="AW381" s="52"/>
      <c r="AX381" s="52">
        <v>0</v>
      </c>
      <c r="AY381" s="48"/>
      <c r="AZ381" s="52">
        <v>0</v>
      </c>
      <c r="BA381" s="52">
        <v>0</v>
      </c>
      <c r="BB381" s="48"/>
      <c r="BC381" s="45">
        <v>0</v>
      </c>
      <c r="BD381" s="45">
        <v>0</v>
      </c>
      <c r="BE381" s="45">
        <v>0</v>
      </c>
      <c r="BF381" s="45">
        <v>0</v>
      </c>
      <c r="BG381" s="45"/>
      <c r="BH381" s="46"/>
      <c r="BI381" s="45">
        <v>0</v>
      </c>
      <c r="BJ381" s="45">
        <v>0</v>
      </c>
      <c r="BK381" s="45"/>
      <c r="BL381" s="45"/>
      <c r="BM381" s="45">
        <v>0</v>
      </c>
      <c r="BN381" s="45"/>
      <c r="BO381" s="45"/>
      <c r="BP381" s="46"/>
      <c r="BQ381" s="48"/>
      <c r="BR381" s="52">
        <v>0</v>
      </c>
      <c r="BS381" s="52">
        <v>0</v>
      </c>
    </row>
    <row r="382" spans="2:71" ht="12" customHeight="1" x14ac:dyDescent="0.2">
      <c r="B382" s="56" t="s">
        <v>64</v>
      </c>
      <c r="C382" s="45"/>
      <c r="D382" s="45">
        <v>0</v>
      </c>
      <c r="E382" s="52">
        <v>0</v>
      </c>
      <c r="F382" s="52">
        <v>0</v>
      </c>
      <c r="G382" s="48"/>
      <c r="H382" s="45">
        <v>0</v>
      </c>
      <c r="I382" s="45">
        <v>0</v>
      </c>
      <c r="J382" s="45">
        <v>0</v>
      </c>
      <c r="K382" s="45"/>
      <c r="L382" s="45"/>
      <c r="M382" s="52">
        <v>0</v>
      </c>
      <c r="N382" s="52">
        <v>0</v>
      </c>
      <c r="O382" s="45">
        <v>0</v>
      </c>
      <c r="P382" s="45"/>
      <c r="Q382" s="52"/>
      <c r="R382" s="52">
        <v>0</v>
      </c>
      <c r="S382" s="61">
        <v>0</v>
      </c>
      <c r="T382" s="49"/>
      <c r="U382" s="45"/>
      <c r="V382" s="45"/>
      <c r="W382" s="45"/>
      <c r="X382" s="45"/>
      <c r="Y382" s="45">
        <v>0</v>
      </c>
      <c r="Z382" s="45">
        <v>0</v>
      </c>
      <c r="AA382" s="45"/>
      <c r="AB382" s="45"/>
      <c r="AC382" s="45"/>
      <c r="AD382" s="52"/>
      <c r="AE382" s="52">
        <v>0</v>
      </c>
      <c r="AF382" s="48">
        <v>0</v>
      </c>
      <c r="AG382" s="52">
        <v>0</v>
      </c>
      <c r="AH382" s="52">
        <v>0</v>
      </c>
      <c r="AI382" s="48"/>
      <c r="AJ382" s="48">
        <v>0</v>
      </c>
      <c r="AK382" s="52">
        <v>0</v>
      </c>
      <c r="AL382" s="52">
        <v>0</v>
      </c>
      <c r="AM382" s="48">
        <v>0</v>
      </c>
      <c r="AN382" s="52">
        <v>0</v>
      </c>
      <c r="AO382" s="52">
        <v>0</v>
      </c>
      <c r="AP382" s="48">
        <v>0</v>
      </c>
      <c r="AQ382" s="88">
        <v>0</v>
      </c>
      <c r="AR382" s="52">
        <v>0</v>
      </c>
      <c r="AS382" s="52"/>
      <c r="AT382" s="78"/>
      <c r="AU382" s="52">
        <v>0</v>
      </c>
      <c r="AV382" s="48"/>
      <c r="AW382" s="52"/>
      <c r="AX382" s="52">
        <v>0</v>
      </c>
      <c r="AY382" s="48"/>
      <c r="AZ382" s="52">
        <v>0</v>
      </c>
      <c r="BA382" s="52">
        <v>0</v>
      </c>
      <c r="BB382" s="48"/>
      <c r="BC382" s="45">
        <v>0</v>
      </c>
      <c r="BD382" s="45">
        <v>0</v>
      </c>
      <c r="BE382" s="45">
        <v>0</v>
      </c>
      <c r="BF382" s="45">
        <v>0</v>
      </c>
      <c r="BG382" s="45"/>
      <c r="BH382" s="46"/>
      <c r="BI382" s="45">
        <v>0</v>
      </c>
      <c r="BJ382" s="45">
        <v>0</v>
      </c>
      <c r="BK382" s="45"/>
      <c r="BL382" s="45"/>
      <c r="BM382" s="45">
        <v>0</v>
      </c>
      <c r="BN382" s="45"/>
      <c r="BO382" s="45"/>
      <c r="BP382" s="46"/>
      <c r="BQ382" s="48"/>
      <c r="BR382" s="52">
        <v>0</v>
      </c>
      <c r="BS382" s="52">
        <v>0</v>
      </c>
    </row>
    <row r="383" spans="2:71" ht="12" customHeight="1" x14ac:dyDescent="0.2">
      <c r="B383" s="56" t="s">
        <v>64</v>
      </c>
      <c r="C383" s="45"/>
      <c r="D383" s="45">
        <v>0</v>
      </c>
      <c r="E383" s="52">
        <v>0</v>
      </c>
      <c r="F383" s="52">
        <v>0</v>
      </c>
      <c r="G383" s="48"/>
      <c r="H383" s="45">
        <v>0</v>
      </c>
      <c r="I383" s="45">
        <v>0</v>
      </c>
      <c r="J383" s="45">
        <v>0</v>
      </c>
      <c r="K383" s="45"/>
      <c r="L383" s="45"/>
      <c r="M383" s="52">
        <v>0</v>
      </c>
      <c r="N383" s="52">
        <v>0</v>
      </c>
      <c r="O383" s="45">
        <v>0</v>
      </c>
      <c r="P383" s="45"/>
      <c r="Q383" s="52"/>
      <c r="R383" s="52">
        <v>0</v>
      </c>
      <c r="S383" s="61">
        <v>0</v>
      </c>
      <c r="T383" s="49"/>
      <c r="U383" s="45"/>
      <c r="V383" s="45"/>
      <c r="W383" s="45"/>
      <c r="X383" s="45"/>
      <c r="Y383" s="45">
        <v>0</v>
      </c>
      <c r="Z383" s="45">
        <v>0</v>
      </c>
      <c r="AA383" s="45"/>
      <c r="AB383" s="45"/>
      <c r="AC383" s="45"/>
      <c r="AD383" s="52"/>
      <c r="AE383" s="52">
        <v>0</v>
      </c>
      <c r="AF383" s="48">
        <v>0</v>
      </c>
      <c r="AG383" s="52">
        <v>0</v>
      </c>
      <c r="AH383" s="52">
        <v>0</v>
      </c>
      <c r="AI383" s="48"/>
      <c r="AJ383" s="48">
        <v>0</v>
      </c>
      <c r="AK383" s="52">
        <v>0</v>
      </c>
      <c r="AL383" s="52">
        <v>0</v>
      </c>
      <c r="AM383" s="48">
        <v>0</v>
      </c>
      <c r="AN383" s="52">
        <v>0</v>
      </c>
      <c r="AO383" s="52">
        <v>0</v>
      </c>
      <c r="AP383" s="48">
        <v>0</v>
      </c>
      <c r="AQ383" s="88">
        <v>0</v>
      </c>
      <c r="AR383" s="52">
        <v>0</v>
      </c>
      <c r="AS383" s="52"/>
      <c r="AT383" s="78"/>
      <c r="AU383" s="52">
        <v>0</v>
      </c>
      <c r="AV383" s="48"/>
      <c r="AW383" s="52"/>
      <c r="AX383" s="52">
        <v>0</v>
      </c>
      <c r="AY383" s="48"/>
      <c r="AZ383" s="52">
        <v>0</v>
      </c>
      <c r="BA383" s="52">
        <v>0</v>
      </c>
      <c r="BB383" s="48"/>
      <c r="BC383" s="45">
        <v>0</v>
      </c>
      <c r="BD383" s="45">
        <v>0</v>
      </c>
      <c r="BE383" s="45">
        <v>0</v>
      </c>
      <c r="BF383" s="45">
        <v>0</v>
      </c>
      <c r="BG383" s="45"/>
      <c r="BH383" s="46"/>
      <c r="BI383" s="45">
        <v>0</v>
      </c>
      <c r="BJ383" s="45">
        <v>0</v>
      </c>
      <c r="BK383" s="45"/>
      <c r="BL383" s="45"/>
      <c r="BM383" s="45">
        <v>0</v>
      </c>
      <c r="BN383" s="45"/>
      <c r="BO383" s="45"/>
      <c r="BP383" s="46"/>
      <c r="BQ383" s="48"/>
      <c r="BR383" s="52">
        <v>0</v>
      </c>
      <c r="BS383" s="52">
        <v>0</v>
      </c>
    </row>
    <row r="384" spans="2:71" ht="12" customHeight="1" x14ac:dyDescent="0.2">
      <c r="B384" s="56" t="s">
        <v>64</v>
      </c>
      <c r="C384" s="45"/>
      <c r="D384" s="45">
        <v>0</v>
      </c>
      <c r="E384" s="52">
        <v>0</v>
      </c>
      <c r="F384" s="52">
        <v>0</v>
      </c>
      <c r="G384" s="48"/>
      <c r="H384" s="45">
        <v>0</v>
      </c>
      <c r="I384" s="45">
        <v>0</v>
      </c>
      <c r="J384" s="45">
        <v>0</v>
      </c>
      <c r="K384" s="45"/>
      <c r="L384" s="45"/>
      <c r="M384" s="52">
        <v>0</v>
      </c>
      <c r="N384" s="52">
        <v>0</v>
      </c>
      <c r="O384" s="45">
        <v>0</v>
      </c>
      <c r="P384" s="45"/>
      <c r="Q384" s="52"/>
      <c r="R384" s="52">
        <v>0</v>
      </c>
      <c r="S384" s="61">
        <v>0</v>
      </c>
      <c r="T384" s="49"/>
      <c r="U384" s="45"/>
      <c r="V384" s="45"/>
      <c r="W384" s="45"/>
      <c r="X384" s="45"/>
      <c r="Y384" s="45">
        <v>0</v>
      </c>
      <c r="Z384" s="45">
        <v>0</v>
      </c>
      <c r="AA384" s="45"/>
      <c r="AB384" s="45"/>
      <c r="AC384" s="45"/>
      <c r="AD384" s="52"/>
      <c r="AE384" s="52">
        <v>0</v>
      </c>
      <c r="AF384" s="48">
        <v>0</v>
      </c>
      <c r="AG384" s="52">
        <v>0</v>
      </c>
      <c r="AH384" s="52">
        <v>0</v>
      </c>
      <c r="AI384" s="48"/>
      <c r="AJ384" s="48">
        <v>0</v>
      </c>
      <c r="AK384" s="52">
        <v>0</v>
      </c>
      <c r="AL384" s="52">
        <v>0</v>
      </c>
      <c r="AM384" s="48">
        <v>0</v>
      </c>
      <c r="AN384" s="52">
        <v>0</v>
      </c>
      <c r="AO384" s="52">
        <v>0</v>
      </c>
      <c r="AP384" s="48">
        <v>0</v>
      </c>
      <c r="AQ384" s="88">
        <v>0</v>
      </c>
      <c r="AR384" s="52">
        <v>0</v>
      </c>
      <c r="AS384" s="52"/>
      <c r="AT384" s="78"/>
      <c r="AU384" s="52">
        <v>0</v>
      </c>
      <c r="AV384" s="48"/>
      <c r="AW384" s="52"/>
      <c r="AX384" s="52">
        <v>0</v>
      </c>
      <c r="AY384" s="48"/>
      <c r="AZ384" s="52">
        <v>0</v>
      </c>
      <c r="BA384" s="52">
        <v>0</v>
      </c>
      <c r="BB384" s="48"/>
      <c r="BC384" s="45">
        <v>0</v>
      </c>
      <c r="BD384" s="45">
        <v>0</v>
      </c>
      <c r="BE384" s="45">
        <v>0</v>
      </c>
      <c r="BF384" s="45">
        <v>0</v>
      </c>
      <c r="BG384" s="45"/>
      <c r="BH384" s="46"/>
      <c r="BI384" s="45">
        <v>0</v>
      </c>
      <c r="BJ384" s="45">
        <v>0</v>
      </c>
      <c r="BK384" s="45"/>
      <c r="BL384" s="45"/>
      <c r="BM384" s="45">
        <v>0</v>
      </c>
      <c r="BN384" s="45"/>
      <c r="BO384" s="45"/>
      <c r="BP384" s="46"/>
      <c r="BQ384" s="48"/>
      <c r="BR384" s="52">
        <v>0</v>
      </c>
      <c r="BS384" s="52">
        <v>0</v>
      </c>
    </row>
    <row r="385" spans="2:71" ht="12" customHeight="1" x14ac:dyDescent="0.2">
      <c r="B385" s="56" t="s">
        <v>64</v>
      </c>
      <c r="C385" s="45"/>
      <c r="D385" s="45">
        <v>0</v>
      </c>
      <c r="E385" s="52">
        <v>0</v>
      </c>
      <c r="F385" s="52">
        <v>0</v>
      </c>
      <c r="G385" s="48"/>
      <c r="H385" s="45">
        <v>0</v>
      </c>
      <c r="I385" s="45">
        <v>0</v>
      </c>
      <c r="J385" s="45">
        <v>0</v>
      </c>
      <c r="K385" s="45"/>
      <c r="L385" s="45"/>
      <c r="M385" s="52">
        <v>0</v>
      </c>
      <c r="N385" s="52">
        <v>0</v>
      </c>
      <c r="O385" s="45">
        <v>0</v>
      </c>
      <c r="P385" s="45"/>
      <c r="Q385" s="52"/>
      <c r="R385" s="52">
        <v>0</v>
      </c>
      <c r="S385" s="61">
        <v>0</v>
      </c>
      <c r="T385" s="49"/>
      <c r="U385" s="45"/>
      <c r="V385" s="45"/>
      <c r="W385" s="45"/>
      <c r="X385" s="45"/>
      <c r="Y385" s="45">
        <v>0</v>
      </c>
      <c r="Z385" s="45">
        <v>0</v>
      </c>
      <c r="AA385" s="45"/>
      <c r="AB385" s="45"/>
      <c r="AC385" s="45"/>
      <c r="AD385" s="52"/>
      <c r="AE385" s="52">
        <v>0</v>
      </c>
      <c r="AF385" s="48">
        <v>0</v>
      </c>
      <c r="AG385" s="52">
        <v>0</v>
      </c>
      <c r="AH385" s="52">
        <v>0</v>
      </c>
      <c r="AI385" s="48"/>
      <c r="AJ385" s="48">
        <v>0</v>
      </c>
      <c r="AK385" s="52">
        <v>0</v>
      </c>
      <c r="AL385" s="52">
        <v>0</v>
      </c>
      <c r="AM385" s="48">
        <v>0</v>
      </c>
      <c r="AN385" s="52">
        <v>0</v>
      </c>
      <c r="AO385" s="52">
        <v>0</v>
      </c>
      <c r="AP385" s="48">
        <v>0</v>
      </c>
      <c r="AQ385" s="88">
        <v>0</v>
      </c>
      <c r="AR385" s="52">
        <v>0</v>
      </c>
      <c r="AS385" s="52"/>
      <c r="AT385" s="78"/>
      <c r="AU385" s="52">
        <v>0</v>
      </c>
      <c r="AV385" s="48"/>
      <c r="AW385" s="52"/>
      <c r="AX385" s="52">
        <v>0</v>
      </c>
      <c r="AY385" s="48"/>
      <c r="AZ385" s="52">
        <v>0</v>
      </c>
      <c r="BA385" s="52">
        <v>0</v>
      </c>
      <c r="BB385" s="48"/>
      <c r="BC385" s="45">
        <v>0</v>
      </c>
      <c r="BD385" s="45">
        <v>0</v>
      </c>
      <c r="BE385" s="45">
        <v>0</v>
      </c>
      <c r="BF385" s="45">
        <v>0</v>
      </c>
      <c r="BG385" s="45"/>
      <c r="BH385" s="46"/>
      <c r="BI385" s="45">
        <v>0</v>
      </c>
      <c r="BJ385" s="45">
        <v>0</v>
      </c>
      <c r="BK385" s="45"/>
      <c r="BL385" s="45"/>
      <c r="BM385" s="45">
        <v>0</v>
      </c>
      <c r="BN385" s="45"/>
      <c r="BO385" s="45"/>
      <c r="BP385" s="46"/>
      <c r="BQ385" s="48"/>
      <c r="BR385" s="52">
        <v>0</v>
      </c>
      <c r="BS385" s="52">
        <v>0</v>
      </c>
    </row>
    <row r="386" spans="2:71" ht="12" customHeight="1" x14ac:dyDescent="0.2">
      <c r="B386" s="56" t="s">
        <v>64</v>
      </c>
      <c r="C386" s="45"/>
      <c r="D386" s="45">
        <v>0</v>
      </c>
      <c r="E386" s="52">
        <v>0</v>
      </c>
      <c r="F386" s="52">
        <v>0</v>
      </c>
      <c r="G386" s="48"/>
      <c r="H386" s="45">
        <v>0</v>
      </c>
      <c r="I386" s="45">
        <v>0</v>
      </c>
      <c r="J386" s="45">
        <v>0</v>
      </c>
      <c r="K386" s="45"/>
      <c r="L386" s="45"/>
      <c r="M386" s="52">
        <v>0</v>
      </c>
      <c r="N386" s="52">
        <v>0</v>
      </c>
      <c r="O386" s="45">
        <v>0</v>
      </c>
      <c r="P386" s="45"/>
      <c r="Q386" s="52"/>
      <c r="R386" s="52">
        <v>0</v>
      </c>
      <c r="S386" s="61">
        <v>0</v>
      </c>
      <c r="T386" s="49"/>
      <c r="U386" s="45"/>
      <c r="V386" s="45"/>
      <c r="W386" s="45"/>
      <c r="X386" s="45"/>
      <c r="Y386" s="45">
        <v>0</v>
      </c>
      <c r="Z386" s="45">
        <v>0</v>
      </c>
      <c r="AA386" s="45"/>
      <c r="AB386" s="45"/>
      <c r="AC386" s="45"/>
      <c r="AD386" s="52"/>
      <c r="AE386" s="52">
        <v>0</v>
      </c>
      <c r="AF386" s="48">
        <v>0</v>
      </c>
      <c r="AG386" s="52">
        <v>0</v>
      </c>
      <c r="AH386" s="52">
        <v>0</v>
      </c>
      <c r="AI386" s="48"/>
      <c r="AJ386" s="48">
        <v>0</v>
      </c>
      <c r="AK386" s="52">
        <v>0</v>
      </c>
      <c r="AL386" s="52">
        <v>0</v>
      </c>
      <c r="AM386" s="48">
        <v>0</v>
      </c>
      <c r="AN386" s="52">
        <v>0</v>
      </c>
      <c r="AO386" s="52">
        <v>0</v>
      </c>
      <c r="AP386" s="48">
        <v>0</v>
      </c>
      <c r="AQ386" s="88">
        <v>0</v>
      </c>
      <c r="AR386" s="52">
        <v>0</v>
      </c>
      <c r="AS386" s="52"/>
      <c r="AT386" s="78"/>
      <c r="AU386" s="52">
        <v>0</v>
      </c>
      <c r="AV386" s="48"/>
      <c r="AW386" s="52"/>
      <c r="AX386" s="52">
        <v>0</v>
      </c>
      <c r="AY386" s="48"/>
      <c r="AZ386" s="52">
        <v>0</v>
      </c>
      <c r="BA386" s="52">
        <v>0</v>
      </c>
      <c r="BB386" s="48"/>
      <c r="BC386" s="45">
        <v>0</v>
      </c>
      <c r="BD386" s="45">
        <v>0</v>
      </c>
      <c r="BE386" s="45">
        <v>0</v>
      </c>
      <c r="BF386" s="45">
        <v>0</v>
      </c>
      <c r="BG386" s="45"/>
      <c r="BH386" s="46"/>
      <c r="BI386" s="45">
        <v>0</v>
      </c>
      <c r="BJ386" s="45">
        <v>0</v>
      </c>
      <c r="BK386" s="45"/>
      <c r="BL386" s="45"/>
      <c r="BM386" s="45">
        <v>0</v>
      </c>
      <c r="BN386" s="45"/>
      <c r="BO386" s="45"/>
      <c r="BP386" s="46"/>
      <c r="BQ386" s="48"/>
      <c r="BR386" s="52">
        <v>0</v>
      </c>
      <c r="BS386" s="52">
        <v>0</v>
      </c>
    </row>
    <row r="387" spans="2:71" ht="12" customHeight="1" x14ac:dyDescent="0.2">
      <c r="B387" s="56" t="s">
        <v>64</v>
      </c>
      <c r="C387" s="45"/>
      <c r="D387" s="45">
        <v>0</v>
      </c>
      <c r="E387" s="52">
        <v>0</v>
      </c>
      <c r="F387" s="52">
        <v>0</v>
      </c>
      <c r="G387" s="48"/>
      <c r="H387" s="45">
        <v>0</v>
      </c>
      <c r="I387" s="45">
        <v>0</v>
      </c>
      <c r="J387" s="45">
        <v>0</v>
      </c>
      <c r="K387" s="45"/>
      <c r="L387" s="45"/>
      <c r="M387" s="52">
        <v>0</v>
      </c>
      <c r="N387" s="52">
        <v>0</v>
      </c>
      <c r="O387" s="45">
        <v>0</v>
      </c>
      <c r="P387" s="45"/>
      <c r="Q387" s="52"/>
      <c r="R387" s="52">
        <v>0</v>
      </c>
      <c r="S387" s="61">
        <v>0</v>
      </c>
      <c r="T387" s="49"/>
      <c r="U387" s="45"/>
      <c r="V387" s="45"/>
      <c r="W387" s="45"/>
      <c r="X387" s="45"/>
      <c r="Y387" s="45">
        <v>0</v>
      </c>
      <c r="Z387" s="45">
        <v>0</v>
      </c>
      <c r="AA387" s="45"/>
      <c r="AB387" s="45"/>
      <c r="AC387" s="45"/>
      <c r="AD387" s="52"/>
      <c r="AE387" s="52">
        <v>0</v>
      </c>
      <c r="AF387" s="48">
        <v>0</v>
      </c>
      <c r="AG387" s="52">
        <v>0</v>
      </c>
      <c r="AH387" s="52">
        <v>0</v>
      </c>
      <c r="AI387" s="48"/>
      <c r="AJ387" s="48">
        <v>0</v>
      </c>
      <c r="AK387" s="52">
        <v>0</v>
      </c>
      <c r="AL387" s="52">
        <v>0</v>
      </c>
      <c r="AM387" s="48">
        <v>0</v>
      </c>
      <c r="AN387" s="52">
        <v>0</v>
      </c>
      <c r="AO387" s="52">
        <v>0</v>
      </c>
      <c r="AP387" s="48">
        <v>0</v>
      </c>
      <c r="AQ387" s="88">
        <v>0</v>
      </c>
      <c r="AR387" s="52">
        <v>0</v>
      </c>
      <c r="AS387" s="52"/>
      <c r="AT387" s="78"/>
      <c r="AU387" s="52">
        <v>0</v>
      </c>
      <c r="AV387" s="48"/>
      <c r="AW387" s="52"/>
      <c r="AX387" s="52">
        <v>0</v>
      </c>
      <c r="AY387" s="48"/>
      <c r="AZ387" s="52">
        <v>0</v>
      </c>
      <c r="BA387" s="52">
        <v>0</v>
      </c>
      <c r="BB387" s="48"/>
      <c r="BC387" s="45">
        <v>0</v>
      </c>
      <c r="BD387" s="45">
        <v>0</v>
      </c>
      <c r="BE387" s="45">
        <v>0</v>
      </c>
      <c r="BF387" s="45">
        <v>0</v>
      </c>
      <c r="BG387" s="45"/>
      <c r="BH387" s="46"/>
      <c r="BI387" s="45">
        <v>0</v>
      </c>
      <c r="BJ387" s="45">
        <v>0</v>
      </c>
      <c r="BK387" s="45"/>
      <c r="BL387" s="45"/>
      <c r="BM387" s="45">
        <v>0</v>
      </c>
      <c r="BN387" s="45"/>
      <c r="BO387" s="45"/>
      <c r="BP387" s="46"/>
      <c r="BQ387" s="48"/>
      <c r="BR387" s="52">
        <v>0</v>
      </c>
      <c r="BS387" s="52">
        <v>0</v>
      </c>
    </row>
    <row r="388" spans="2:71" ht="12" customHeight="1" x14ac:dyDescent="0.2">
      <c r="B388" s="56" t="s">
        <v>64</v>
      </c>
      <c r="C388" s="45"/>
      <c r="D388" s="45">
        <v>0</v>
      </c>
      <c r="E388" s="52">
        <v>0</v>
      </c>
      <c r="F388" s="52">
        <v>0</v>
      </c>
      <c r="G388" s="48"/>
      <c r="H388" s="45">
        <v>0</v>
      </c>
      <c r="I388" s="45">
        <v>0</v>
      </c>
      <c r="J388" s="45">
        <v>0</v>
      </c>
      <c r="K388" s="45"/>
      <c r="L388" s="45"/>
      <c r="M388" s="52">
        <v>0</v>
      </c>
      <c r="N388" s="52">
        <v>0</v>
      </c>
      <c r="O388" s="45">
        <v>0</v>
      </c>
      <c r="P388" s="45"/>
      <c r="Q388" s="52"/>
      <c r="R388" s="52">
        <v>0</v>
      </c>
      <c r="S388" s="61">
        <v>0</v>
      </c>
      <c r="T388" s="49"/>
      <c r="U388" s="45"/>
      <c r="V388" s="45"/>
      <c r="W388" s="45"/>
      <c r="X388" s="45"/>
      <c r="Y388" s="45">
        <v>0</v>
      </c>
      <c r="Z388" s="45">
        <v>0</v>
      </c>
      <c r="AA388" s="45"/>
      <c r="AB388" s="45"/>
      <c r="AC388" s="45"/>
      <c r="AD388" s="52"/>
      <c r="AE388" s="52">
        <v>0</v>
      </c>
      <c r="AF388" s="48">
        <v>0</v>
      </c>
      <c r="AG388" s="52">
        <v>0</v>
      </c>
      <c r="AH388" s="52">
        <v>0</v>
      </c>
      <c r="AI388" s="48"/>
      <c r="AJ388" s="48">
        <v>0</v>
      </c>
      <c r="AK388" s="52">
        <v>0</v>
      </c>
      <c r="AL388" s="52">
        <v>0</v>
      </c>
      <c r="AM388" s="48">
        <v>0</v>
      </c>
      <c r="AN388" s="52">
        <v>0</v>
      </c>
      <c r="AO388" s="52">
        <v>0</v>
      </c>
      <c r="AP388" s="48">
        <v>0</v>
      </c>
      <c r="AQ388" s="88">
        <v>0</v>
      </c>
      <c r="AR388" s="52">
        <v>0</v>
      </c>
      <c r="AS388" s="52"/>
      <c r="AT388" s="78"/>
      <c r="AU388" s="52">
        <v>0</v>
      </c>
      <c r="AV388" s="48"/>
      <c r="AW388" s="52"/>
      <c r="AX388" s="52">
        <v>0</v>
      </c>
      <c r="AY388" s="48"/>
      <c r="AZ388" s="52">
        <v>0</v>
      </c>
      <c r="BA388" s="52">
        <v>0</v>
      </c>
      <c r="BB388" s="48"/>
      <c r="BC388" s="45">
        <v>0</v>
      </c>
      <c r="BD388" s="45">
        <v>0</v>
      </c>
      <c r="BE388" s="45">
        <v>0</v>
      </c>
      <c r="BF388" s="45">
        <v>0</v>
      </c>
      <c r="BG388" s="45"/>
      <c r="BH388" s="46"/>
      <c r="BI388" s="45">
        <v>0</v>
      </c>
      <c r="BJ388" s="45">
        <v>0</v>
      </c>
      <c r="BK388" s="45"/>
      <c r="BL388" s="45"/>
      <c r="BM388" s="45">
        <v>0</v>
      </c>
      <c r="BN388" s="45"/>
      <c r="BO388" s="45"/>
      <c r="BP388" s="46"/>
      <c r="BQ388" s="48"/>
      <c r="BR388" s="52">
        <v>0</v>
      </c>
      <c r="BS388" s="52">
        <v>0</v>
      </c>
    </row>
    <row r="389" spans="2:71" ht="12" customHeight="1" x14ac:dyDescent="0.2">
      <c r="B389" s="56" t="s">
        <v>64</v>
      </c>
      <c r="C389" s="45"/>
      <c r="D389" s="45">
        <v>0</v>
      </c>
      <c r="E389" s="52">
        <v>0</v>
      </c>
      <c r="F389" s="52">
        <v>0</v>
      </c>
      <c r="G389" s="48"/>
      <c r="H389" s="45">
        <v>0</v>
      </c>
      <c r="I389" s="45">
        <v>0</v>
      </c>
      <c r="J389" s="45">
        <v>0</v>
      </c>
      <c r="K389" s="45"/>
      <c r="L389" s="45"/>
      <c r="M389" s="52">
        <v>0</v>
      </c>
      <c r="N389" s="52">
        <v>0</v>
      </c>
      <c r="O389" s="45">
        <v>0</v>
      </c>
      <c r="P389" s="45"/>
      <c r="Q389" s="52"/>
      <c r="R389" s="52">
        <v>0</v>
      </c>
      <c r="S389" s="61">
        <v>0</v>
      </c>
      <c r="T389" s="49"/>
      <c r="U389" s="45"/>
      <c r="V389" s="45"/>
      <c r="W389" s="45"/>
      <c r="X389" s="45"/>
      <c r="Y389" s="45">
        <v>0</v>
      </c>
      <c r="Z389" s="45">
        <v>0</v>
      </c>
      <c r="AA389" s="45"/>
      <c r="AB389" s="45"/>
      <c r="AC389" s="45"/>
      <c r="AD389" s="52"/>
      <c r="AE389" s="52">
        <v>0</v>
      </c>
      <c r="AF389" s="48">
        <v>0</v>
      </c>
      <c r="AG389" s="52">
        <v>0</v>
      </c>
      <c r="AH389" s="52">
        <v>0</v>
      </c>
      <c r="AI389" s="48"/>
      <c r="AJ389" s="48">
        <v>0</v>
      </c>
      <c r="AK389" s="52">
        <v>0</v>
      </c>
      <c r="AL389" s="52">
        <v>0</v>
      </c>
      <c r="AM389" s="48">
        <v>0</v>
      </c>
      <c r="AN389" s="52">
        <v>0</v>
      </c>
      <c r="AO389" s="52">
        <v>0</v>
      </c>
      <c r="AP389" s="48">
        <v>0</v>
      </c>
      <c r="AQ389" s="88">
        <v>0</v>
      </c>
      <c r="AR389" s="52">
        <v>0</v>
      </c>
      <c r="AS389" s="52"/>
      <c r="AT389" s="78"/>
      <c r="AU389" s="52">
        <v>0</v>
      </c>
      <c r="AV389" s="48"/>
      <c r="AW389" s="52"/>
      <c r="AX389" s="52">
        <v>0</v>
      </c>
      <c r="AY389" s="48"/>
      <c r="AZ389" s="52">
        <v>0</v>
      </c>
      <c r="BA389" s="52">
        <v>0</v>
      </c>
      <c r="BB389" s="48"/>
      <c r="BC389" s="45">
        <v>0</v>
      </c>
      <c r="BD389" s="45">
        <v>0</v>
      </c>
      <c r="BE389" s="45">
        <v>0</v>
      </c>
      <c r="BF389" s="45">
        <v>0</v>
      </c>
      <c r="BG389" s="45"/>
      <c r="BH389" s="46"/>
      <c r="BI389" s="45">
        <v>0</v>
      </c>
      <c r="BJ389" s="45">
        <v>0</v>
      </c>
      <c r="BK389" s="45"/>
      <c r="BL389" s="45"/>
      <c r="BM389" s="45">
        <v>0</v>
      </c>
      <c r="BN389" s="45"/>
      <c r="BO389" s="45"/>
      <c r="BP389" s="46"/>
      <c r="BQ389" s="48"/>
      <c r="BR389" s="52">
        <v>0</v>
      </c>
      <c r="BS389" s="52">
        <v>0</v>
      </c>
    </row>
    <row r="390" spans="2:71" ht="12" customHeight="1" x14ac:dyDescent="0.2">
      <c r="B390" s="56" t="s">
        <v>64</v>
      </c>
      <c r="C390" s="45"/>
      <c r="D390" s="45">
        <v>0</v>
      </c>
      <c r="E390" s="52">
        <v>0</v>
      </c>
      <c r="F390" s="52">
        <v>0</v>
      </c>
      <c r="G390" s="48"/>
      <c r="H390" s="45">
        <v>0</v>
      </c>
      <c r="I390" s="45">
        <v>0</v>
      </c>
      <c r="J390" s="45">
        <v>0</v>
      </c>
      <c r="K390" s="45"/>
      <c r="L390" s="45"/>
      <c r="M390" s="52">
        <v>0</v>
      </c>
      <c r="N390" s="52">
        <v>0</v>
      </c>
      <c r="O390" s="45">
        <v>0</v>
      </c>
      <c r="P390" s="45"/>
      <c r="Q390" s="52"/>
      <c r="R390" s="52">
        <v>0</v>
      </c>
      <c r="S390" s="61">
        <v>0</v>
      </c>
      <c r="T390" s="49"/>
      <c r="U390" s="45"/>
      <c r="V390" s="45"/>
      <c r="W390" s="45"/>
      <c r="X390" s="45"/>
      <c r="Y390" s="45">
        <v>0</v>
      </c>
      <c r="Z390" s="45">
        <v>0</v>
      </c>
      <c r="AA390" s="45"/>
      <c r="AB390" s="45"/>
      <c r="AC390" s="45"/>
      <c r="AD390" s="52"/>
      <c r="AE390" s="52">
        <v>0</v>
      </c>
      <c r="AF390" s="48">
        <v>0</v>
      </c>
      <c r="AG390" s="52">
        <v>0</v>
      </c>
      <c r="AH390" s="52">
        <v>0</v>
      </c>
      <c r="AI390" s="48"/>
      <c r="AJ390" s="48">
        <v>0</v>
      </c>
      <c r="AK390" s="52">
        <v>0</v>
      </c>
      <c r="AL390" s="52">
        <v>0</v>
      </c>
      <c r="AM390" s="48">
        <v>0</v>
      </c>
      <c r="AN390" s="52">
        <v>0</v>
      </c>
      <c r="AO390" s="52">
        <v>0</v>
      </c>
      <c r="AP390" s="48">
        <v>0</v>
      </c>
      <c r="AQ390" s="88">
        <v>0</v>
      </c>
      <c r="AR390" s="52">
        <v>0</v>
      </c>
      <c r="AS390" s="52"/>
      <c r="AT390" s="78"/>
      <c r="AU390" s="52">
        <v>0</v>
      </c>
      <c r="AV390" s="48"/>
      <c r="AW390" s="52"/>
      <c r="AX390" s="52">
        <v>0</v>
      </c>
      <c r="AY390" s="48"/>
      <c r="AZ390" s="52">
        <v>0</v>
      </c>
      <c r="BA390" s="52">
        <v>0</v>
      </c>
      <c r="BB390" s="48"/>
      <c r="BC390" s="45">
        <v>0</v>
      </c>
      <c r="BD390" s="45">
        <v>0</v>
      </c>
      <c r="BE390" s="45">
        <v>0</v>
      </c>
      <c r="BF390" s="45">
        <v>0</v>
      </c>
      <c r="BG390" s="45"/>
      <c r="BH390" s="46"/>
      <c r="BI390" s="45">
        <v>0</v>
      </c>
      <c r="BJ390" s="45">
        <v>0</v>
      </c>
      <c r="BK390" s="45"/>
      <c r="BL390" s="45"/>
      <c r="BM390" s="45">
        <v>0</v>
      </c>
      <c r="BN390" s="45"/>
      <c r="BO390" s="45"/>
      <c r="BP390" s="46"/>
      <c r="BQ390" s="48"/>
      <c r="BR390" s="52">
        <v>0</v>
      </c>
      <c r="BS390" s="52">
        <v>0</v>
      </c>
    </row>
    <row r="391" spans="2:71" ht="12" customHeight="1" x14ac:dyDescent="0.2">
      <c r="B391" s="56" t="s">
        <v>64</v>
      </c>
      <c r="C391" s="45"/>
      <c r="D391" s="45">
        <v>0</v>
      </c>
      <c r="E391" s="52">
        <v>0</v>
      </c>
      <c r="F391" s="52">
        <v>0</v>
      </c>
      <c r="G391" s="48"/>
      <c r="H391" s="45">
        <v>0</v>
      </c>
      <c r="I391" s="45">
        <v>0</v>
      </c>
      <c r="J391" s="45">
        <v>0</v>
      </c>
      <c r="K391" s="45"/>
      <c r="L391" s="45"/>
      <c r="M391" s="52">
        <v>0</v>
      </c>
      <c r="N391" s="52">
        <v>0</v>
      </c>
      <c r="O391" s="45">
        <v>0</v>
      </c>
      <c r="P391" s="45"/>
      <c r="Q391" s="52"/>
      <c r="R391" s="52">
        <v>0</v>
      </c>
      <c r="S391" s="61">
        <v>0</v>
      </c>
      <c r="T391" s="49"/>
      <c r="U391" s="45"/>
      <c r="V391" s="45"/>
      <c r="W391" s="45"/>
      <c r="X391" s="45"/>
      <c r="Y391" s="45">
        <v>0</v>
      </c>
      <c r="Z391" s="45">
        <v>0</v>
      </c>
      <c r="AA391" s="45"/>
      <c r="AB391" s="45"/>
      <c r="AC391" s="45"/>
      <c r="AD391" s="52"/>
      <c r="AE391" s="52">
        <v>0</v>
      </c>
      <c r="AF391" s="48">
        <v>0</v>
      </c>
      <c r="AG391" s="52">
        <v>0</v>
      </c>
      <c r="AH391" s="52">
        <v>0</v>
      </c>
      <c r="AI391" s="48"/>
      <c r="AJ391" s="48">
        <v>0</v>
      </c>
      <c r="AK391" s="52">
        <v>0</v>
      </c>
      <c r="AL391" s="52">
        <v>0</v>
      </c>
      <c r="AM391" s="48">
        <v>0</v>
      </c>
      <c r="AN391" s="52">
        <v>0</v>
      </c>
      <c r="AO391" s="52">
        <v>0</v>
      </c>
      <c r="AP391" s="48">
        <v>0</v>
      </c>
      <c r="AQ391" s="88">
        <v>0</v>
      </c>
      <c r="AR391" s="52">
        <v>0</v>
      </c>
      <c r="AS391" s="52"/>
      <c r="AT391" s="78"/>
      <c r="AU391" s="52">
        <v>0</v>
      </c>
      <c r="AV391" s="48"/>
      <c r="AW391" s="52"/>
      <c r="AX391" s="52">
        <v>0</v>
      </c>
      <c r="AY391" s="48"/>
      <c r="AZ391" s="52">
        <v>0</v>
      </c>
      <c r="BA391" s="52">
        <v>0</v>
      </c>
      <c r="BB391" s="48"/>
      <c r="BC391" s="45">
        <v>0</v>
      </c>
      <c r="BD391" s="45">
        <v>0</v>
      </c>
      <c r="BE391" s="45">
        <v>0</v>
      </c>
      <c r="BF391" s="45">
        <v>0</v>
      </c>
      <c r="BG391" s="45"/>
      <c r="BH391" s="46"/>
      <c r="BI391" s="45">
        <v>0</v>
      </c>
      <c r="BJ391" s="45">
        <v>0</v>
      </c>
      <c r="BK391" s="45"/>
      <c r="BL391" s="45"/>
      <c r="BM391" s="45">
        <v>0</v>
      </c>
      <c r="BN391" s="45"/>
      <c r="BO391" s="45"/>
      <c r="BP391" s="46"/>
      <c r="BQ391" s="48"/>
      <c r="BR391" s="52">
        <v>0</v>
      </c>
      <c r="BS391" s="52">
        <v>0</v>
      </c>
    </row>
    <row r="392" spans="2:71" ht="12" customHeight="1" x14ac:dyDescent="0.2">
      <c r="B392" s="56" t="s">
        <v>64</v>
      </c>
      <c r="C392" s="45"/>
      <c r="D392" s="45">
        <v>0</v>
      </c>
      <c r="E392" s="52">
        <v>0</v>
      </c>
      <c r="F392" s="52">
        <v>0</v>
      </c>
      <c r="G392" s="48"/>
      <c r="H392" s="45">
        <v>0</v>
      </c>
      <c r="I392" s="45">
        <v>0</v>
      </c>
      <c r="J392" s="45">
        <v>0</v>
      </c>
      <c r="K392" s="45"/>
      <c r="L392" s="45"/>
      <c r="M392" s="52">
        <v>0</v>
      </c>
      <c r="N392" s="52">
        <v>0</v>
      </c>
      <c r="O392" s="45">
        <v>0</v>
      </c>
      <c r="P392" s="45"/>
      <c r="Q392" s="52"/>
      <c r="R392" s="52">
        <v>0</v>
      </c>
      <c r="S392" s="61">
        <v>0</v>
      </c>
      <c r="T392" s="49"/>
      <c r="U392" s="45"/>
      <c r="V392" s="45"/>
      <c r="W392" s="45"/>
      <c r="X392" s="45"/>
      <c r="Y392" s="45">
        <v>0</v>
      </c>
      <c r="Z392" s="45">
        <v>0</v>
      </c>
      <c r="AA392" s="45"/>
      <c r="AB392" s="45"/>
      <c r="AC392" s="45"/>
      <c r="AD392" s="52"/>
      <c r="AE392" s="52">
        <v>0</v>
      </c>
      <c r="AF392" s="48">
        <v>0</v>
      </c>
      <c r="AG392" s="52">
        <v>0</v>
      </c>
      <c r="AH392" s="52">
        <v>0</v>
      </c>
      <c r="AI392" s="48"/>
      <c r="AJ392" s="48">
        <v>0</v>
      </c>
      <c r="AK392" s="52">
        <v>0</v>
      </c>
      <c r="AL392" s="52">
        <v>0</v>
      </c>
      <c r="AM392" s="48">
        <v>0</v>
      </c>
      <c r="AN392" s="52">
        <v>0</v>
      </c>
      <c r="AO392" s="52">
        <v>0</v>
      </c>
      <c r="AP392" s="48">
        <v>0</v>
      </c>
      <c r="AQ392" s="88">
        <v>0</v>
      </c>
      <c r="AR392" s="52">
        <v>0</v>
      </c>
      <c r="AS392" s="52"/>
      <c r="AT392" s="78"/>
      <c r="AU392" s="52">
        <v>0</v>
      </c>
      <c r="AV392" s="48"/>
      <c r="AW392" s="52"/>
      <c r="AX392" s="52">
        <v>0</v>
      </c>
      <c r="AY392" s="48"/>
      <c r="AZ392" s="52">
        <v>0</v>
      </c>
      <c r="BA392" s="52">
        <v>0</v>
      </c>
      <c r="BB392" s="48"/>
      <c r="BC392" s="45">
        <v>0</v>
      </c>
      <c r="BD392" s="45">
        <v>0</v>
      </c>
      <c r="BE392" s="45">
        <v>0</v>
      </c>
      <c r="BF392" s="45">
        <v>0</v>
      </c>
      <c r="BG392" s="45"/>
      <c r="BH392" s="46"/>
      <c r="BI392" s="45">
        <v>0</v>
      </c>
      <c r="BJ392" s="45">
        <v>0</v>
      </c>
      <c r="BK392" s="45"/>
      <c r="BL392" s="45"/>
      <c r="BM392" s="45">
        <v>0</v>
      </c>
      <c r="BN392" s="45"/>
      <c r="BO392" s="45"/>
      <c r="BP392" s="46"/>
      <c r="BQ392" s="48"/>
      <c r="BR392" s="52">
        <v>0</v>
      </c>
      <c r="BS392" s="52">
        <v>0</v>
      </c>
    </row>
    <row r="393" spans="2:71" ht="12" customHeight="1" x14ac:dyDescent="0.2">
      <c r="B393" s="56" t="s">
        <v>64</v>
      </c>
      <c r="C393" s="45"/>
      <c r="D393" s="45">
        <v>0</v>
      </c>
      <c r="E393" s="52">
        <v>0</v>
      </c>
      <c r="F393" s="52">
        <v>0</v>
      </c>
      <c r="G393" s="48"/>
      <c r="H393" s="45">
        <v>0</v>
      </c>
      <c r="I393" s="45">
        <v>0</v>
      </c>
      <c r="J393" s="45">
        <v>0</v>
      </c>
      <c r="K393" s="45"/>
      <c r="L393" s="45"/>
      <c r="M393" s="52">
        <v>0</v>
      </c>
      <c r="N393" s="52">
        <v>0</v>
      </c>
      <c r="O393" s="45">
        <v>0</v>
      </c>
      <c r="P393" s="45"/>
      <c r="Q393" s="52"/>
      <c r="R393" s="52">
        <v>0</v>
      </c>
      <c r="S393" s="61">
        <v>0</v>
      </c>
      <c r="T393" s="49"/>
      <c r="U393" s="45"/>
      <c r="V393" s="45"/>
      <c r="W393" s="45"/>
      <c r="X393" s="45"/>
      <c r="Y393" s="45">
        <v>0</v>
      </c>
      <c r="Z393" s="45">
        <v>0</v>
      </c>
      <c r="AA393" s="45"/>
      <c r="AB393" s="45"/>
      <c r="AC393" s="45"/>
      <c r="AD393" s="52"/>
      <c r="AE393" s="52">
        <v>0</v>
      </c>
      <c r="AF393" s="48">
        <v>0</v>
      </c>
      <c r="AG393" s="52">
        <v>0</v>
      </c>
      <c r="AH393" s="52">
        <v>0</v>
      </c>
      <c r="AI393" s="48"/>
      <c r="AJ393" s="48">
        <v>0</v>
      </c>
      <c r="AK393" s="52">
        <v>0</v>
      </c>
      <c r="AL393" s="52">
        <v>0</v>
      </c>
      <c r="AM393" s="48">
        <v>0</v>
      </c>
      <c r="AN393" s="52">
        <v>0</v>
      </c>
      <c r="AO393" s="52">
        <v>0</v>
      </c>
      <c r="AP393" s="48">
        <v>0</v>
      </c>
      <c r="AQ393" s="88">
        <v>0</v>
      </c>
      <c r="AR393" s="52">
        <v>0</v>
      </c>
      <c r="AS393" s="52"/>
      <c r="AT393" s="78"/>
      <c r="AU393" s="52">
        <v>0</v>
      </c>
      <c r="AV393" s="48"/>
      <c r="AW393" s="52"/>
      <c r="AX393" s="52">
        <v>0</v>
      </c>
      <c r="AY393" s="48"/>
      <c r="AZ393" s="52">
        <v>0</v>
      </c>
      <c r="BA393" s="52">
        <v>0</v>
      </c>
      <c r="BB393" s="48"/>
      <c r="BC393" s="45">
        <v>0</v>
      </c>
      <c r="BD393" s="45">
        <v>0</v>
      </c>
      <c r="BE393" s="45">
        <v>0</v>
      </c>
      <c r="BF393" s="45">
        <v>0</v>
      </c>
      <c r="BG393" s="45"/>
      <c r="BH393" s="46"/>
      <c r="BI393" s="45">
        <v>0</v>
      </c>
      <c r="BJ393" s="45">
        <v>0</v>
      </c>
      <c r="BK393" s="45"/>
      <c r="BL393" s="45"/>
      <c r="BM393" s="45">
        <v>0</v>
      </c>
      <c r="BN393" s="45"/>
      <c r="BO393" s="45"/>
      <c r="BP393" s="46"/>
      <c r="BQ393" s="48"/>
      <c r="BR393" s="52">
        <v>0</v>
      </c>
      <c r="BS393" s="52">
        <v>0</v>
      </c>
    </row>
    <row r="394" spans="2:71" ht="12" customHeight="1" x14ac:dyDescent="0.2">
      <c r="B394" s="56" t="s">
        <v>64</v>
      </c>
      <c r="C394" s="45"/>
      <c r="D394" s="45">
        <v>0</v>
      </c>
      <c r="E394" s="52">
        <v>0</v>
      </c>
      <c r="F394" s="52">
        <v>0</v>
      </c>
      <c r="G394" s="48"/>
      <c r="H394" s="45">
        <v>0</v>
      </c>
      <c r="I394" s="45">
        <v>0</v>
      </c>
      <c r="J394" s="45">
        <v>0</v>
      </c>
      <c r="K394" s="45"/>
      <c r="L394" s="45"/>
      <c r="M394" s="52">
        <v>0</v>
      </c>
      <c r="N394" s="52">
        <v>0</v>
      </c>
      <c r="O394" s="45">
        <v>0</v>
      </c>
      <c r="P394" s="45"/>
      <c r="Q394" s="52"/>
      <c r="R394" s="52">
        <v>0</v>
      </c>
      <c r="S394" s="61">
        <v>0</v>
      </c>
      <c r="T394" s="49"/>
      <c r="U394" s="45"/>
      <c r="V394" s="45"/>
      <c r="W394" s="45"/>
      <c r="X394" s="45"/>
      <c r="Y394" s="45">
        <v>0</v>
      </c>
      <c r="Z394" s="45">
        <v>0</v>
      </c>
      <c r="AA394" s="45"/>
      <c r="AB394" s="45"/>
      <c r="AC394" s="45"/>
      <c r="AD394" s="52"/>
      <c r="AE394" s="52">
        <v>0</v>
      </c>
      <c r="AF394" s="48">
        <v>0</v>
      </c>
      <c r="AG394" s="52">
        <v>0</v>
      </c>
      <c r="AH394" s="52">
        <v>0</v>
      </c>
      <c r="AI394" s="48"/>
      <c r="AJ394" s="48">
        <v>0</v>
      </c>
      <c r="AK394" s="52">
        <v>0</v>
      </c>
      <c r="AL394" s="52">
        <v>0</v>
      </c>
      <c r="AM394" s="48">
        <v>0</v>
      </c>
      <c r="AN394" s="52">
        <v>0</v>
      </c>
      <c r="AO394" s="52">
        <v>0</v>
      </c>
      <c r="AP394" s="48">
        <v>0</v>
      </c>
      <c r="AQ394" s="88">
        <v>0</v>
      </c>
      <c r="AR394" s="52">
        <v>0</v>
      </c>
      <c r="AS394" s="52"/>
      <c r="AT394" s="78"/>
      <c r="AU394" s="52">
        <v>0</v>
      </c>
      <c r="AV394" s="48"/>
      <c r="AW394" s="52"/>
      <c r="AX394" s="52">
        <v>0</v>
      </c>
      <c r="AY394" s="48"/>
      <c r="AZ394" s="52">
        <v>0</v>
      </c>
      <c r="BA394" s="52">
        <v>0</v>
      </c>
      <c r="BB394" s="48"/>
      <c r="BC394" s="45">
        <v>0</v>
      </c>
      <c r="BD394" s="45">
        <v>0</v>
      </c>
      <c r="BE394" s="45">
        <v>0</v>
      </c>
      <c r="BF394" s="45">
        <v>0</v>
      </c>
      <c r="BG394" s="45"/>
      <c r="BH394" s="46"/>
      <c r="BI394" s="45">
        <v>0</v>
      </c>
      <c r="BJ394" s="45">
        <v>0</v>
      </c>
      <c r="BK394" s="45"/>
      <c r="BL394" s="45"/>
      <c r="BM394" s="45">
        <v>0</v>
      </c>
      <c r="BN394" s="45"/>
      <c r="BO394" s="45"/>
      <c r="BP394" s="46"/>
      <c r="BQ394" s="48"/>
      <c r="BR394" s="52">
        <v>0</v>
      </c>
      <c r="BS394" s="52">
        <v>0</v>
      </c>
    </row>
    <row r="395" spans="2:71" ht="12" customHeight="1" x14ac:dyDescent="0.2">
      <c r="B395" s="56" t="s">
        <v>64</v>
      </c>
      <c r="C395" s="45"/>
      <c r="D395" s="45">
        <v>0</v>
      </c>
      <c r="E395" s="52">
        <v>0</v>
      </c>
      <c r="F395" s="52">
        <v>0</v>
      </c>
      <c r="G395" s="48"/>
      <c r="H395" s="45">
        <v>0</v>
      </c>
      <c r="I395" s="45">
        <v>0</v>
      </c>
      <c r="J395" s="45">
        <v>0</v>
      </c>
      <c r="K395" s="45"/>
      <c r="L395" s="45"/>
      <c r="M395" s="52">
        <v>0</v>
      </c>
      <c r="N395" s="52">
        <v>0</v>
      </c>
      <c r="O395" s="45">
        <v>0</v>
      </c>
      <c r="P395" s="45"/>
      <c r="Q395" s="52"/>
      <c r="R395" s="52">
        <v>0</v>
      </c>
      <c r="S395" s="61">
        <v>0</v>
      </c>
      <c r="T395" s="49"/>
      <c r="U395" s="45"/>
      <c r="V395" s="45"/>
      <c r="W395" s="45"/>
      <c r="X395" s="45"/>
      <c r="Y395" s="45">
        <v>0</v>
      </c>
      <c r="Z395" s="45">
        <v>0</v>
      </c>
      <c r="AA395" s="45"/>
      <c r="AB395" s="45"/>
      <c r="AC395" s="45"/>
      <c r="AD395" s="52"/>
      <c r="AE395" s="52">
        <v>0</v>
      </c>
      <c r="AF395" s="48">
        <v>0</v>
      </c>
      <c r="AG395" s="52">
        <v>0</v>
      </c>
      <c r="AH395" s="52">
        <v>0</v>
      </c>
      <c r="AI395" s="48"/>
      <c r="AJ395" s="48">
        <v>0</v>
      </c>
      <c r="AK395" s="52">
        <v>0</v>
      </c>
      <c r="AL395" s="52">
        <v>0</v>
      </c>
      <c r="AM395" s="48">
        <v>0</v>
      </c>
      <c r="AN395" s="52">
        <v>0</v>
      </c>
      <c r="AO395" s="52">
        <v>0</v>
      </c>
      <c r="AP395" s="48">
        <v>0</v>
      </c>
      <c r="AQ395" s="88">
        <v>0</v>
      </c>
      <c r="AR395" s="52">
        <v>0</v>
      </c>
      <c r="AS395" s="52"/>
      <c r="AT395" s="78"/>
      <c r="AU395" s="52">
        <v>0</v>
      </c>
      <c r="AV395" s="48"/>
      <c r="AW395" s="52"/>
      <c r="AX395" s="52">
        <v>0</v>
      </c>
      <c r="AY395" s="48"/>
      <c r="AZ395" s="52">
        <v>0</v>
      </c>
      <c r="BA395" s="52">
        <v>0</v>
      </c>
      <c r="BB395" s="48"/>
      <c r="BC395" s="45">
        <v>0</v>
      </c>
      <c r="BD395" s="45">
        <v>0</v>
      </c>
      <c r="BE395" s="45">
        <v>0</v>
      </c>
      <c r="BF395" s="45">
        <v>0</v>
      </c>
      <c r="BG395" s="45"/>
      <c r="BH395" s="46"/>
      <c r="BI395" s="45">
        <v>0</v>
      </c>
      <c r="BJ395" s="45">
        <v>0</v>
      </c>
      <c r="BK395" s="45"/>
      <c r="BL395" s="45"/>
      <c r="BM395" s="45">
        <v>0</v>
      </c>
      <c r="BN395" s="45"/>
      <c r="BO395" s="45"/>
      <c r="BP395" s="46"/>
      <c r="BQ395" s="48"/>
      <c r="BR395" s="52">
        <v>0</v>
      </c>
      <c r="BS395" s="52">
        <v>0</v>
      </c>
    </row>
    <row r="396" spans="2:71" ht="12" customHeight="1" x14ac:dyDescent="0.2">
      <c r="B396" s="56" t="s">
        <v>64</v>
      </c>
      <c r="C396" s="45"/>
      <c r="D396" s="45">
        <v>0</v>
      </c>
      <c r="E396" s="52">
        <v>0</v>
      </c>
      <c r="F396" s="52">
        <v>0</v>
      </c>
      <c r="G396" s="48"/>
      <c r="H396" s="45">
        <v>0</v>
      </c>
      <c r="I396" s="45">
        <v>0</v>
      </c>
      <c r="J396" s="45">
        <v>0</v>
      </c>
      <c r="K396" s="45"/>
      <c r="L396" s="45"/>
      <c r="M396" s="52">
        <v>0</v>
      </c>
      <c r="N396" s="52">
        <v>0</v>
      </c>
      <c r="O396" s="45">
        <v>0</v>
      </c>
      <c r="P396" s="45"/>
      <c r="Q396" s="52"/>
      <c r="R396" s="52">
        <v>0</v>
      </c>
      <c r="S396" s="61">
        <v>0</v>
      </c>
      <c r="T396" s="49"/>
      <c r="U396" s="45"/>
      <c r="V396" s="45"/>
      <c r="W396" s="45"/>
      <c r="X396" s="45"/>
      <c r="Y396" s="45">
        <v>0</v>
      </c>
      <c r="Z396" s="45">
        <v>0</v>
      </c>
      <c r="AA396" s="45"/>
      <c r="AB396" s="45"/>
      <c r="AC396" s="45"/>
      <c r="AD396" s="52"/>
      <c r="AE396" s="52">
        <v>0</v>
      </c>
      <c r="AF396" s="48">
        <v>0</v>
      </c>
      <c r="AG396" s="52">
        <v>0</v>
      </c>
      <c r="AH396" s="52">
        <v>0</v>
      </c>
      <c r="AI396" s="48"/>
      <c r="AJ396" s="48">
        <v>0</v>
      </c>
      <c r="AK396" s="52">
        <v>0</v>
      </c>
      <c r="AL396" s="52">
        <v>0</v>
      </c>
      <c r="AM396" s="48">
        <v>0</v>
      </c>
      <c r="AN396" s="52">
        <v>0</v>
      </c>
      <c r="AO396" s="52">
        <v>0</v>
      </c>
      <c r="AP396" s="48">
        <v>0</v>
      </c>
      <c r="AQ396" s="88">
        <v>0</v>
      </c>
      <c r="AR396" s="52">
        <v>0</v>
      </c>
      <c r="AS396" s="52"/>
      <c r="AT396" s="78"/>
      <c r="AU396" s="52">
        <v>0</v>
      </c>
      <c r="AV396" s="48"/>
      <c r="AW396" s="52"/>
      <c r="AX396" s="52">
        <v>0</v>
      </c>
      <c r="AY396" s="48"/>
      <c r="AZ396" s="52">
        <v>0</v>
      </c>
      <c r="BA396" s="52">
        <v>0</v>
      </c>
      <c r="BB396" s="48"/>
      <c r="BC396" s="45">
        <v>0</v>
      </c>
      <c r="BD396" s="45">
        <v>0</v>
      </c>
      <c r="BE396" s="45">
        <v>0</v>
      </c>
      <c r="BF396" s="45">
        <v>0</v>
      </c>
      <c r="BG396" s="45"/>
      <c r="BH396" s="46"/>
      <c r="BI396" s="45">
        <v>0</v>
      </c>
      <c r="BJ396" s="45">
        <v>0</v>
      </c>
      <c r="BK396" s="45"/>
      <c r="BL396" s="45"/>
      <c r="BM396" s="45">
        <v>0</v>
      </c>
      <c r="BN396" s="45"/>
      <c r="BO396" s="45"/>
      <c r="BP396" s="46"/>
      <c r="BQ396" s="48"/>
      <c r="BR396" s="52">
        <v>0</v>
      </c>
      <c r="BS396" s="52">
        <v>0</v>
      </c>
    </row>
    <row r="397" spans="2:71" ht="12" customHeight="1" x14ac:dyDescent="0.2">
      <c r="B397" s="56" t="s">
        <v>64</v>
      </c>
      <c r="C397" s="45"/>
      <c r="D397" s="45">
        <v>0</v>
      </c>
      <c r="E397" s="52">
        <v>0</v>
      </c>
      <c r="F397" s="52">
        <v>0</v>
      </c>
      <c r="G397" s="48"/>
      <c r="H397" s="45">
        <v>0</v>
      </c>
      <c r="I397" s="45">
        <v>0</v>
      </c>
      <c r="J397" s="45">
        <v>0</v>
      </c>
      <c r="K397" s="45"/>
      <c r="L397" s="45"/>
      <c r="M397" s="52">
        <v>0</v>
      </c>
      <c r="N397" s="52">
        <v>0</v>
      </c>
      <c r="O397" s="45">
        <v>0</v>
      </c>
      <c r="P397" s="45"/>
      <c r="Q397" s="52"/>
      <c r="R397" s="52">
        <v>0</v>
      </c>
      <c r="S397" s="61">
        <v>0</v>
      </c>
      <c r="T397" s="49"/>
      <c r="U397" s="45"/>
      <c r="V397" s="45"/>
      <c r="W397" s="45"/>
      <c r="X397" s="45"/>
      <c r="Y397" s="45">
        <v>0</v>
      </c>
      <c r="Z397" s="45">
        <v>0</v>
      </c>
      <c r="AA397" s="45"/>
      <c r="AB397" s="45"/>
      <c r="AC397" s="45"/>
      <c r="AD397" s="52"/>
      <c r="AE397" s="52">
        <v>0</v>
      </c>
      <c r="AF397" s="48">
        <v>0</v>
      </c>
      <c r="AG397" s="52">
        <v>0</v>
      </c>
      <c r="AH397" s="52">
        <v>0</v>
      </c>
      <c r="AI397" s="48"/>
      <c r="AJ397" s="48">
        <v>0</v>
      </c>
      <c r="AK397" s="52">
        <v>0</v>
      </c>
      <c r="AL397" s="52">
        <v>0</v>
      </c>
      <c r="AM397" s="48">
        <v>0</v>
      </c>
      <c r="AN397" s="52">
        <v>0</v>
      </c>
      <c r="AO397" s="52">
        <v>0</v>
      </c>
      <c r="AP397" s="48">
        <v>0</v>
      </c>
      <c r="AQ397" s="88">
        <v>0</v>
      </c>
      <c r="AR397" s="52">
        <v>0</v>
      </c>
      <c r="AS397" s="52"/>
      <c r="AT397" s="52"/>
      <c r="AU397" s="48">
        <v>0</v>
      </c>
      <c r="AV397" s="48"/>
      <c r="AW397" s="52"/>
      <c r="AX397" s="52">
        <v>0</v>
      </c>
      <c r="AY397" s="48"/>
      <c r="AZ397" s="52">
        <v>0</v>
      </c>
      <c r="BA397" s="52">
        <v>0</v>
      </c>
      <c r="BB397" s="48"/>
      <c r="BC397" s="45">
        <v>0</v>
      </c>
      <c r="BD397" s="45">
        <v>0</v>
      </c>
      <c r="BE397" s="45">
        <v>0</v>
      </c>
      <c r="BF397" s="45">
        <v>0</v>
      </c>
      <c r="BG397" s="45"/>
      <c r="BH397" s="46"/>
      <c r="BI397" s="45">
        <v>0</v>
      </c>
      <c r="BJ397" s="45">
        <v>0</v>
      </c>
      <c r="BK397" s="45"/>
      <c r="BL397" s="45"/>
      <c r="BM397" s="45">
        <v>0</v>
      </c>
      <c r="BN397" s="45"/>
      <c r="BO397" s="45"/>
      <c r="BP397" s="46"/>
      <c r="BQ397" s="48"/>
      <c r="BR397" s="52">
        <v>0</v>
      </c>
      <c r="BS397" s="52">
        <v>0</v>
      </c>
    </row>
    <row r="398" spans="2:71" ht="12" customHeight="1" x14ac:dyDescent="0.2">
      <c r="B398" s="56" t="s">
        <v>64</v>
      </c>
      <c r="C398" s="45"/>
      <c r="D398" s="45">
        <v>0</v>
      </c>
      <c r="E398" s="52">
        <v>0</v>
      </c>
      <c r="F398" s="52">
        <v>0</v>
      </c>
      <c r="G398" s="48"/>
      <c r="H398" s="45">
        <v>0</v>
      </c>
      <c r="I398" s="45">
        <v>0</v>
      </c>
      <c r="J398" s="45">
        <v>0</v>
      </c>
      <c r="K398" s="45"/>
      <c r="L398" s="45"/>
      <c r="M398" s="52">
        <v>0</v>
      </c>
      <c r="N398" s="52">
        <v>0</v>
      </c>
      <c r="O398" s="45">
        <v>0</v>
      </c>
      <c r="P398" s="45"/>
      <c r="Q398" s="52"/>
      <c r="R398" s="52">
        <v>0</v>
      </c>
      <c r="S398" s="61">
        <v>0</v>
      </c>
      <c r="T398" s="49"/>
      <c r="U398" s="45"/>
      <c r="V398" s="45"/>
      <c r="W398" s="45"/>
      <c r="X398" s="45"/>
      <c r="Y398" s="45">
        <v>0</v>
      </c>
      <c r="Z398" s="45">
        <v>0</v>
      </c>
      <c r="AA398" s="45"/>
      <c r="AB398" s="45"/>
      <c r="AC398" s="45"/>
      <c r="AD398" s="52"/>
      <c r="AE398" s="52">
        <v>0</v>
      </c>
      <c r="AF398" s="48">
        <v>0</v>
      </c>
      <c r="AG398" s="52">
        <v>0</v>
      </c>
      <c r="AH398" s="52">
        <v>0</v>
      </c>
      <c r="AI398" s="48"/>
      <c r="AJ398" s="48">
        <v>0</v>
      </c>
      <c r="AK398" s="52">
        <v>0</v>
      </c>
      <c r="AL398" s="52">
        <v>0</v>
      </c>
      <c r="AM398" s="48">
        <v>0</v>
      </c>
      <c r="AN398" s="52">
        <v>0</v>
      </c>
      <c r="AO398" s="52">
        <v>0</v>
      </c>
      <c r="AP398" s="48">
        <v>0</v>
      </c>
      <c r="AQ398" s="88">
        <v>0</v>
      </c>
      <c r="AR398" s="52">
        <v>0</v>
      </c>
      <c r="AS398" s="52"/>
      <c r="AT398" s="52"/>
      <c r="AU398" s="48">
        <v>0</v>
      </c>
      <c r="AV398" s="48"/>
      <c r="AW398" s="52"/>
      <c r="AX398" s="52">
        <v>0</v>
      </c>
      <c r="AY398" s="48"/>
      <c r="AZ398" s="52">
        <v>0</v>
      </c>
      <c r="BA398" s="52">
        <v>0</v>
      </c>
      <c r="BB398" s="48"/>
      <c r="BC398" s="45">
        <v>0</v>
      </c>
      <c r="BD398" s="45">
        <v>0</v>
      </c>
      <c r="BE398" s="45">
        <v>0</v>
      </c>
      <c r="BF398" s="45">
        <v>0</v>
      </c>
      <c r="BG398" s="45"/>
      <c r="BH398" s="46"/>
      <c r="BI398" s="45">
        <v>0</v>
      </c>
      <c r="BJ398" s="45">
        <v>0</v>
      </c>
      <c r="BK398" s="45"/>
      <c r="BL398" s="45"/>
      <c r="BM398" s="45">
        <v>0</v>
      </c>
      <c r="BN398" s="45"/>
      <c r="BO398" s="45"/>
      <c r="BP398" s="46"/>
      <c r="BQ398" s="48"/>
      <c r="BR398" s="52">
        <v>0</v>
      </c>
      <c r="BS398" s="52">
        <v>0</v>
      </c>
    </row>
    <row r="399" spans="2:71" ht="12" customHeight="1" x14ac:dyDescent="0.2">
      <c r="B399" s="56" t="s">
        <v>64</v>
      </c>
      <c r="C399" s="45"/>
      <c r="D399" s="45">
        <v>0</v>
      </c>
      <c r="E399" s="52">
        <v>0</v>
      </c>
      <c r="F399" s="52">
        <v>0</v>
      </c>
      <c r="G399" s="48"/>
      <c r="H399" s="45">
        <v>0</v>
      </c>
      <c r="I399" s="45">
        <v>0</v>
      </c>
      <c r="J399" s="45">
        <v>0</v>
      </c>
      <c r="K399" s="45"/>
      <c r="L399" s="45"/>
      <c r="M399" s="52">
        <v>0</v>
      </c>
      <c r="N399" s="52">
        <v>0</v>
      </c>
      <c r="O399" s="45">
        <v>0</v>
      </c>
      <c r="P399" s="45"/>
      <c r="Q399" s="52"/>
      <c r="R399" s="52">
        <v>0</v>
      </c>
      <c r="S399" s="61">
        <v>0</v>
      </c>
      <c r="T399" s="49"/>
      <c r="U399" s="45"/>
      <c r="V399" s="45"/>
      <c r="W399" s="45"/>
      <c r="X399" s="45"/>
      <c r="Y399" s="45">
        <v>0</v>
      </c>
      <c r="Z399" s="45">
        <v>0</v>
      </c>
      <c r="AA399" s="45"/>
      <c r="AB399" s="45"/>
      <c r="AC399" s="45"/>
      <c r="AD399" s="52"/>
      <c r="AE399" s="52">
        <v>0</v>
      </c>
      <c r="AF399" s="48">
        <v>0</v>
      </c>
      <c r="AG399" s="52">
        <v>0</v>
      </c>
      <c r="AH399" s="52">
        <v>0</v>
      </c>
      <c r="AI399" s="48"/>
      <c r="AJ399" s="48">
        <v>0</v>
      </c>
      <c r="AK399" s="52">
        <v>0</v>
      </c>
      <c r="AL399" s="52">
        <v>0</v>
      </c>
      <c r="AM399" s="48">
        <v>0</v>
      </c>
      <c r="AN399" s="52">
        <v>0</v>
      </c>
      <c r="AO399" s="52">
        <v>0</v>
      </c>
      <c r="AP399" s="48">
        <v>0</v>
      </c>
      <c r="AQ399" s="88">
        <v>0</v>
      </c>
      <c r="AR399" s="52">
        <v>0</v>
      </c>
      <c r="AS399" s="52"/>
      <c r="AT399" s="52"/>
      <c r="AU399" s="48">
        <v>0</v>
      </c>
      <c r="AV399" s="48"/>
      <c r="AW399" s="52"/>
      <c r="AX399" s="52">
        <v>0</v>
      </c>
      <c r="AY399" s="48"/>
      <c r="AZ399" s="52">
        <v>0</v>
      </c>
      <c r="BA399" s="52">
        <v>0</v>
      </c>
      <c r="BB399" s="48"/>
      <c r="BC399" s="45">
        <v>0</v>
      </c>
      <c r="BD399" s="45">
        <v>0</v>
      </c>
      <c r="BE399" s="45">
        <v>0</v>
      </c>
      <c r="BF399" s="45">
        <v>0</v>
      </c>
      <c r="BG399" s="45"/>
      <c r="BH399" s="46"/>
      <c r="BI399" s="45">
        <v>0</v>
      </c>
      <c r="BJ399" s="45">
        <v>0</v>
      </c>
      <c r="BK399" s="45"/>
      <c r="BL399" s="45"/>
      <c r="BM399" s="45">
        <v>0</v>
      </c>
      <c r="BN399" s="45"/>
      <c r="BO399" s="45"/>
      <c r="BP399" s="46"/>
      <c r="BQ399" s="48"/>
      <c r="BR399" s="52">
        <v>0</v>
      </c>
      <c r="BS399" s="52">
        <v>0</v>
      </c>
    </row>
    <row r="400" spans="2:71" ht="12" customHeight="1" x14ac:dyDescent="0.2">
      <c r="B400" s="56" t="s">
        <v>64</v>
      </c>
      <c r="C400" s="45"/>
      <c r="D400" s="45">
        <v>0</v>
      </c>
      <c r="E400" s="52">
        <v>0</v>
      </c>
      <c r="F400" s="52">
        <v>0</v>
      </c>
      <c r="G400" s="48"/>
      <c r="H400" s="45">
        <v>0</v>
      </c>
      <c r="I400" s="45">
        <v>0</v>
      </c>
      <c r="J400" s="45">
        <v>0</v>
      </c>
      <c r="K400" s="45"/>
      <c r="L400" s="45"/>
      <c r="M400" s="52">
        <v>0</v>
      </c>
      <c r="N400" s="52">
        <v>0</v>
      </c>
      <c r="O400" s="45">
        <v>0</v>
      </c>
      <c r="P400" s="45"/>
      <c r="Q400" s="52"/>
      <c r="R400" s="52">
        <v>0</v>
      </c>
      <c r="S400" s="61">
        <v>0</v>
      </c>
      <c r="T400" s="49"/>
      <c r="U400" s="45"/>
      <c r="V400" s="45"/>
      <c r="W400" s="45"/>
      <c r="X400" s="45"/>
      <c r="Y400" s="45">
        <v>0</v>
      </c>
      <c r="Z400" s="45">
        <v>0</v>
      </c>
      <c r="AA400" s="45"/>
      <c r="AB400" s="45"/>
      <c r="AC400" s="45"/>
      <c r="AD400" s="52"/>
      <c r="AE400" s="52">
        <v>0</v>
      </c>
      <c r="AF400" s="48">
        <v>0</v>
      </c>
      <c r="AG400" s="52">
        <v>0</v>
      </c>
      <c r="AH400" s="52">
        <v>0</v>
      </c>
      <c r="AI400" s="48"/>
      <c r="AJ400" s="48">
        <v>0</v>
      </c>
      <c r="AK400" s="52">
        <v>0</v>
      </c>
      <c r="AL400" s="52">
        <v>0</v>
      </c>
      <c r="AM400" s="48">
        <v>0</v>
      </c>
      <c r="AN400" s="52">
        <v>0</v>
      </c>
      <c r="AO400" s="52">
        <v>0</v>
      </c>
      <c r="AP400" s="48">
        <v>0</v>
      </c>
      <c r="AQ400" s="88">
        <v>0</v>
      </c>
      <c r="AR400" s="52">
        <v>0</v>
      </c>
      <c r="AS400" s="52"/>
      <c r="AT400" s="52"/>
      <c r="AU400" s="48">
        <v>0</v>
      </c>
      <c r="AV400" s="48"/>
      <c r="AW400" s="52"/>
      <c r="AX400" s="52">
        <v>0</v>
      </c>
      <c r="AY400" s="48"/>
      <c r="AZ400" s="52">
        <v>0</v>
      </c>
      <c r="BA400" s="52">
        <v>0</v>
      </c>
      <c r="BB400" s="48"/>
      <c r="BC400" s="45">
        <v>0</v>
      </c>
      <c r="BD400" s="45">
        <v>0</v>
      </c>
      <c r="BE400" s="45">
        <v>0</v>
      </c>
      <c r="BF400" s="45">
        <v>0</v>
      </c>
      <c r="BG400" s="45"/>
      <c r="BH400" s="46"/>
      <c r="BI400" s="45">
        <v>0</v>
      </c>
      <c r="BJ400" s="45">
        <v>0</v>
      </c>
      <c r="BK400" s="45"/>
      <c r="BL400" s="45"/>
      <c r="BM400" s="45">
        <v>0</v>
      </c>
      <c r="BN400" s="45"/>
      <c r="BO400" s="45"/>
      <c r="BP400" s="46"/>
      <c r="BQ400" s="48"/>
      <c r="BR400" s="52">
        <v>0</v>
      </c>
      <c r="BS400" s="52">
        <v>0</v>
      </c>
    </row>
    <row r="401" spans="2:71" ht="12" customHeight="1" x14ac:dyDescent="0.2">
      <c r="B401" s="56" t="s">
        <v>64</v>
      </c>
      <c r="C401" s="45"/>
      <c r="D401" s="45">
        <v>0</v>
      </c>
      <c r="E401" s="52">
        <v>0</v>
      </c>
      <c r="F401" s="52">
        <v>0</v>
      </c>
      <c r="G401" s="48"/>
      <c r="H401" s="45">
        <v>0</v>
      </c>
      <c r="I401" s="45">
        <v>0</v>
      </c>
      <c r="J401" s="45">
        <v>0</v>
      </c>
      <c r="K401" s="45"/>
      <c r="L401" s="45"/>
      <c r="M401" s="52">
        <v>0</v>
      </c>
      <c r="N401" s="52">
        <v>0</v>
      </c>
      <c r="O401" s="45">
        <v>0</v>
      </c>
      <c r="P401" s="45"/>
      <c r="Q401" s="52"/>
      <c r="R401" s="52">
        <v>0</v>
      </c>
      <c r="S401" s="61">
        <v>0</v>
      </c>
      <c r="T401" s="49"/>
      <c r="U401" s="45"/>
      <c r="V401" s="45"/>
      <c r="W401" s="45"/>
      <c r="X401" s="45"/>
      <c r="Y401" s="45">
        <v>0</v>
      </c>
      <c r="Z401" s="45">
        <v>0</v>
      </c>
      <c r="AA401" s="45"/>
      <c r="AB401" s="45"/>
      <c r="AC401" s="45"/>
      <c r="AD401" s="52"/>
      <c r="AE401" s="52">
        <v>0</v>
      </c>
      <c r="AF401" s="48">
        <v>0</v>
      </c>
      <c r="AG401" s="52">
        <v>0</v>
      </c>
      <c r="AH401" s="52">
        <v>0</v>
      </c>
      <c r="AI401" s="48"/>
      <c r="AJ401" s="48">
        <v>0</v>
      </c>
      <c r="AK401" s="52">
        <v>0</v>
      </c>
      <c r="AL401" s="52">
        <v>0</v>
      </c>
      <c r="AM401" s="48">
        <v>0</v>
      </c>
      <c r="AN401" s="52">
        <v>0</v>
      </c>
      <c r="AO401" s="52">
        <v>0</v>
      </c>
      <c r="AP401" s="48">
        <v>0</v>
      </c>
      <c r="AQ401" s="88">
        <v>0</v>
      </c>
      <c r="AR401" s="52">
        <v>0</v>
      </c>
      <c r="AS401" s="52"/>
      <c r="AT401" s="52"/>
      <c r="AU401" s="48">
        <v>0</v>
      </c>
      <c r="AV401" s="48"/>
      <c r="AW401" s="52"/>
      <c r="AX401" s="52">
        <v>0</v>
      </c>
      <c r="AY401" s="48"/>
      <c r="AZ401" s="52">
        <v>0</v>
      </c>
      <c r="BA401" s="52">
        <v>0</v>
      </c>
      <c r="BB401" s="48"/>
      <c r="BC401" s="45">
        <v>0</v>
      </c>
      <c r="BD401" s="45">
        <v>0</v>
      </c>
      <c r="BE401" s="45">
        <v>0</v>
      </c>
      <c r="BF401" s="45">
        <v>0</v>
      </c>
      <c r="BG401" s="45"/>
      <c r="BH401" s="46"/>
      <c r="BI401" s="45">
        <v>0</v>
      </c>
      <c r="BJ401" s="45">
        <v>0</v>
      </c>
      <c r="BK401" s="45"/>
      <c r="BL401" s="45"/>
      <c r="BM401" s="45">
        <v>0</v>
      </c>
      <c r="BN401" s="45"/>
      <c r="BO401" s="45"/>
      <c r="BP401" s="46"/>
      <c r="BQ401" s="48"/>
      <c r="BR401" s="52">
        <v>0</v>
      </c>
      <c r="BS401" s="52">
        <v>0</v>
      </c>
    </row>
    <row r="402" spans="2:71" ht="12" customHeight="1" x14ac:dyDescent="0.2">
      <c r="B402" s="56" t="s">
        <v>64</v>
      </c>
      <c r="C402" s="45"/>
      <c r="D402" s="45">
        <v>0</v>
      </c>
      <c r="E402" s="52">
        <v>0</v>
      </c>
      <c r="F402" s="52">
        <v>0</v>
      </c>
      <c r="G402" s="48"/>
      <c r="H402" s="45">
        <v>0</v>
      </c>
      <c r="I402" s="45">
        <v>0</v>
      </c>
      <c r="J402" s="45">
        <v>0</v>
      </c>
      <c r="K402" s="45"/>
      <c r="L402" s="45"/>
      <c r="M402" s="52">
        <v>0</v>
      </c>
      <c r="N402" s="52">
        <v>0</v>
      </c>
      <c r="O402" s="45">
        <v>0</v>
      </c>
      <c r="P402" s="45"/>
      <c r="Q402" s="52"/>
      <c r="R402" s="52">
        <v>0</v>
      </c>
      <c r="S402" s="61">
        <v>0</v>
      </c>
      <c r="T402" s="49"/>
      <c r="U402" s="45"/>
      <c r="V402" s="45"/>
      <c r="W402" s="45"/>
      <c r="X402" s="45"/>
      <c r="Y402" s="45">
        <v>0</v>
      </c>
      <c r="Z402" s="45">
        <v>0</v>
      </c>
      <c r="AA402" s="45"/>
      <c r="AB402" s="45"/>
      <c r="AC402" s="45"/>
      <c r="AD402" s="52"/>
      <c r="AE402" s="52">
        <v>0</v>
      </c>
      <c r="AF402" s="48">
        <v>0</v>
      </c>
      <c r="AG402" s="52">
        <v>0</v>
      </c>
      <c r="AH402" s="52">
        <v>0</v>
      </c>
      <c r="AI402" s="48"/>
      <c r="AJ402" s="48">
        <v>0</v>
      </c>
      <c r="AK402" s="52">
        <v>0</v>
      </c>
      <c r="AL402" s="52">
        <v>0</v>
      </c>
      <c r="AM402" s="48">
        <v>0</v>
      </c>
      <c r="AN402" s="52">
        <v>0</v>
      </c>
      <c r="AO402" s="52">
        <v>0</v>
      </c>
      <c r="AP402" s="48">
        <v>0</v>
      </c>
      <c r="AQ402" s="88">
        <v>0</v>
      </c>
      <c r="AR402" s="52">
        <v>0</v>
      </c>
      <c r="AS402" s="52"/>
      <c r="AT402" s="52"/>
      <c r="AU402" s="48">
        <v>0</v>
      </c>
      <c r="AV402" s="48"/>
      <c r="AW402" s="52"/>
      <c r="AX402" s="52">
        <v>0</v>
      </c>
      <c r="AY402" s="48"/>
      <c r="AZ402" s="52">
        <v>0</v>
      </c>
      <c r="BA402" s="52">
        <v>0</v>
      </c>
      <c r="BB402" s="48"/>
      <c r="BC402" s="45">
        <v>0</v>
      </c>
      <c r="BD402" s="45">
        <v>0</v>
      </c>
      <c r="BE402" s="45">
        <v>0</v>
      </c>
      <c r="BF402" s="45">
        <v>0</v>
      </c>
      <c r="BG402" s="45"/>
      <c r="BH402" s="46"/>
      <c r="BI402" s="45">
        <v>0</v>
      </c>
      <c r="BJ402" s="45">
        <v>0</v>
      </c>
      <c r="BK402" s="45"/>
      <c r="BL402" s="45"/>
      <c r="BM402" s="45">
        <v>0</v>
      </c>
      <c r="BN402" s="45"/>
      <c r="BO402" s="45"/>
      <c r="BP402" s="46"/>
      <c r="BQ402" s="48"/>
      <c r="BR402" s="52">
        <v>0</v>
      </c>
      <c r="BS402" s="52">
        <v>0</v>
      </c>
    </row>
    <row r="403" spans="2:71" ht="12" customHeight="1" x14ac:dyDescent="0.2">
      <c r="B403" s="56" t="s">
        <v>64</v>
      </c>
      <c r="C403" s="45"/>
      <c r="D403" s="45">
        <v>0</v>
      </c>
      <c r="E403" s="52">
        <v>0</v>
      </c>
      <c r="F403" s="52">
        <v>0</v>
      </c>
      <c r="G403" s="48"/>
      <c r="H403" s="45">
        <v>0</v>
      </c>
      <c r="I403" s="45">
        <v>0</v>
      </c>
      <c r="J403" s="45">
        <v>0</v>
      </c>
      <c r="K403" s="45"/>
      <c r="L403" s="45"/>
      <c r="M403" s="52">
        <v>0</v>
      </c>
      <c r="N403" s="52">
        <v>0</v>
      </c>
      <c r="O403" s="45">
        <v>0</v>
      </c>
      <c r="P403" s="45"/>
      <c r="Q403" s="52"/>
      <c r="R403" s="52">
        <v>0</v>
      </c>
      <c r="S403" s="61">
        <v>0</v>
      </c>
      <c r="T403" s="49"/>
      <c r="U403" s="45"/>
      <c r="V403" s="45"/>
      <c r="W403" s="45"/>
      <c r="X403" s="45"/>
      <c r="Y403" s="45">
        <v>0</v>
      </c>
      <c r="Z403" s="45">
        <v>0</v>
      </c>
      <c r="AA403" s="45"/>
      <c r="AB403" s="45"/>
      <c r="AC403" s="45"/>
      <c r="AD403" s="52"/>
      <c r="AE403" s="52">
        <v>0</v>
      </c>
      <c r="AF403" s="48">
        <v>0</v>
      </c>
      <c r="AG403" s="52">
        <v>0</v>
      </c>
      <c r="AH403" s="52">
        <v>0</v>
      </c>
      <c r="AI403" s="48"/>
      <c r="AJ403" s="48">
        <v>0</v>
      </c>
      <c r="AK403" s="52">
        <v>0</v>
      </c>
      <c r="AL403" s="52">
        <v>0</v>
      </c>
      <c r="AM403" s="48">
        <v>0</v>
      </c>
      <c r="AN403" s="52">
        <v>0</v>
      </c>
      <c r="AO403" s="52">
        <v>0</v>
      </c>
      <c r="AP403" s="48">
        <v>0</v>
      </c>
      <c r="AQ403" s="88">
        <v>0</v>
      </c>
      <c r="AR403" s="52">
        <v>0</v>
      </c>
      <c r="AS403" s="52"/>
      <c r="AT403" s="52"/>
      <c r="AU403" s="48">
        <v>0</v>
      </c>
      <c r="AV403" s="48"/>
      <c r="AW403" s="52"/>
      <c r="AX403" s="52">
        <v>0</v>
      </c>
      <c r="AY403" s="48"/>
      <c r="AZ403" s="52">
        <v>0</v>
      </c>
      <c r="BA403" s="52">
        <v>0</v>
      </c>
      <c r="BB403" s="48"/>
      <c r="BC403" s="45">
        <v>0</v>
      </c>
      <c r="BD403" s="45">
        <v>0</v>
      </c>
      <c r="BE403" s="45">
        <v>0</v>
      </c>
      <c r="BF403" s="45">
        <v>0</v>
      </c>
      <c r="BG403" s="45"/>
      <c r="BH403" s="46"/>
      <c r="BI403" s="45">
        <v>0</v>
      </c>
      <c r="BJ403" s="45">
        <v>0</v>
      </c>
      <c r="BK403" s="45"/>
      <c r="BL403" s="45"/>
      <c r="BM403" s="45">
        <v>0</v>
      </c>
      <c r="BN403" s="45"/>
      <c r="BO403" s="45"/>
      <c r="BP403" s="46"/>
      <c r="BQ403" s="48"/>
      <c r="BR403" s="52">
        <v>0</v>
      </c>
      <c r="BS403" s="52">
        <v>0</v>
      </c>
    </row>
    <row r="404" spans="2:71" ht="12" customHeight="1" x14ac:dyDescent="0.2">
      <c r="B404" s="56" t="s">
        <v>64</v>
      </c>
      <c r="C404" s="45"/>
      <c r="D404" s="45">
        <v>0</v>
      </c>
      <c r="E404" s="52">
        <v>0</v>
      </c>
      <c r="F404" s="52">
        <v>0</v>
      </c>
      <c r="G404" s="48"/>
      <c r="H404" s="45">
        <v>0</v>
      </c>
      <c r="I404" s="45">
        <v>0</v>
      </c>
      <c r="J404" s="45">
        <v>0</v>
      </c>
      <c r="K404" s="45"/>
      <c r="L404" s="45"/>
      <c r="M404" s="52">
        <v>0</v>
      </c>
      <c r="N404" s="52">
        <v>0</v>
      </c>
      <c r="O404" s="45">
        <v>0</v>
      </c>
      <c r="P404" s="45"/>
      <c r="Q404" s="52"/>
      <c r="R404" s="52">
        <v>0</v>
      </c>
      <c r="S404" s="61">
        <v>0</v>
      </c>
      <c r="T404" s="49"/>
      <c r="U404" s="45"/>
      <c r="V404" s="45"/>
      <c r="W404" s="45"/>
      <c r="X404" s="45"/>
      <c r="Y404" s="45">
        <v>0</v>
      </c>
      <c r="Z404" s="45">
        <v>0</v>
      </c>
      <c r="AA404" s="45"/>
      <c r="AB404" s="45"/>
      <c r="AC404" s="45"/>
      <c r="AD404" s="52"/>
      <c r="AE404" s="52">
        <v>0</v>
      </c>
      <c r="AF404" s="48">
        <v>0</v>
      </c>
      <c r="AG404" s="52">
        <v>0</v>
      </c>
      <c r="AH404" s="52">
        <v>0</v>
      </c>
      <c r="AI404" s="48"/>
      <c r="AJ404" s="48">
        <v>0</v>
      </c>
      <c r="AK404" s="52">
        <v>0</v>
      </c>
      <c r="AL404" s="52">
        <v>0</v>
      </c>
      <c r="AM404" s="48">
        <v>0</v>
      </c>
      <c r="AN404" s="52">
        <v>0</v>
      </c>
      <c r="AO404" s="52">
        <v>0</v>
      </c>
      <c r="AP404" s="48">
        <v>0</v>
      </c>
      <c r="AQ404" s="88">
        <v>0</v>
      </c>
      <c r="AR404" s="52">
        <v>0</v>
      </c>
      <c r="AS404" s="52"/>
      <c r="AT404" s="52"/>
      <c r="AU404" s="48">
        <v>0</v>
      </c>
      <c r="AV404" s="48"/>
      <c r="AW404" s="52"/>
      <c r="AX404" s="52">
        <v>0</v>
      </c>
      <c r="AY404" s="48"/>
      <c r="AZ404" s="52">
        <v>0</v>
      </c>
      <c r="BA404" s="52">
        <v>0</v>
      </c>
      <c r="BB404" s="48"/>
      <c r="BC404" s="45">
        <v>0</v>
      </c>
      <c r="BD404" s="45">
        <v>0</v>
      </c>
      <c r="BE404" s="45">
        <v>0</v>
      </c>
      <c r="BF404" s="45">
        <v>0</v>
      </c>
      <c r="BG404" s="45"/>
      <c r="BH404" s="46"/>
      <c r="BI404" s="45">
        <v>0</v>
      </c>
      <c r="BJ404" s="45">
        <v>0</v>
      </c>
      <c r="BK404" s="45"/>
      <c r="BL404" s="45"/>
      <c r="BM404" s="45">
        <v>0</v>
      </c>
      <c r="BN404" s="45"/>
      <c r="BO404" s="45"/>
      <c r="BP404" s="46"/>
      <c r="BQ404" s="48"/>
      <c r="BR404" s="52">
        <v>0</v>
      </c>
      <c r="BS404" s="52">
        <v>0</v>
      </c>
    </row>
    <row r="405" spans="2:71" ht="12" customHeight="1" x14ac:dyDescent="0.2">
      <c r="B405" s="56" t="s">
        <v>64</v>
      </c>
      <c r="C405" s="45"/>
      <c r="D405" s="45">
        <v>0</v>
      </c>
      <c r="E405" s="52">
        <v>0</v>
      </c>
      <c r="F405" s="52">
        <v>0</v>
      </c>
      <c r="G405" s="48"/>
      <c r="H405" s="45">
        <v>0</v>
      </c>
      <c r="I405" s="45">
        <v>0</v>
      </c>
      <c r="J405" s="45">
        <v>0</v>
      </c>
      <c r="K405" s="45"/>
      <c r="L405" s="45"/>
      <c r="M405" s="52">
        <v>0</v>
      </c>
      <c r="N405" s="52">
        <v>0</v>
      </c>
      <c r="O405" s="45">
        <v>0</v>
      </c>
      <c r="P405" s="45"/>
      <c r="Q405" s="52"/>
      <c r="R405" s="52">
        <v>0</v>
      </c>
      <c r="S405" s="61">
        <v>0</v>
      </c>
      <c r="T405" s="49"/>
      <c r="U405" s="45"/>
      <c r="V405" s="45"/>
      <c r="W405" s="45"/>
      <c r="X405" s="45"/>
      <c r="Y405" s="45">
        <v>0</v>
      </c>
      <c r="Z405" s="45">
        <v>0</v>
      </c>
      <c r="AA405" s="45"/>
      <c r="AB405" s="45"/>
      <c r="AC405" s="45"/>
      <c r="AD405" s="52"/>
      <c r="AE405" s="52">
        <v>0</v>
      </c>
      <c r="AF405" s="48">
        <v>0</v>
      </c>
      <c r="AG405" s="52">
        <v>0</v>
      </c>
      <c r="AH405" s="52">
        <v>0</v>
      </c>
      <c r="AI405" s="48"/>
      <c r="AJ405" s="48">
        <v>0</v>
      </c>
      <c r="AK405" s="52">
        <v>0</v>
      </c>
      <c r="AL405" s="52">
        <v>0</v>
      </c>
      <c r="AM405" s="48">
        <v>0</v>
      </c>
      <c r="AN405" s="52">
        <v>0</v>
      </c>
      <c r="AO405" s="52">
        <v>0</v>
      </c>
      <c r="AP405" s="48">
        <v>0</v>
      </c>
      <c r="AQ405" s="88">
        <v>0</v>
      </c>
      <c r="AR405" s="52">
        <v>0</v>
      </c>
      <c r="AS405" s="52"/>
      <c r="AT405" s="52"/>
      <c r="AU405" s="48">
        <v>0</v>
      </c>
      <c r="AV405" s="48"/>
      <c r="AW405" s="52"/>
      <c r="AX405" s="52">
        <v>0</v>
      </c>
      <c r="AY405" s="48"/>
      <c r="AZ405" s="52">
        <v>0</v>
      </c>
      <c r="BA405" s="52">
        <v>0</v>
      </c>
      <c r="BB405" s="48"/>
      <c r="BC405" s="45">
        <v>0</v>
      </c>
      <c r="BD405" s="45">
        <v>0</v>
      </c>
      <c r="BE405" s="45">
        <v>0</v>
      </c>
      <c r="BF405" s="45">
        <v>0</v>
      </c>
      <c r="BG405" s="45"/>
      <c r="BH405" s="46"/>
      <c r="BI405" s="45">
        <v>0</v>
      </c>
      <c r="BJ405" s="45">
        <v>0</v>
      </c>
      <c r="BK405" s="45"/>
      <c r="BL405" s="45"/>
      <c r="BM405" s="45">
        <v>0</v>
      </c>
      <c r="BN405" s="45"/>
      <c r="BO405" s="45"/>
      <c r="BP405" s="46"/>
      <c r="BQ405" s="48"/>
      <c r="BR405" s="52">
        <v>0</v>
      </c>
      <c r="BS405" s="52">
        <v>0</v>
      </c>
    </row>
    <row r="406" spans="2:71" ht="12" customHeight="1" x14ac:dyDescent="0.2">
      <c r="B406" s="56" t="s">
        <v>64</v>
      </c>
      <c r="C406" s="45"/>
      <c r="D406" s="45">
        <v>0</v>
      </c>
      <c r="E406" s="52">
        <v>0</v>
      </c>
      <c r="F406" s="52">
        <v>0</v>
      </c>
      <c r="G406" s="48"/>
      <c r="H406" s="45">
        <v>0</v>
      </c>
      <c r="I406" s="45">
        <v>0</v>
      </c>
      <c r="J406" s="45">
        <v>0</v>
      </c>
      <c r="K406" s="45"/>
      <c r="L406" s="45"/>
      <c r="M406" s="52">
        <v>0</v>
      </c>
      <c r="N406" s="52">
        <v>0</v>
      </c>
      <c r="O406" s="45">
        <v>0</v>
      </c>
      <c r="P406" s="45"/>
      <c r="Q406" s="52"/>
      <c r="R406" s="52">
        <v>0</v>
      </c>
      <c r="S406" s="61">
        <v>0</v>
      </c>
      <c r="T406" s="49"/>
      <c r="U406" s="45"/>
      <c r="V406" s="45"/>
      <c r="W406" s="45"/>
      <c r="X406" s="45"/>
      <c r="Y406" s="45">
        <v>0</v>
      </c>
      <c r="Z406" s="45">
        <v>0</v>
      </c>
      <c r="AA406" s="45"/>
      <c r="AB406" s="45"/>
      <c r="AC406" s="45"/>
      <c r="AD406" s="52"/>
      <c r="AE406" s="52">
        <v>0</v>
      </c>
      <c r="AF406" s="48">
        <v>0</v>
      </c>
      <c r="AG406" s="52">
        <v>0</v>
      </c>
      <c r="AH406" s="52">
        <v>0</v>
      </c>
      <c r="AI406" s="48"/>
      <c r="AJ406" s="48">
        <v>0</v>
      </c>
      <c r="AK406" s="52">
        <v>0</v>
      </c>
      <c r="AL406" s="52">
        <v>0</v>
      </c>
      <c r="AM406" s="48">
        <v>0</v>
      </c>
      <c r="AN406" s="52">
        <v>0</v>
      </c>
      <c r="AO406" s="52">
        <v>0</v>
      </c>
      <c r="AP406" s="48">
        <v>0</v>
      </c>
      <c r="AQ406" s="88">
        <v>0</v>
      </c>
      <c r="AR406" s="52">
        <v>0</v>
      </c>
      <c r="AS406" s="52"/>
      <c r="AT406" s="52"/>
      <c r="AU406" s="48">
        <v>0</v>
      </c>
      <c r="AV406" s="48"/>
      <c r="AW406" s="52"/>
      <c r="AX406" s="52">
        <v>0</v>
      </c>
      <c r="AY406" s="48"/>
      <c r="AZ406" s="52">
        <v>0</v>
      </c>
      <c r="BA406" s="52">
        <v>0</v>
      </c>
      <c r="BB406" s="48"/>
      <c r="BC406" s="45">
        <v>0</v>
      </c>
      <c r="BD406" s="45">
        <v>0</v>
      </c>
      <c r="BE406" s="45">
        <v>0</v>
      </c>
      <c r="BF406" s="45">
        <v>0</v>
      </c>
      <c r="BG406" s="45"/>
      <c r="BH406" s="46"/>
      <c r="BI406" s="45">
        <v>0</v>
      </c>
      <c r="BJ406" s="45">
        <v>0</v>
      </c>
      <c r="BK406" s="45"/>
      <c r="BL406" s="45"/>
      <c r="BM406" s="45">
        <v>0</v>
      </c>
      <c r="BN406" s="45"/>
      <c r="BO406" s="45"/>
      <c r="BP406" s="46"/>
      <c r="BQ406" s="48"/>
      <c r="BR406" s="52">
        <v>0</v>
      </c>
      <c r="BS406" s="52">
        <v>0</v>
      </c>
    </row>
    <row r="407" spans="2:71" ht="12" customHeight="1" x14ac:dyDescent="0.2">
      <c r="B407" s="56" t="s">
        <v>64</v>
      </c>
      <c r="C407" s="45"/>
      <c r="D407" s="45">
        <v>0</v>
      </c>
      <c r="E407" s="52">
        <v>0</v>
      </c>
      <c r="F407" s="52">
        <v>0</v>
      </c>
      <c r="G407" s="48"/>
      <c r="H407" s="45">
        <v>0</v>
      </c>
      <c r="I407" s="45">
        <v>0</v>
      </c>
      <c r="J407" s="45">
        <v>0</v>
      </c>
      <c r="K407" s="45"/>
      <c r="L407" s="45"/>
      <c r="M407" s="52">
        <v>0</v>
      </c>
      <c r="N407" s="52">
        <v>0</v>
      </c>
      <c r="O407" s="45">
        <v>0</v>
      </c>
      <c r="P407" s="45"/>
      <c r="Q407" s="52"/>
      <c r="R407" s="52">
        <v>0</v>
      </c>
      <c r="S407" s="61">
        <v>0</v>
      </c>
      <c r="T407" s="49"/>
      <c r="U407" s="45"/>
      <c r="V407" s="45"/>
      <c r="W407" s="45"/>
      <c r="X407" s="45"/>
      <c r="Y407" s="45">
        <v>0</v>
      </c>
      <c r="Z407" s="45">
        <v>0</v>
      </c>
      <c r="AA407" s="45"/>
      <c r="AB407" s="45"/>
      <c r="AC407" s="45"/>
      <c r="AD407" s="52"/>
      <c r="AE407" s="52">
        <v>0</v>
      </c>
      <c r="AF407" s="48">
        <v>0</v>
      </c>
      <c r="AG407" s="52">
        <v>0</v>
      </c>
      <c r="AH407" s="52">
        <v>0</v>
      </c>
      <c r="AI407" s="48"/>
      <c r="AJ407" s="48">
        <v>0</v>
      </c>
      <c r="AK407" s="52">
        <v>0</v>
      </c>
      <c r="AL407" s="52">
        <v>0</v>
      </c>
      <c r="AM407" s="48">
        <v>0</v>
      </c>
      <c r="AN407" s="52">
        <v>0</v>
      </c>
      <c r="AO407" s="52">
        <v>0</v>
      </c>
      <c r="AP407" s="48">
        <v>0</v>
      </c>
      <c r="AQ407" s="88">
        <v>0</v>
      </c>
      <c r="AR407" s="52">
        <v>0</v>
      </c>
      <c r="AS407" s="52"/>
      <c r="AT407" s="52"/>
      <c r="AU407" s="48">
        <v>0</v>
      </c>
      <c r="AV407" s="48"/>
      <c r="AW407" s="52"/>
      <c r="AX407" s="52">
        <v>0</v>
      </c>
      <c r="AY407" s="48"/>
      <c r="AZ407" s="52">
        <v>0</v>
      </c>
      <c r="BA407" s="52">
        <v>0</v>
      </c>
      <c r="BB407" s="48"/>
      <c r="BC407" s="45">
        <v>0</v>
      </c>
      <c r="BD407" s="45">
        <v>0</v>
      </c>
      <c r="BE407" s="45">
        <v>0</v>
      </c>
      <c r="BF407" s="45">
        <v>0</v>
      </c>
      <c r="BG407" s="45"/>
      <c r="BH407" s="46"/>
      <c r="BI407" s="45">
        <v>0</v>
      </c>
      <c r="BJ407" s="45">
        <v>0</v>
      </c>
      <c r="BK407" s="45"/>
      <c r="BL407" s="45"/>
      <c r="BM407" s="45">
        <v>0</v>
      </c>
      <c r="BN407" s="45"/>
      <c r="BO407" s="45"/>
      <c r="BP407" s="46"/>
      <c r="BQ407" s="48"/>
      <c r="BR407" s="52">
        <v>0</v>
      </c>
      <c r="BS407" s="52">
        <v>0</v>
      </c>
    </row>
    <row r="408" spans="2:71" ht="12" customHeight="1" x14ac:dyDescent="0.2">
      <c r="B408" s="56" t="s">
        <v>64</v>
      </c>
      <c r="C408" s="45"/>
      <c r="D408" s="45">
        <v>0</v>
      </c>
      <c r="E408" s="52">
        <v>0</v>
      </c>
      <c r="F408" s="52">
        <v>0</v>
      </c>
      <c r="G408" s="48"/>
      <c r="H408" s="45">
        <v>0</v>
      </c>
      <c r="I408" s="45">
        <v>0</v>
      </c>
      <c r="J408" s="45">
        <v>0</v>
      </c>
      <c r="K408" s="45"/>
      <c r="L408" s="45"/>
      <c r="M408" s="52">
        <v>0</v>
      </c>
      <c r="N408" s="52">
        <v>0</v>
      </c>
      <c r="O408" s="45">
        <v>0</v>
      </c>
      <c r="P408" s="45"/>
      <c r="Q408" s="52"/>
      <c r="R408" s="52">
        <v>0</v>
      </c>
      <c r="S408" s="61">
        <v>0</v>
      </c>
      <c r="T408" s="49"/>
      <c r="U408" s="45"/>
      <c r="V408" s="45"/>
      <c r="W408" s="45"/>
      <c r="X408" s="45"/>
      <c r="Y408" s="45">
        <v>0</v>
      </c>
      <c r="Z408" s="45">
        <v>0</v>
      </c>
      <c r="AA408" s="45"/>
      <c r="AB408" s="45"/>
      <c r="AC408" s="45"/>
      <c r="AD408" s="52"/>
      <c r="AE408" s="52">
        <v>0</v>
      </c>
      <c r="AF408" s="48">
        <v>0</v>
      </c>
      <c r="AG408" s="52">
        <v>0</v>
      </c>
      <c r="AH408" s="52">
        <v>0</v>
      </c>
      <c r="AI408" s="48"/>
      <c r="AJ408" s="48">
        <v>0</v>
      </c>
      <c r="AK408" s="52">
        <v>0</v>
      </c>
      <c r="AL408" s="52">
        <v>0</v>
      </c>
      <c r="AM408" s="48">
        <v>0</v>
      </c>
      <c r="AN408" s="52">
        <v>0</v>
      </c>
      <c r="AO408" s="52">
        <v>0</v>
      </c>
      <c r="AP408" s="48">
        <v>0</v>
      </c>
      <c r="AQ408" s="88">
        <v>0</v>
      </c>
      <c r="AR408" s="52">
        <v>0</v>
      </c>
      <c r="AS408" s="52"/>
      <c r="AT408" s="52"/>
      <c r="AU408" s="48">
        <v>0</v>
      </c>
      <c r="AV408" s="48"/>
      <c r="AW408" s="52"/>
      <c r="AX408" s="52">
        <v>0</v>
      </c>
      <c r="AY408" s="48"/>
      <c r="AZ408" s="52">
        <v>0</v>
      </c>
      <c r="BA408" s="52">
        <v>0</v>
      </c>
      <c r="BB408" s="48"/>
      <c r="BC408" s="45">
        <v>0</v>
      </c>
      <c r="BD408" s="45">
        <v>0</v>
      </c>
      <c r="BE408" s="45">
        <v>0</v>
      </c>
      <c r="BF408" s="45">
        <v>0</v>
      </c>
      <c r="BG408" s="45"/>
      <c r="BH408" s="46"/>
      <c r="BI408" s="45">
        <v>0</v>
      </c>
      <c r="BJ408" s="45">
        <v>0</v>
      </c>
      <c r="BK408" s="45"/>
      <c r="BL408" s="45"/>
      <c r="BM408" s="45">
        <v>0</v>
      </c>
      <c r="BN408" s="45"/>
      <c r="BO408" s="45"/>
      <c r="BP408" s="46"/>
      <c r="BQ408" s="48"/>
      <c r="BR408" s="52">
        <v>0</v>
      </c>
      <c r="BS408" s="52">
        <v>0</v>
      </c>
    </row>
    <row r="409" spans="2:71" ht="12" customHeight="1" x14ac:dyDescent="0.2">
      <c r="B409" s="56" t="s">
        <v>64</v>
      </c>
      <c r="C409" s="45"/>
      <c r="D409" s="45">
        <v>0</v>
      </c>
      <c r="E409" s="52">
        <v>0</v>
      </c>
      <c r="F409" s="52">
        <v>0</v>
      </c>
      <c r="G409" s="48"/>
      <c r="H409" s="45">
        <v>0</v>
      </c>
      <c r="I409" s="45">
        <v>0</v>
      </c>
      <c r="J409" s="45">
        <v>0</v>
      </c>
      <c r="K409" s="45"/>
      <c r="L409" s="45"/>
      <c r="M409" s="52">
        <v>0</v>
      </c>
      <c r="N409" s="52">
        <v>0</v>
      </c>
      <c r="O409" s="45">
        <v>0</v>
      </c>
      <c r="P409" s="45"/>
      <c r="Q409" s="52"/>
      <c r="R409" s="52">
        <v>0</v>
      </c>
      <c r="S409" s="61">
        <v>0</v>
      </c>
      <c r="T409" s="49"/>
      <c r="U409" s="45"/>
      <c r="V409" s="45"/>
      <c r="W409" s="45"/>
      <c r="X409" s="45"/>
      <c r="Y409" s="45">
        <v>0</v>
      </c>
      <c r="Z409" s="45">
        <v>0</v>
      </c>
      <c r="AA409" s="45"/>
      <c r="AB409" s="45"/>
      <c r="AC409" s="45"/>
      <c r="AD409" s="52"/>
      <c r="AE409" s="52">
        <v>0</v>
      </c>
      <c r="AF409" s="48">
        <v>0</v>
      </c>
      <c r="AG409" s="52">
        <v>0</v>
      </c>
      <c r="AH409" s="52">
        <v>0</v>
      </c>
      <c r="AI409" s="48"/>
      <c r="AJ409" s="48">
        <v>0</v>
      </c>
      <c r="AK409" s="52">
        <v>0</v>
      </c>
      <c r="AL409" s="52">
        <v>0</v>
      </c>
      <c r="AM409" s="48">
        <v>0</v>
      </c>
      <c r="AN409" s="52">
        <v>0</v>
      </c>
      <c r="AO409" s="52">
        <v>0</v>
      </c>
      <c r="AP409" s="48">
        <v>0</v>
      </c>
      <c r="AQ409" s="88">
        <v>0</v>
      </c>
      <c r="AR409" s="52">
        <v>0</v>
      </c>
      <c r="AS409" s="52"/>
      <c r="AT409" s="52"/>
      <c r="AU409" s="48">
        <v>0</v>
      </c>
      <c r="AV409" s="48"/>
      <c r="AW409" s="52"/>
      <c r="AX409" s="52">
        <v>0</v>
      </c>
      <c r="AY409" s="48"/>
      <c r="AZ409" s="52">
        <v>0</v>
      </c>
      <c r="BA409" s="52">
        <v>0</v>
      </c>
      <c r="BB409" s="48"/>
      <c r="BC409" s="45">
        <v>0</v>
      </c>
      <c r="BD409" s="45">
        <v>0</v>
      </c>
      <c r="BE409" s="45">
        <v>0</v>
      </c>
      <c r="BF409" s="45">
        <v>0</v>
      </c>
      <c r="BG409" s="45"/>
      <c r="BH409" s="46"/>
      <c r="BI409" s="45">
        <v>0</v>
      </c>
      <c r="BJ409" s="45">
        <v>0</v>
      </c>
      <c r="BK409" s="45"/>
      <c r="BL409" s="45"/>
      <c r="BM409" s="45">
        <v>0</v>
      </c>
      <c r="BN409" s="45"/>
      <c r="BO409" s="45"/>
      <c r="BP409" s="46"/>
      <c r="BQ409" s="48"/>
      <c r="BR409" s="52">
        <v>0</v>
      </c>
      <c r="BS409" s="52">
        <v>0</v>
      </c>
    </row>
    <row r="410" spans="2:71" ht="12" customHeight="1" x14ac:dyDescent="0.2">
      <c r="B410" s="56" t="s">
        <v>64</v>
      </c>
      <c r="C410" s="45"/>
      <c r="D410" s="45">
        <v>0</v>
      </c>
      <c r="E410" s="52">
        <v>0</v>
      </c>
      <c r="F410" s="52">
        <v>0</v>
      </c>
      <c r="G410" s="48"/>
      <c r="H410" s="45">
        <v>0</v>
      </c>
      <c r="I410" s="45">
        <v>0</v>
      </c>
      <c r="J410" s="45">
        <v>0</v>
      </c>
      <c r="K410" s="45"/>
      <c r="L410" s="45"/>
      <c r="M410" s="52">
        <v>0</v>
      </c>
      <c r="N410" s="52">
        <v>0</v>
      </c>
      <c r="O410" s="45">
        <v>0</v>
      </c>
      <c r="P410" s="45"/>
      <c r="Q410" s="52"/>
      <c r="R410" s="52">
        <v>0</v>
      </c>
      <c r="S410" s="61">
        <v>0</v>
      </c>
      <c r="T410" s="49"/>
      <c r="U410" s="45"/>
      <c r="V410" s="45"/>
      <c r="W410" s="45"/>
      <c r="X410" s="45"/>
      <c r="Y410" s="45">
        <v>0</v>
      </c>
      <c r="Z410" s="45">
        <v>0</v>
      </c>
      <c r="AA410" s="45"/>
      <c r="AB410" s="45"/>
      <c r="AC410" s="45"/>
      <c r="AD410" s="52"/>
      <c r="AE410" s="52">
        <v>0</v>
      </c>
      <c r="AF410" s="48">
        <v>0</v>
      </c>
      <c r="AG410" s="52">
        <v>0</v>
      </c>
      <c r="AH410" s="52">
        <v>0</v>
      </c>
      <c r="AI410" s="48"/>
      <c r="AJ410" s="48">
        <v>0</v>
      </c>
      <c r="AK410" s="52">
        <v>0</v>
      </c>
      <c r="AL410" s="52">
        <v>0</v>
      </c>
      <c r="AM410" s="48">
        <v>0</v>
      </c>
      <c r="AN410" s="52">
        <v>0</v>
      </c>
      <c r="AO410" s="52">
        <v>0</v>
      </c>
      <c r="AP410" s="48">
        <v>0</v>
      </c>
      <c r="AQ410" s="88">
        <v>0</v>
      </c>
      <c r="AR410" s="52">
        <v>0</v>
      </c>
      <c r="AS410" s="52"/>
      <c r="AT410" s="52"/>
      <c r="AU410" s="48">
        <v>0</v>
      </c>
      <c r="AV410" s="48"/>
      <c r="AW410" s="52"/>
      <c r="AX410" s="52">
        <v>0</v>
      </c>
      <c r="AY410" s="48"/>
      <c r="AZ410" s="52">
        <v>0</v>
      </c>
      <c r="BA410" s="52">
        <v>0</v>
      </c>
      <c r="BB410" s="48"/>
      <c r="BC410" s="45">
        <v>0</v>
      </c>
      <c r="BD410" s="45">
        <v>0</v>
      </c>
      <c r="BE410" s="45">
        <v>0</v>
      </c>
      <c r="BF410" s="45">
        <v>0</v>
      </c>
      <c r="BG410" s="45"/>
      <c r="BH410" s="46"/>
      <c r="BI410" s="45">
        <v>0</v>
      </c>
      <c r="BJ410" s="45">
        <v>0</v>
      </c>
      <c r="BK410" s="45"/>
      <c r="BL410" s="45"/>
      <c r="BM410" s="45">
        <v>0</v>
      </c>
      <c r="BN410" s="45"/>
      <c r="BO410" s="45"/>
      <c r="BP410" s="46"/>
      <c r="BQ410" s="48"/>
      <c r="BR410" s="52">
        <v>0</v>
      </c>
      <c r="BS410" s="52">
        <v>0</v>
      </c>
    </row>
    <row r="411" spans="2:71" ht="12" customHeight="1" x14ac:dyDescent="0.2">
      <c r="B411" s="56" t="s">
        <v>64</v>
      </c>
      <c r="C411" s="45"/>
      <c r="D411" s="45">
        <v>0</v>
      </c>
      <c r="E411" s="52">
        <v>0</v>
      </c>
      <c r="F411" s="52">
        <v>0</v>
      </c>
      <c r="G411" s="48"/>
      <c r="H411" s="45">
        <v>0</v>
      </c>
      <c r="I411" s="45">
        <v>0</v>
      </c>
      <c r="J411" s="45">
        <v>0</v>
      </c>
      <c r="K411" s="45"/>
      <c r="L411" s="45"/>
      <c r="M411" s="52">
        <v>0</v>
      </c>
      <c r="N411" s="52">
        <v>0</v>
      </c>
      <c r="O411" s="45">
        <v>0</v>
      </c>
      <c r="P411" s="45"/>
      <c r="Q411" s="52"/>
      <c r="R411" s="52">
        <v>0</v>
      </c>
      <c r="S411" s="61">
        <v>0</v>
      </c>
      <c r="T411" s="49"/>
      <c r="U411" s="45"/>
      <c r="V411" s="45"/>
      <c r="W411" s="45"/>
      <c r="X411" s="45"/>
      <c r="Y411" s="45">
        <v>0</v>
      </c>
      <c r="Z411" s="45">
        <v>0</v>
      </c>
      <c r="AA411" s="45"/>
      <c r="AB411" s="45"/>
      <c r="AC411" s="45"/>
      <c r="AD411" s="52"/>
      <c r="AE411" s="52">
        <v>0</v>
      </c>
      <c r="AF411" s="48">
        <v>0</v>
      </c>
      <c r="AG411" s="52">
        <v>0</v>
      </c>
      <c r="AH411" s="52">
        <v>0</v>
      </c>
      <c r="AI411" s="48"/>
      <c r="AJ411" s="48">
        <v>0</v>
      </c>
      <c r="AK411" s="52">
        <v>0</v>
      </c>
      <c r="AL411" s="52">
        <v>0</v>
      </c>
      <c r="AM411" s="48">
        <v>0</v>
      </c>
      <c r="AN411" s="52">
        <v>0</v>
      </c>
      <c r="AO411" s="52">
        <v>0</v>
      </c>
      <c r="AP411" s="48">
        <v>0</v>
      </c>
      <c r="AQ411" s="88">
        <v>0</v>
      </c>
      <c r="AR411" s="52">
        <v>0</v>
      </c>
      <c r="AS411" s="52"/>
      <c r="AT411" s="52"/>
      <c r="AU411" s="48">
        <v>0</v>
      </c>
      <c r="AV411" s="48"/>
      <c r="AW411" s="52"/>
      <c r="AX411" s="52">
        <v>0</v>
      </c>
      <c r="AY411" s="48"/>
      <c r="AZ411" s="52">
        <v>0</v>
      </c>
      <c r="BA411" s="52">
        <v>0</v>
      </c>
      <c r="BB411" s="48"/>
      <c r="BC411" s="45">
        <v>0</v>
      </c>
      <c r="BD411" s="45">
        <v>0</v>
      </c>
      <c r="BE411" s="45">
        <v>0</v>
      </c>
      <c r="BF411" s="45">
        <v>0</v>
      </c>
      <c r="BG411" s="45"/>
      <c r="BH411" s="46"/>
      <c r="BI411" s="45">
        <v>0</v>
      </c>
      <c r="BJ411" s="45">
        <v>0</v>
      </c>
      <c r="BK411" s="45"/>
      <c r="BL411" s="45"/>
      <c r="BM411" s="45">
        <v>0</v>
      </c>
      <c r="BN411" s="45"/>
      <c r="BO411" s="45"/>
      <c r="BP411" s="46"/>
      <c r="BQ411" s="48"/>
      <c r="BR411" s="52">
        <v>0</v>
      </c>
      <c r="BS411" s="52">
        <v>0</v>
      </c>
    </row>
    <row r="412" spans="2:71" ht="12" customHeight="1" x14ac:dyDescent="0.2">
      <c r="B412" s="56" t="s">
        <v>64</v>
      </c>
      <c r="C412" s="45"/>
      <c r="D412" s="45">
        <v>0</v>
      </c>
      <c r="E412" s="52">
        <v>0</v>
      </c>
      <c r="F412" s="52">
        <v>0</v>
      </c>
      <c r="G412" s="48"/>
      <c r="H412" s="45">
        <v>0</v>
      </c>
      <c r="I412" s="45">
        <v>0</v>
      </c>
      <c r="J412" s="45">
        <v>0</v>
      </c>
      <c r="K412" s="45"/>
      <c r="L412" s="45"/>
      <c r="M412" s="52">
        <v>0</v>
      </c>
      <c r="N412" s="52">
        <v>0</v>
      </c>
      <c r="O412" s="45">
        <v>0</v>
      </c>
      <c r="P412" s="45"/>
      <c r="Q412" s="52"/>
      <c r="R412" s="52">
        <v>0</v>
      </c>
      <c r="S412" s="61">
        <v>0</v>
      </c>
      <c r="T412" s="49"/>
      <c r="U412" s="45"/>
      <c r="V412" s="45"/>
      <c r="W412" s="45"/>
      <c r="X412" s="45"/>
      <c r="Y412" s="45">
        <v>0</v>
      </c>
      <c r="Z412" s="45">
        <v>0</v>
      </c>
      <c r="AA412" s="45"/>
      <c r="AB412" s="45"/>
      <c r="AC412" s="45"/>
      <c r="AD412" s="52"/>
      <c r="AE412" s="52">
        <v>0</v>
      </c>
      <c r="AF412" s="48">
        <v>0</v>
      </c>
      <c r="AG412" s="52">
        <v>0</v>
      </c>
      <c r="AH412" s="52">
        <v>0</v>
      </c>
      <c r="AI412" s="48"/>
      <c r="AJ412" s="48">
        <v>0</v>
      </c>
      <c r="AK412" s="52">
        <v>0</v>
      </c>
      <c r="AL412" s="52">
        <v>0</v>
      </c>
      <c r="AM412" s="48">
        <v>0</v>
      </c>
      <c r="AN412" s="52">
        <v>0</v>
      </c>
      <c r="AO412" s="52">
        <v>0</v>
      </c>
      <c r="AP412" s="48">
        <v>0</v>
      </c>
      <c r="AQ412" s="88">
        <v>0</v>
      </c>
      <c r="AR412" s="52">
        <v>0</v>
      </c>
      <c r="AS412" s="52"/>
      <c r="AT412" s="52"/>
      <c r="AU412" s="48">
        <v>0</v>
      </c>
      <c r="AV412" s="48"/>
      <c r="AW412" s="52"/>
      <c r="AX412" s="52">
        <v>0</v>
      </c>
      <c r="AY412" s="48"/>
      <c r="AZ412" s="52">
        <v>0</v>
      </c>
      <c r="BA412" s="52">
        <v>0</v>
      </c>
      <c r="BB412" s="48"/>
      <c r="BC412" s="45">
        <v>0</v>
      </c>
      <c r="BD412" s="45">
        <v>0</v>
      </c>
      <c r="BE412" s="45">
        <v>0</v>
      </c>
      <c r="BF412" s="45">
        <v>0</v>
      </c>
      <c r="BG412" s="45"/>
      <c r="BH412" s="46"/>
      <c r="BI412" s="45">
        <v>0</v>
      </c>
      <c r="BJ412" s="45">
        <v>0</v>
      </c>
      <c r="BK412" s="45"/>
      <c r="BL412" s="45"/>
      <c r="BM412" s="45">
        <v>0</v>
      </c>
      <c r="BN412" s="45"/>
      <c r="BO412" s="45"/>
      <c r="BP412" s="46"/>
      <c r="BQ412" s="48"/>
      <c r="BR412" s="52">
        <v>0</v>
      </c>
      <c r="BS412" s="52">
        <v>0</v>
      </c>
    </row>
    <row r="413" spans="2:71" ht="12" customHeight="1" x14ac:dyDescent="0.2">
      <c r="B413" s="56" t="s">
        <v>64</v>
      </c>
      <c r="C413" s="45"/>
      <c r="D413" s="45">
        <v>0</v>
      </c>
      <c r="E413" s="52">
        <v>0</v>
      </c>
      <c r="F413" s="52">
        <v>0</v>
      </c>
      <c r="G413" s="48"/>
      <c r="H413" s="45">
        <v>0</v>
      </c>
      <c r="I413" s="45">
        <v>0</v>
      </c>
      <c r="J413" s="45">
        <v>0</v>
      </c>
      <c r="K413" s="45"/>
      <c r="L413" s="45"/>
      <c r="M413" s="52">
        <v>0</v>
      </c>
      <c r="N413" s="52">
        <v>0</v>
      </c>
      <c r="O413" s="45">
        <v>0</v>
      </c>
      <c r="P413" s="45"/>
      <c r="Q413" s="52"/>
      <c r="R413" s="52">
        <v>0</v>
      </c>
      <c r="S413" s="61">
        <v>0</v>
      </c>
      <c r="T413" s="49"/>
      <c r="U413" s="45"/>
      <c r="V413" s="45"/>
      <c r="W413" s="45"/>
      <c r="X413" s="45"/>
      <c r="Y413" s="45">
        <v>0</v>
      </c>
      <c r="Z413" s="45">
        <v>0</v>
      </c>
      <c r="AA413" s="45"/>
      <c r="AB413" s="45"/>
      <c r="AC413" s="45"/>
      <c r="AD413" s="52"/>
      <c r="AE413" s="52">
        <v>0</v>
      </c>
      <c r="AF413" s="48">
        <v>0</v>
      </c>
      <c r="AG413" s="52">
        <v>0</v>
      </c>
      <c r="AH413" s="52">
        <v>0</v>
      </c>
      <c r="AI413" s="48"/>
      <c r="AJ413" s="48">
        <v>0</v>
      </c>
      <c r="AK413" s="52">
        <v>0</v>
      </c>
      <c r="AL413" s="52">
        <v>0</v>
      </c>
      <c r="AM413" s="48">
        <v>0</v>
      </c>
      <c r="AN413" s="52">
        <v>0</v>
      </c>
      <c r="AO413" s="52">
        <v>0</v>
      </c>
      <c r="AP413" s="48">
        <v>0</v>
      </c>
      <c r="AQ413" s="88">
        <v>0</v>
      </c>
      <c r="AR413" s="52">
        <v>0</v>
      </c>
      <c r="AS413" s="52"/>
      <c r="AT413" s="52"/>
      <c r="AU413" s="48">
        <v>0</v>
      </c>
      <c r="AV413" s="48"/>
      <c r="AW413" s="52"/>
      <c r="AX413" s="52">
        <v>0</v>
      </c>
      <c r="AY413" s="48"/>
      <c r="AZ413" s="52">
        <v>0</v>
      </c>
      <c r="BA413" s="52">
        <v>0</v>
      </c>
      <c r="BB413" s="48"/>
      <c r="BC413" s="45">
        <v>0</v>
      </c>
      <c r="BD413" s="45">
        <v>0</v>
      </c>
      <c r="BE413" s="45">
        <v>0</v>
      </c>
      <c r="BF413" s="45">
        <v>0</v>
      </c>
      <c r="BG413" s="45"/>
      <c r="BH413" s="46"/>
      <c r="BI413" s="45">
        <v>0</v>
      </c>
      <c r="BJ413" s="45">
        <v>0</v>
      </c>
      <c r="BK413" s="45"/>
      <c r="BL413" s="45"/>
      <c r="BM413" s="45">
        <v>0</v>
      </c>
      <c r="BN413" s="45"/>
      <c r="BO413" s="45"/>
      <c r="BP413" s="46"/>
      <c r="BQ413" s="48"/>
      <c r="BR413" s="52">
        <v>0</v>
      </c>
      <c r="BS413" s="52">
        <v>0</v>
      </c>
    </row>
    <row r="414" spans="2:71" ht="12" customHeight="1" x14ac:dyDescent="0.2">
      <c r="B414" s="56" t="s">
        <v>64</v>
      </c>
      <c r="C414" s="45"/>
      <c r="D414" s="45">
        <v>0</v>
      </c>
      <c r="E414" s="52">
        <v>0</v>
      </c>
      <c r="F414" s="52">
        <v>0</v>
      </c>
      <c r="G414" s="48"/>
      <c r="H414" s="45">
        <v>0</v>
      </c>
      <c r="I414" s="45">
        <v>0</v>
      </c>
      <c r="J414" s="45">
        <v>0</v>
      </c>
      <c r="K414" s="45"/>
      <c r="L414" s="45"/>
      <c r="M414" s="52">
        <v>0</v>
      </c>
      <c r="N414" s="52">
        <v>0</v>
      </c>
      <c r="O414" s="45">
        <v>0</v>
      </c>
      <c r="P414" s="45"/>
      <c r="Q414" s="52"/>
      <c r="R414" s="52">
        <v>0</v>
      </c>
      <c r="S414" s="61">
        <v>0</v>
      </c>
      <c r="T414" s="49"/>
      <c r="U414" s="45"/>
      <c r="V414" s="45"/>
      <c r="W414" s="45"/>
      <c r="X414" s="45"/>
      <c r="Y414" s="45">
        <v>0</v>
      </c>
      <c r="Z414" s="45">
        <v>0</v>
      </c>
      <c r="AA414" s="45"/>
      <c r="AB414" s="45"/>
      <c r="AC414" s="45"/>
      <c r="AD414" s="52"/>
      <c r="AE414" s="52">
        <v>0</v>
      </c>
      <c r="AF414" s="48">
        <v>0</v>
      </c>
      <c r="AG414" s="52">
        <v>0</v>
      </c>
      <c r="AH414" s="52">
        <v>0</v>
      </c>
      <c r="AI414" s="48"/>
      <c r="AJ414" s="48">
        <v>0</v>
      </c>
      <c r="AK414" s="52">
        <v>0</v>
      </c>
      <c r="AL414" s="52">
        <v>0</v>
      </c>
      <c r="AM414" s="48">
        <v>0</v>
      </c>
      <c r="AN414" s="52">
        <v>0</v>
      </c>
      <c r="AO414" s="52">
        <v>0</v>
      </c>
      <c r="AP414" s="48">
        <v>0</v>
      </c>
      <c r="AQ414" s="88">
        <v>0</v>
      </c>
      <c r="AR414" s="52">
        <v>0</v>
      </c>
      <c r="AS414" s="52"/>
      <c r="AT414" s="52"/>
      <c r="AU414" s="48">
        <v>0</v>
      </c>
      <c r="AV414" s="48"/>
      <c r="AW414" s="52"/>
      <c r="AX414" s="52">
        <v>0</v>
      </c>
      <c r="AY414" s="48"/>
      <c r="AZ414" s="52">
        <v>0</v>
      </c>
      <c r="BA414" s="52">
        <v>0</v>
      </c>
      <c r="BB414" s="48"/>
      <c r="BC414" s="45">
        <v>0</v>
      </c>
      <c r="BD414" s="45">
        <v>0</v>
      </c>
      <c r="BE414" s="45">
        <v>0</v>
      </c>
      <c r="BF414" s="45">
        <v>0</v>
      </c>
      <c r="BG414" s="45"/>
      <c r="BH414" s="46"/>
      <c r="BI414" s="45">
        <v>0</v>
      </c>
      <c r="BJ414" s="45">
        <v>0</v>
      </c>
      <c r="BK414" s="45"/>
      <c r="BL414" s="45"/>
      <c r="BM414" s="45">
        <v>0</v>
      </c>
      <c r="BN414" s="45"/>
      <c r="BO414" s="45"/>
      <c r="BP414" s="46"/>
      <c r="BQ414" s="48"/>
      <c r="BR414" s="52">
        <v>0</v>
      </c>
      <c r="BS414" s="52">
        <v>0</v>
      </c>
    </row>
    <row r="415" spans="2:71" ht="12" customHeight="1" x14ac:dyDescent="0.2">
      <c r="B415" s="56" t="s">
        <v>64</v>
      </c>
      <c r="C415" s="45"/>
      <c r="D415" s="45">
        <v>0</v>
      </c>
      <c r="E415" s="52">
        <v>0</v>
      </c>
      <c r="F415" s="52">
        <v>0</v>
      </c>
      <c r="G415" s="48"/>
      <c r="H415" s="45">
        <v>0</v>
      </c>
      <c r="I415" s="45">
        <v>0</v>
      </c>
      <c r="J415" s="45">
        <v>0</v>
      </c>
      <c r="K415" s="45"/>
      <c r="L415" s="45"/>
      <c r="M415" s="52">
        <v>0</v>
      </c>
      <c r="N415" s="52">
        <v>0</v>
      </c>
      <c r="O415" s="45">
        <v>0</v>
      </c>
      <c r="P415" s="45"/>
      <c r="Q415" s="52"/>
      <c r="R415" s="52">
        <v>0</v>
      </c>
      <c r="S415" s="61">
        <v>0</v>
      </c>
      <c r="T415" s="49"/>
      <c r="U415" s="45"/>
      <c r="V415" s="45"/>
      <c r="W415" s="45"/>
      <c r="X415" s="45"/>
      <c r="Y415" s="45">
        <v>0</v>
      </c>
      <c r="Z415" s="45">
        <v>0</v>
      </c>
      <c r="AA415" s="45"/>
      <c r="AB415" s="45"/>
      <c r="AC415" s="45"/>
      <c r="AD415" s="52"/>
      <c r="AE415" s="52">
        <v>0</v>
      </c>
      <c r="AF415" s="48">
        <v>0</v>
      </c>
      <c r="AG415" s="52">
        <v>0</v>
      </c>
      <c r="AH415" s="52">
        <v>0</v>
      </c>
      <c r="AI415" s="48"/>
      <c r="AJ415" s="48">
        <v>0</v>
      </c>
      <c r="AK415" s="52">
        <v>0</v>
      </c>
      <c r="AL415" s="52">
        <v>0</v>
      </c>
      <c r="AM415" s="48">
        <v>0</v>
      </c>
      <c r="AN415" s="52">
        <v>0</v>
      </c>
      <c r="AO415" s="52">
        <v>0</v>
      </c>
      <c r="AP415" s="48">
        <v>0</v>
      </c>
      <c r="AQ415" s="88">
        <v>0</v>
      </c>
      <c r="AR415" s="52">
        <v>0</v>
      </c>
      <c r="AS415" s="52"/>
      <c r="AT415" s="52"/>
      <c r="AU415" s="48">
        <v>0</v>
      </c>
      <c r="AV415" s="48"/>
      <c r="AW415" s="52"/>
      <c r="AX415" s="52">
        <v>0</v>
      </c>
      <c r="AY415" s="48"/>
      <c r="AZ415" s="52">
        <v>0</v>
      </c>
      <c r="BA415" s="52">
        <v>0</v>
      </c>
      <c r="BB415" s="48"/>
      <c r="BC415" s="45">
        <v>0</v>
      </c>
      <c r="BD415" s="45">
        <v>0</v>
      </c>
      <c r="BE415" s="45">
        <v>0</v>
      </c>
      <c r="BF415" s="45">
        <v>0</v>
      </c>
      <c r="BG415" s="45"/>
      <c r="BH415" s="46"/>
      <c r="BI415" s="45">
        <v>0</v>
      </c>
      <c r="BJ415" s="45">
        <v>0</v>
      </c>
      <c r="BK415" s="45"/>
      <c r="BL415" s="45"/>
      <c r="BM415" s="45">
        <v>0</v>
      </c>
      <c r="BN415" s="45"/>
      <c r="BO415" s="45"/>
      <c r="BP415" s="46"/>
      <c r="BQ415" s="48"/>
      <c r="BR415" s="52">
        <v>0</v>
      </c>
      <c r="BS415" s="52">
        <v>0</v>
      </c>
    </row>
    <row r="416" spans="2:71" ht="12" customHeight="1" x14ac:dyDescent="0.2">
      <c r="B416" s="56" t="s">
        <v>64</v>
      </c>
      <c r="C416" s="45"/>
      <c r="D416" s="45">
        <v>0</v>
      </c>
      <c r="E416" s="52">
        <v>0</v>
      </c>
      <c r="F416" s="52">
        <v>0</v>
      </c>
      <c r="G416" s="48"/>
      <c r="H416" s="45">
        <v>0</v>
      </c>
      <c r="I416" s="45">
        <v>0</v>
      </c>
      <c r="J416" s="45">
        <v>0</v>
      </c>
      <c r="K416" s="45"/>
      <c r="L416" s="45"/>
      <c r="M416" s="52">
        <v>0</v>
      </c>
      <c r="N416" s="52">
        <v>0</v>
      </c>
      <c r="O416" s="45">
        <v>0</v>
      </c>
      <c r="P416" s="45"/>
      <c r="Q416" s="52"/>
      <c r="R416" s="52">
        <v>0</v>
      </c>
      <c r="S416" s="61">
        <v>0</v>
      </c>
      <c r="T416" s="49"/>
      <c r="U416" s="45"/>
      <c r="V416" s="45"/>
      <c r="W416" s="45"/>
      <c r="X416" s="45"/>
      <c r="Y416" s="45">
        <v>0</v>
      </c>
      <c r="Z416" s="45">
        <v>0</v>
      </c>
      <c r="AA416" s="45"/>
      <c r="AB416" s="45"/>
      <c r="AC416" s="45"/>
      <c r="AD416" s="52"/>
      <c r="AE416" s="52">
        <v>0</v>
      </c>
      <c r="AF416" s="48">
        <v>0</v>
      </c>
      <c r="AG416" s="52">
        <v>0</v>
      </c>
      <c r="AH416" s="52">
        <v>0</v>
      </c>
      <c r="AI416" s="48"/>
      <c r="AJ416" s="48">
        <v>0</v>
      </c>
      <c r="AK416" s="52">
        <v>0</v>
      </c>
      <c r="AL416" s="52">
        <v>0</v>
      </c>
      <c r="AM416" s="48">
        <v>0</v>
      </c>
      <c r="AN416" s="52">
        <v>0</v>
      </c>
      <c r="AO416" s="52">
        <v>0</v>
      </c>
      <c r="AP416" s="48">
        <v>0</v>
      </c>
      <c r="AQ416" s="88">
        <v>0</v>
      </c>
      <c r="AR416" s="52">
        <v>0</v>
      </c>
      <c r="AS416" s="52"/>
      <c r="AT416" s="52"/>
      <c r="AU416" s="48">
        <v>0</v>
      </c>
      <c r="AV416" s="48"/>
      <c r="AW416" s="52"/>
      <c r="AX416" s="52">
        <v>0</v>
      </c>
      <c r="AY416" s="48"/>
      <c r="AZ416" s="52">
        <v>0</v>
      </c>
      <c r="BA416" s="52">
        <v>0</v>
      </c>
      <c r="BB416" s="48"/>
      <c r="BC416" s="45">
        <v>0</v>
      </c>
      <c r="BD416" s="45">
        <v>0</v>
      </c>
      <c r="BE416" s="45">
        <v>0</v>
      </c>
      <c r="BF416" s="45">
        <v>0</v>
      </c>
      <c r="BG416" s="45"/>
      <c r="BH416" s="46"/>
      <c r="BI416" s="45">
        <v>0</v>
      </c>
      <c r="BJ416" s="45">
        <v>0</v>
      </c>
      <c r="BK416" s="45"/>
      <c r="BL416" s="45"/>
      <c r="BM416" s="45">
        <v>0</v>
      </c>
      <c r="BN416" s="45"/>
      <c r="BO416" s="45"/>
      <c r="BP416" s="46"/>
      <c r="BQ416" s="48"/>
      <c r="BR416" s="52">
        <v>0</v>
      </c>
      <c r="BS416" s="52">
        <v>0</v>
      </c>
    </row>
    <row r="417" spans="2:71" ht="12" customHeight="1" x14ac:dyDescent="0.2">
      <c r="B417" s="56" t="s">
        <v>64</v>
      </c>
      <c r="C417" s="45"/>
      <c r="D417" s="45">
        <v>0</v>
      </c>
      <c r="E417" s="52">
        <v>0</v>
      </c>
      <c r="F417" s="52">
        <v>0</v>
      </c>
      <c r="G417" s="48"/>
      <c r="H417" s="45">
        <v>0</v>
      </c>
      <c r="I417" s="45">
        <v>0</v>
      </c>
      <c r="J417" s="45">
        <v>0</v>
      </c>
      <c r="K417" s="45"/>
      <c r="L417" s="45"/>
      <c r="M417" s="52">
        <v>0</v>
      </c>
      <c r="N417" s="52">
        <v>0</v>
      </c>
      <c r="O417" s="45">
        <v>0</v>
      </c>
      <c r="P417" s="45"/>
      <c r="Q417" s="52"/>
      <c r="R417" s="52">
        <v>0</v>
      </c>
      <c r="S417" s="61">
        <v>0</v>
      </c>
      <c r="T417" s="49"/>
      <c r="U417" s="45"/>
      <c r="V417" s="45"/>
      <c r="W417" s="45"/>
      <c r="X417" s="45"/>
      <c r="Y417" s="45">
        <v>0</v>
      </c>
      <c r="Z417" s="45">
        <v>0</v>
      </c>
      <c r="AA417" s="45"/>
      <c r="AB417" s="45"/>
      <c r="AC417" s="45"/>
      <c r="AD417" s="52"/>
      <c r="AE417" s="52">
        <v>0</v>
      </c>
      <c r="AF417" s="48">
        <v>0</v>
      </c>
      <c r="AG417" s="52">
        <v>0</v>
      </c>
      <c r="AH417" s="52">
        <v>0</v>
      </c>
      <c r="AI417" s="48"/>
      <c r="AJ417" s="48">
        <v>0</v>
      </c>
      <c r="AK417" s="52">
        <v>0</v>
      </c>
      <c r="AL417" s="52">
        <v>0</v>
      </c>
      <c r="AM417" s="48">
        <v>0</v>
      </c>
      <c r="AN417" s="52">
        <v>0</v>
      </c>
      <c r="AO417" s="52">
        <v>0</v>
      </c>
      <c r="AP417" s="48">
        <v>0</v>
      </c>
      <c r="AQ417" s="88">
        <v>0</v>
      </c>
      <c r="AR417" s="52">
        <v>0</v>
      </c>
      <c r="AS417" s="52"/>
      <c r="AT417" s="52"/>
      <c r="AU417" s="48">
        <v>0</v>
      </c>
      <c r="AV417" s="48"/>
      <c r="AW417" s="52"/>
      <c r="AX417" s="52">
        <v>0</v>
      </c>
      <c r="AY417" s="48"/>
      <c r="AZ417" s="52">
        <v>0</v>
      </c>
      <c r="BA417" s="52">
        <v>0</v>
      </c>
      <c r="BB417" s="48"/>
      <c r="BC417" s="45">
        <v>0</v>
      </c>
      <c r="BD417" s="45">
        <v>0</v>
      </c>
      <c r="BE417" s="45">
        <v>0</v>
      </c>
      <c r="BF417" s="45">
        <v>0</v>
      </c>
      <c r="BG417" s="45"/>
      <c r="BH417" s="46"/>
      <c r="BI417" s="45">
        <v>0</v>
      </c>
      <c r="BJ417" s="45">
        <v>0</v>
      </c>
      <c r="BK417" s="45"/>
      <c r="BL417" s="45"/>
      <c r="BM417" s="45">
        <v>0</v>
      </c>
      <c r="BN417" s="45"/>
      <c r="BO417" s="45"/>
      <c r="BP417" s="46"/>
      <c r="BQ417" s="48"/>
      <c r="BR417" s="52">
        <v>0</v>
      </c>
      <c r="BS417" s="52">
        <v>0</v>
      </c>
    </row>
    <row r="418" spans="2:71" ht="12" customHeight="1" x14ac:dyDescent="0.2">
      <c r="B418" s="56" t="s">
        <v>64</v>
      </c>
      <c r="C418" s="45"/>
      <c r="D418" s="45">
        <v>0</v>
      </c>
      <c r="E418" s="52">
        <v>0</v>
      </c>
      <c r="F418" s="52">
        <v>0</v>
      </c>
      <c r="G418" s="48"/>
      <c r="H418" s="45">
        <v>0</v>
      </c>
      <c r="I418" s="45">
        <v>0</v>
      </c>
      <c r="J418" s="45">
        <v>0</v>
      </c>
      <c r="K418" s="45"/>
      <c r="L418" s="45"/>
      <c r="M418" s="52">
        <v>0</v>
      </c>
      <c r="N418" s="52">
        <v>0</v>
      </c>
      <c r="O418" s="45">
        <v>0</v>
      </c>
      <c r="P418" s="45"/>
      <c r="Q418" s="52"/>
      <c r="R418" s="52">
        <v>0</v>
      </c>
      <c r="S418" s="61">
        <v>0</v>
      </c>
      <c r="T418" s="49"/>
      <c r="U418" s="45"/>
      <c r="V418" s="45"/>
      <c r="W418" s="45"/>
      <c r="X418" s="45"/>
      <c r="Y418" s="45">
        <v>0</v>
      </c>
      <c r="Z418" s="45">
        <v>0</v>
      </c>
      <c r="AA418" s="45"/>
      <c r="AB418" s="45"/>
      <c r="AC418" s="45"/>
      <c r="AD418" s="52"/>
      <c r="AE418" s="52">
        <v>0</v>
      </c>
      <c r="AF418" s="48">
        <v>0</v>
      </c>
      <c r="AG418" s="52">
        <v>0</v>
      </c>
      <c r="AH418" s="52">
        <v>0</v>
      </c>
      <c r="AI418" s="48"/>
      <c r="AJ418" s="48">
        <v>0</v>
      </c>
      <c r="AK418" s="52">
        <v>0</v>
      </c>
      <c r="AL418" s="52">
        <v>0</v>
      </c>
      <c r="AM418" s="48">
        <v>0</v>
      </c>
      <c r="AN418" s="52">
        <v>0</v>
      </c>
      <c r="AO418" s="52">
        <v>0</v>
      </c>
      <c r="AP418" s="48">
        <v>0</v>
      </c>
      <c r="AQ418" s="88">
        <v>0</v>
      </c>
      <c r="AR418" s="52">
        <v>0</v>
      </c>
      <c r="AS418" s="52"/>
      <c r="AT418" s="52"/>
      <c r="AU418" s="48">
        <v>0</v>
      </c>
      <c r="AV418" s="48"/>
      <c r="AW418" s="52"/>
      <c r="AX418" s="52">
        <v>0</v>
      </c>
      <c r="AY418" s="48"/>
      <c r="AZ418" s="52">
        <v>0</v>
      </c>
      <c r="BA418" s="52">
        <v>0</v>
      </c>
      <c r="BB418" s="48"/>
      <c r="BC418" s="45">
        <v>0</v>
      </c>
      <c r="BD418" s="45">
        <v>0</v>
      </c>
      <c r="BE418" s="45">
        <v>0</v>
      </c>
      <c r="BF418" s="45">
        <v>0</v>
      </c>
      <c r="BG418" s="45"/>
      <c r="BH418" s="46"/>
      <c r="BI418" s="45">
        <v>0</v>
      </c>
      <c r="BJ418" s="45">
        <v>0</v>
      </c>
      <c r="BK418" s="45"/>
      <c r="BL418" s="45"/>
      <c r="BM418" s="45">
        <v>0</v>
      </c>
      <c r="BN418" s="45"/>
      <c r="BO418" s="45"/>
      <c r="BP418" s="46"/>
      <c r="BQ418" s="48"/>
      <c r="BR418" s="52">
        <v>0</v>
      </c>
      <c r="BS418" s="52">
        <v>0</v>
      </c>
    </row>
    <row r="419" spans="2:71" ht="12" customHeight="1" x14ac:dyDescent="0.2">
      <c r="B419" s="56" t="s">
        <v>64</v>
      </c>
      <c r="C419" s="45"/>
      <c r="D419" s="45">
        <v>0</v>
      </c>
      <c r="E419" s="52">
        <v>0</v>
      </c>
      <c r="F419" s="52">
        <v>0</v>
      </c>
      <c r="G419" s="48"/>
      <c r="H419" s="45">
        <v>0</v>
      </c>
      <c r="I419" s="45">
        <v>0</v>
      </c>
      <c r="J419" s="45">
        <v>0</v>
      </c>
      <c r="K419" s="45"/>
      <c r="L419" s="45"/>
      <c r="M419" s="52">
        <v>0</v>
      </c>
      <c r="N419" s="52">
        <v>0</v>
      </c>
      <c r="O419" s="45">
        <v>0</v>
      </c>
      <c r="P419" s="45"/>
      <c r="Q419" s="52"/>
      <c r="R419" s="52">
        <v>0</v>
      </c>
      <c r="S419" s="61">
        <v>0</v>
      </c>
      <c r="T419" s="49"/>
      <c r="U419" s="45"/>
      <c r="V419" s="45"/>
      <c r="W419" s="45"/>
      <c r="X419" s="45"/>
      <c r="Y419" s="45">
        <v>0</v>
      </c>
      <c r="Z419" s="45">
        <v>0</v>
      </c>
      <c r="AA419" s="45"/>
      <c r="AB419" s="45"/>
      <c r="AC419" s="45"/>
      <c r="AD419" s="52"/>
      <c r="AE419" s="52">
        <v>0</v>
      </c>
      <c r="AF419" s="48">
        <v>0</v>
      </c>
      <c r="AG419" s="52">
        <v>0</v>
      </c>
      <c r="AH419" s="52">
        <v>0</v>
      </c>
      <c r="AI419" s="48"/>
      <c r="AJ419" s="48">
        <v>0</v>
      </c>
      <c r="AK419" s="52">
        <v>0</v>
      </c>
      <c r="AL419" s="52">
        <v>0</v>
      </c>
      <c r="AM419" s="48">
        <v>0</v>
      </c>
      <c r="AN419" s="52">
        <v>0</v>
      </c>
      <c r="AO419" s="52">
        <v>0</v>
      </c>
      <c r="AP419" s="48">
        <v>0</v>
      </c>
      <c r="AQ419" s="88">
        <v>0</v>
      </c>
      <c r="AR419" s="52">
        <v>0</v>
      </c>
      <c r="AS419" s="52"/>
      <c r="AT419" s="52"/>
      <c r="AU419" s="48">
        <v>0</v>
      </c>
      <c r="AV419" s="48"/>
      <c r="AW419" s="52"/>
      <c r="AX419" s="52">
        <v>0</v>
      </c>
      <c r="AY419" s="48"/>
      <c r="AZ419" s="52">
        <v>0</v>
      </c>
      <c r="BA419" s="52">
        <v>0</v>
      </c>
      <c r="BB419" s="48"/>
      <c r="BC419" s="45">
        <v>0</v>
      </c>
      <c r="BD419" s="45">
        <v>0</v>
      </c>
      <c r="BE419" s="45">
        <v>0</v>
      </c>
      <c r="BF419" s="45">
        <v>0</v>
      </c>
      <c r="BG419" s="45"/>
      <c r="BH419" s="46"/>
      <c r="BI419" s="45">
        <v>0</v>
      </c>
      <c r="BJ419" s="45">
        <v>0</v>
      </c>
      <c r="BK419" s="45"/>
      <c r="BL419" s="45"/>
      <c r="BM419" s="45">
        <v>0</v>
      </c>
      <c r="BN419" s="45"/>
      <c r="BO419" s="45"/>
      <c r="BP419" s="46"/>
      <c r="BQ419" s="48"/>
      <c r="BR419" s="52">
        <v>0</v>
      </c>
      <c r="BS419" s="52">
        <v>0</v>
      </c>
    </row>
    <row r="420" spans="2:71" x14ac:dyDescent="0.2">
      <c r="B420" s="56" t="s">
        <v>64</v>
      </c>
      <c r="C420" s="45"/>
      <c r="D420" s="45">
        <v>0</v>
      </c>
      <c r="E420" s="52">
        <v>0</v>
      </c>
      <c r="F420" s="52">
        <v>0</v>
      </c>
      <c r="G420" s="48"/>
      <c r="H420" s="45">
        <v>0</v>
      </c>
      <c r="I420" s="45">
        <v>0</v>
      </c>
      <c r="J420" s="45">
        <v>0</v>
      </c>
      <c r="K420" s="45"/>
      <c r="L420" s="45"/>
      <c r="M420" s="52">
        <v>0</v>
      </c>
      <c r="N420" s="52">
        <v>0</v>
      </c>
      <c r="O420" s="45">
        <v>0</v>
      </c>
      <c r="P420" s="45"/>
      <c r="Q420" s="52"/>
      <c r="R420" s="52">
        <v>0</v>
      </c>
      <c r="S420" s="61">
        <v>0</v>
      </c>
      <c r="T420" s="49"/>
      <c r="U420" s="45"/>
      <c r="V420" s="45"/>
      <c r="W420" s="45"/>
      <c r="X420" s="45"/>
      <c r="Y420" s="45">
        <v>0</v>
      </c>
      <c r="Z420" s="45">
        <v>0</v>
      </c>
      <c r="AA420" s="45"/>
      <c r="AB420" s="45"/>
      <c r="AC420" s="45"/>
      <c r="AD420" s="52"/>
      <c r="AE420" s="52">
        <v>0</v>
      </c>
      <c r="AF420" s="48">
        <v>0</v>
      </c>
      <c r="AG420" s="52">
        <v>0</v>
      </c>
      <c r="AH420" s="52">
        <v>0</v>
      </c>
      <c r="AI420" s="48"/>
      <c r="AJ420" s="48">
        <v>0</v>
      </c>
      <c r="AK420" s="52">
        <v>0</v>
      </c>
      <c r="AL420" s="52">
        <v>0</v>
      </c>
      <c r="AM420" s="48">
        <v>0</v>
      </c>
      <c r="AN420" s="52">
        <v>0</v>
      </c>
      <c r="AO420" s="52">
        <v>0</v>
      </c>
      <c r="AP420" s="48">
        <v>0</v>
      </c>
      <c r="AQ420" s="88">
        <v>0</v>
      </c>
      <c r="AR420" s="52">
        <v>0</v>
      </c>
      <c r="AS420" s="52"/>
      <c r="AT420" s="52"/>
      <c r="AU420" s="48">
        <v>0</v>
      </c>
      <c r="AV420" s="48"/>
      <c r="AW420" s="52"/>
      <c r="AX420" s="52">
        <v>0</v>
      </c>
      <c r="AY420" s="48"/>
      <c r="AZ420" s="52">
        <v>0</v>
      </c>
      <c r="BA420" s="52">
        <v>0</v>
      </c>
      <c r="BB420" s="48"/>
      <c r="BC420" s="45">
        <v>0</v>
      </c>
      <c r="BD420" s="45">
        <v>0</v>
      </c>
      <c r="BE420" s="45">
        <v>0</v>
      </c>
      <c r="BF420" s="45">
        <v>0</v>
      </c>
      <c r="BG420" s="45"/>
      <c r="BH420" s="46"/>
      <c r="BI420" s="45">
        <v>0</v>
      </c>
      <c r="BJ420" s="45">
        <v>0</v>
      </c>
      <c r="BK420" s="45"/>
      <c r="BL420" s="45"/>
      <c r="BM420" s="45">
        <v>0</v>
      </c>
      <c r="BN420" s="45"/>
      <c r="BO420" s="45"/>
      <c r="BP420" s="46"/>
      <c r="BQ420" s="48"/>
      <c r="BR420" s="52">
        <v>0</v>
      </c>
      <c r="BS420" s="52">
        <v>0</v>
      </c>
    </row>
    <row r="421" spans="2:71" x14ac:dyDescent="0.2">
      <c r="B421" s="56" t="s">
        <v>64</v>
      </c>
      <c r="C421" s="45"/>
      <c r="D421" s="45">
        <v>0</v>
      </c>
      <c r="E421" s="52">
        <v>0</v>
      </c>
      <c r="F421" s="52">
        <v>0</v>
      </c>
      <c r="G421" s="48"/>
      <c r="H421" s="45">
        <v>0</v>
      </c>
      <c r="I421" s="45">
        <v>0</v>
      </c>
      <c r="J421" s="45">
        <v>0</v>
      </c>
      <c r="K421" s="45"/>
      <c r="L421" s="45"/>
      <c r="M421" s="52">
        <v>0</v>
      </c>
      <c r="N421" s="52">
        <v>0</v>
      </c>
      <c r="O421" s="45">
        <v>0</v>
      </c>
      <c r="P421" s="45"/>
      <c r="Q421" s="52"/>
      <c r="R421" s="52">
        <v>0</v>
      </c>
      <c r="S421" s="61">
        <v>0</v>
      </c>
      <c r="T421" s="49"/>
      <c r="U421" s="45"/>
      <c r="V421" s="45"/>
      <c r="W421" s="45"/>
      <c r="X421" s="45"/>
      <c r="Y421" s="45">
        <v>0</v>
      </c>
      <c r="Z421" s="45">
        <v>0</v>
      </c>
      <c r="AA421" s="45"/>
      <c r="AB421" s="45"/>
      <c r="AC421" s="45"/>
      <c r="AD421" s="52"/>
      <c r="AE421" s="52">
        <v>0</v>
      </c>
      <c r="AF421" s="48">
        <v>0</v>
      </c>
      <c r="AG421" s="52">
        <v>0</v>
      </c>
      <c r="AH421" s="52">
        <v>0</v>
      </c>
      <c r="AI421" s="48"/>
      <c r="AJ421" s="48">
        <v>0</v>
      </c>
      <c r="AK421" s="52">
        <v>0</v>
      </c>
      <c r="AL421" s="52">
        <v>0</v>
      </c>
      <c r="AM421" s="48">
        <v>0</v>
      </c>
      <c r="AN421" s="52">
        <v>0</v>
      </c>
      <c r="AO421" s="52">
        <v>0</v>
      </c>
      <c r="AP421" s="48">
        <v>0</v>
      </c>
      <c r="AQ421" s="88">
        <v>0</v>
      </c>
      <c r="AR421" s="52">
        <v>0</v>
      </c>
      <c r="AS421" s="52"/>
      <c r="AT421" s="52"/>
      <c r="AU421" s="48">
        <v>0</v>
      </c>
      <c r="AV421" s="48"/>
      <c r="AW421" s="52"/>
      <c r="AX421" s="52">
        <v>0</v>
      </c>
      <c r="AY421" s="48"/>
      <c r="AZ421" s="52">
        <v>0</v>
      </c>
      <c r="BA421" s="52">
        <v>0</v>
      </c>
      <c r="BB421" s="48"/>
      <c r="BC421" s="45">
        <v>0</v>
      </c>
      <c r="BD421" s="45">
        <v>0</v>
      </c>
      <c r="BE421" s="45">
        <v>0</v>
      </c>
      <c r="BF421" s="45">
        <v>0</v>
      </c>
      <c r="BG421" s="45"/>
      <c r="BH421" s="46"/>
      <c r="BI421" s="45">
        <v>0</v>
      </c>
      <c r="BJ421" s="45">
        <v>0</v>
      </c>
      <c r="BK421" s="45"/>
      <c r="BL421" s="45"/>
      <c r="BM421" s="45">
        <v>0</v>
      </c>
      <c r="BN421" s="45"/>
      <c r="BO421" s="45"/>
      <c r="BP421" s="46"/>
      <c r="BQ421" s="48"/>
      <c r="BR421" s="52">
        <v>0</v>
      </c>
      <c r="BS421" s="52">
        <v>0</v>
      </c>
    </row>
    <row r="422" spans="2:71" x14ac:dyDescent="0.2">
      <c r="B422" s="56" t="s">
        <v>64</v>
      </c>
      <c r="C422" s="45"/>
      <c r="D422" s="45">
        <v>0</v>
      </c>
      <c r="E422" s="52">
        <v>0</v>
      </c>
      <c r="F422" s="52">
        <v>0</v>
      </c>
      <c r="G422" s="48"/>
      <c r="H422" s="45">
        <v>0</v>
      </c>
      <c r="I422" s="45">
        <v>0</v>
      </c>
      <c r="J422" s="45">
        <v>0</v>
      </c>
      <c r="K422" s="45"/>
      <c r="L422" s="45"/>
      <c r="M422" s="52">
        <v>0</v>
      </c>
      <c r="N422" s="52">
        <v>0</v>
      </c>
      <c r="O422" s="45">
        <v>0</v>
      </c>
      <c r="P422" s="45"/>
      <c r="Q422" s="52"/>
      <c r="R422" s="52">
        <v>0</v>
      </c>
      <c r="S422" s="61">
        <v>0</v>
      </c>
      <c r="T422" s="49"/>
      <c r="U422" s="45"/>
      <c r="V422" s="45"/>
      <c r="W422" s="45"/>
      <c r="X422" s="45"/>
      <c r="Y422" s="45">
        <v>0</v>
      </c>
      <c r="Z422" s="45">
        <v>0</v>
      </c>
      <c r="AA422" s="45"/>
      <c r="AB422" s="45"/>
      <c r="AC422" s="45"/>
      <c r="AD422" s="52"/>
      <c r="AE422" s="52">
        <v>0</v>
      </c>
      <c r="AF422" s="48">
        <v>0</v>
      </c>
      <c r="AG422" s="52">
        <v>0</v>
      </c>
      <c r="AH422" s="52">
        <v>0</v>
      </c>
      <c r="AI422" s="48"/>
      <c r="AJ422" s="48">
        <v>0</v>
      </c>
      <c r="AK422" s="52">
        <v>0</v>
      </c>
      <c r="AL422" s="52">
        <v>0</v>
      </c>
      <c r="AM422" s="48">
        <v>0</v>
      </c>
      <c r="AN422" s="52">
        <v>0</v>
      </c>
      <c r="AO422" s="52">
        <v>0</v>
      </c>
      <c r="AP422" s="48">
        <v>0</v>
      </c>
      <c r="AQ422" s="88">
        <v>0</v>
      </c>
      <c r="AR422" s="52">
        <v>0</v>
      </c>
      <c r="AS422" s="52"/>
      <c r="AT422" s="52"/>
      <c r="AU422" s="48">
        <v>0</v>
      </c>
      <c r="AV422" s="48"/>
      <c r="AW422" s="52"/>
      <c r="AX422" s="52">
        <v>0</v>
      </c>
      <c r="AY422" s="48"/>
      <c r="AZ422" s="52">
        <v>0</v>
      </c>
      <c r="BA422" s="52">
        <v>0</v>
      </c>
      <c r="BB422" s="48"/>
      <c r="BC422" s="45">
        <v>0</v>
      </c>
      <c r="BD422" s="45">
        <v>0</v>
      </c>
      <c r="BE422" s="45">
        <v>0</v>
      </c>
      <c r="BF422" s="45">
        <v>0</v>
      </c>
      <c r="BG422" s="45"/>
      <c r="BH422" s="46"/>
      <c r="BI422" s="45">
        <v>0</v>
      </c>
      <c r="BJ422" s="45">
        <v>0</v>
      </c>
      <c r="BK422" s="45"/>
      <c r="BL422" s="45"/>
      <c r="BM422" s="45">
        <v>0</v>
      </c>
      <c r="BN422" s="45"/>
      <c r="BO422" s="45"/>
      <c r="BP422" s="46"/>
      <c r="BQ422" s="48"/>
      <c r="BR422" s="52">
        <v>0</v>
      </c>
      <c r="BS422" s="52">
        <v>0</v>
      </c>
    </row>
    <row r="423" spans="2:71" x14ac:dyDescent="0.2">
      <c r="B423" s="56" t="s">
        <v>64</v>
      </c>
      <c r="C423" s="45"/>
      <c r="D423" s="45">
        <v>0</v>
      </c>
      <c r="E423" s="52">
        <v>0</v>
      </c>
      <c r="F423" s="52">
        <v>0</v>
      </c>
      <c r="G423" s="48"/>
      <c r="H423" s="45">
        <v>0</v>
      </c>
      <c r="I423" s="45">
        <v>0</v>
      </c>
      <c r="J423" s="45">
        <v>0</v>
      </c>
      <c r="K423" s="45"/>
      <c r="L423" s="45"/>
      <c r="M423" s="52">
        <v>0</v>
      </c>
      <c r="N423" s="52">
        <v>0</v>
      </c>
      <c r="O423" s="45">
        <v>0</v>
      </c>
      <c r="P423" s="45"/>
      <c r="Q423" s="52"/>
      <c r="R423" s="52">
        <v>0</v>
      </c>
      <c r="S423" s="61">
        <v>0</v>
      </c>
      <c r="T423" s="49"/>
      <c r="U423" s="45"/>
      <c r="V423" s="45"/>
      <c r="W423" s="45"/>
      <c r="X423" s="45"/>
      <c r="Y423" s="45">
        <v>0</v>
      </c>
      <c r="Z423" s="45">
        <v>0</v>
      </c>
      <c r="AA423" s="45"/>
      <c r="AB423" s="45"/>
      <c r="AC423" s="45"/>
      <c r="AD423" s="52"/>
      <c r="AE423" s="52">
        <v>0</v>
      </c>
      <c r="AF423" s="48">
        <v>0</v>
      </c>
      <c r="AG423" s="52">
        <v>0</v>
      </c>
      <c r="AH423" s="52">
        <v>0</v>
      </c>
      <c r="AI423" s="48"/>
      <c r="AJ423" s="48">
        <v>0</v>
      </c>
      <c r="AK423" s="52">
        <v>0</v>
      </c>
      <c r="AL423" s="52">
        <v>0</v>
      </c>
      <c r="AM423" s="48">
        <v>0</v>
      </c>
      <c r="AN423" s="52">
        <v>0</v>
      </c>
      <c r="AO423" s="52">
        <v>0</v>
      </c>
      <c r="AP423" s="48">
        <v>0</v>
      </c>
      <c r="AQ423" s="88">
        <v>0</v>
      </c>
      <c r="AR423" s="52">
        <v>0</v>
      </c>
      <c r="AS423" s="52"/>
      <c r="AT423" s="52"/>
      <c r="AU423" s="48">
        <v>0</v>
      </c>
      <c r="AV423" s="48"/>
      <c r="AW423" s="52"/>
      <c r="AX423" s="52">
        <v>0</v>
      </c>
      <c r="AY423" s="48"/>
      <c r="AZ423" s="52">
        <v>0</v>
      </c>
      <c r="BA423" s="52">
        <v>0</v>
      </c>
      <c r="BB423" s="48"/>
      <c r="BC423" s="45">
        <v>0</v>
      </c>
      <c r="BD423" s="45">
        <v>0</v>
      </c>
      <c r="BE423" s="45">
        <v>0</v>
      </c>
      <c r="BF423" s="45">
        <v>0</v>
      </c>
      <c r="BG423" s="45"/>
      <c r="BH423" s="46"/>
      <c r="BI423" s="45">
        <v>0</v>
      </c>
      <c r="BJ423" s="45">
        <v>0</v>
      </c>
      <c r="BK423" s="45"/>
      <c r="BL423" s="45"/>
      <c r="BM423" s="45">
        <v>0</v>
      </c>
      <c r="BN423" s="45"/>
      <c r="BO423" s="45"/>
      <c r="BP423" s="46"/>
      <c r="BQ423" s="48"/>
      <c r="BR423" s="52">
        <v>0</v>
      </c>
      <c r="BS423" s="52">
        <v>0</v>
      </c>
    </row>
    <row r="424" spans="2:71" x14ac:dyDescent="0.2">
      <c r="B424" s="56" t="s">
        <v>64</v>
      </c>
      <c r="C424" s="45"/>
      <c r="D424" s="45">
        <v>0</v>
      </c>
      <c r="E424" s="52">
        <v>0</v>
      </c>
      <c r="F424" s="52">
        <v>0</v>
      </c>
      <c r="G424" s="48"/>
      <c r="H424" s="45">
        <v>0</v>
      </c>
      <c r="I424" s="45">
        <v>0</v>
      </c>
      <c r="J424" s="45">
        <v>0</v>
      </c>
      <c r="K424" s="45"/>
      <c r="L424" s="45"/>
      <c r="M424" s="52">
        <v>0</v>
      </c>
      <c r="N424" s="52">
        <v>0</v>
      </c>
      <c r="O424" s="45">
        <v>0</v>
      </c>
      <c r="P424" s="45"/>
      <c r="Q424" s="52"/>
      <c r="R424" s="52">
        <v>0</v>
      </c>
      <c r="S424" s="61">
        <v>0</v>
      </c>
      <c r="T424" s="49"/>
      <c r="U424" s="45"/>
      <c r="V424" s="45"/>
      <c r="W424" s="45"/>
      <c r="X424" s="45"/>
      <c r="Y424" s="45">
        <v>0</v>
      </c>
      <c r="Z424" s="45">
        <v>0</v>
      </c>
      <c r="AA424" s="45"/>
      <c r="AB424" s="45"/>
      <c r="AC424" s="45"/>
      <c r="AD424" s="52"/>
      <c r="AE424" s="52">
        <v>0</v>
      </c>
      <c r="AF424" s="48">
        <v>0</v>
      </c>
      <c r="AG424" s="52">
        <v>0</v>
      </c>
      <c r="AH424" s="52">
        <v>0</v>
      </c>
      <c r="AI424" s="48"/>
      <c r="AJ424" s="48">
        <v>0</v>
      </c>
      <c r="AK424" s="52">
        <v>0</v>
      </c>
      <c r="AL424" s="52">
        <v>0</v>
      </c>
      <c r="AM424" s="48">
        <v>0</v>
      </c>
      <c r="AN424" s="52">
        <v>0</v>
      </c>
      <c r="AO424" s="52">
        <v>0</v>
      </c>
      <c r="AP424" s="48">
        <v>0</v>
      </c>
      <c r="AQ424" s="88">
        <v>0</v>
      </c>
      <c r="AR424" s="52">
        <v>0</v>
      </c>
      <c r="AS424" s="52"/>
      <c r="AT424" s="52"/>
      <c r="AU424" s="48">
        <v>0</v>
      </c>
      <c r="AV424" s="48"/>
      <c r="AW424" s="52"/>
      <c r="AX424" s="52">
        <v>0</v>
      </c>
      <c r="AY424" s="48"/>
      <c r="AZ424" s="52">
        <v>0</v>
      </c>
      <c r="BA424" s="52">
        <v>0</v>
      </c>
      <c r="BB424" s="48"/>
      <c r="BC424" s="45">
        <v>0</v>
      </c>
      <c r="BD424" s="45">
        <v>0</v>
      </c>
      <c r="BE424" s="45">
        <v>0</v>
      </c>
      <c r="BF424" s="45">
        <v>0</v>
      </c>
      <c r="BG424" s="45"/>
      <c r="BH424" s="46"/>
      <c r="BI424" s="45">
        <v>0</v>
      </c>
      <c r="BJ424" s="45">
        <v>0</v>
      </c>
      <c r="BK424" s="45"/>
      <c r="BL424" s="45"/>
      <c r="BM424" s="45">
        <v>0</v>
      </c>
      <c r="BN424" s="45"/>
      <c r="BO424" s="45"/>
      <c r="BP424" s="46"/>
      <c r="BQ424" s="48"/>
      <c r="BR424" s="52">
        <v>0</v>
      </c>
      <c r="BS424" s="52">
        <v>0</v>
      </c>
    </row>
    <row r="425" spans="2:71" x14ac:dyDescent="0.2">
      <c r="B425" s="56" t="s">
        <v>64</v>
      </c>
      <c r="C425" s="45"/>
      <c r="D425" s="45">
        <v>0</v>
      </c>
      <c r="E425" s="52">
        <v>0</v>
      </c>
      <c r="F425" s="52">
        <v>0</v>
      </c>
      <c r="G425" s="48"/>
      <c r="H425" s="45">
        <v>0</v>
      </c>
      <c r="I425" s="45">
        <v>0</v>
      </c>
      <c r="J425" s="45">
        <v>0</v>
      </c>
      <c r="K425" s="45"/>
      <c r="L425" s="45"/>
      <c r="M425" s="52">
        <v>0</v>
      </c>
      <c r="N425" s="52">
        <v>0</v>
      </c>
      <c r="O425" s="45">
        <v>0</v>
      </c>
      <c r="P425" s="45"/>
      <c r="Q425" s="52"/>
      <c r="R425" s="52">
        <v>0</v>
      </c>
      <c r="S425" s="61">
        <v>0</v>
      </c>
      <c r="T425" s="49"/>
      <c r="U425" s="45"/>
      <c r="V425" s="45"/>
      <c r="W425" s="45"/>
      <c r="X425" s="45"/>
      <c r="Y425" s="45">
        <v>0</v>
      </c>
      <c r="Z425" s="45">
        <v>0</v>
      </c>
      <c r="AA425" s="45"/>
      <c r="AB425" s="45"/>
      <c r="AC425" s="45"/>
      <c r="AD425" s="52"/>
      <c r="AE425" s="52">
        <v>0</v>
      </c>
      <c r="AF425" s="48">
        <v>0</v>
      </c>
      <c r="AG425" s="52">
        <v>0</v>
      </c>
      <c r="AH425" s="52">
        <v>0</v>
      </c>
      <c r="AI425" s="48"/>
      <c r="AJ425" s="48">
        <v>0</v>
      </c>
      <c r="AK425" s="52">
        <v>0</v>
      </c>
      <c r="AL425" s="52">
        <v>0</v>
      </c>
      <c r="AM425" s="48">
        <v>0</v>
      </c>
      <c r="AN425" s="52">
        <v>0</v>
      </c>
      <c r="AO425" s="52">
        <v>0</v>
      </c>
      <c r="AP425" s="48">
        <v>0</v>
      </c>
      <c r="AQ425" s="88">
        <v>0</v>
      </c>
      <c r="AR425" s="52">
        <v>0</v>
      </c>
      <c r="AS425" s="52"/>
      <c r="AT425" s="52"/>
      <c r="AU425" s="48">
        <v>0</v>
      </c>
      <c r="AV425" s="48"/>
      <c r="AW425" s="52"/>
      <c r="AX425" s="52">
        <v>0</v>
      </c>
      <c r="AY425" s="48"/>
      <c r="AZ425" s="52">
        <v>0</v>
      </c>
      <c r="BA425" s="52">
        <v>0</v>
      </c>
      <c r="BB425" s="48"/>
      <c r="BC425" s="45">
        <v>0</v>
      </c>
      <c r="BD425" s="45">
        <v>0</v>
      </c>
      <c r="BE425" s="45">
        <v>0</v>
      </c>
      <c r="BF425" s="45">
        <v>0</v>
      </c>
      <c r="BG425" s="45"/>
      <c r="BH425" s="46"/>
      <c r="BI425" s="45">
        <v>0</v>
      </c>
      <c r="BJ425" s="45">
        <v>0</v>
      </c>
      <c r="BK425" s="45"/>
      <c r="BL425" s="45"/>
      <c r="BM425" s="45">
        <v>0</v>
      </c>
      <c r="BN425" s="45"/>
      <c r="BO425" s="45"/>
      <c r="BP425" s="46"/>
      <c r="BQ425" s="48"/>
      <c r="BR425" s="52">
        <v>0</v>
      </c>
      <c r="BS425" s="52">
        <v>0</v>
      </c>
    </row>
    <row r="426" spans="2:71" x14ac:dyDescent="0.2">
      <c r="B426" s="56" t="s">
        <v>64</v>
      </c>
      <c r="C426" s="45"/>
      <c r="D426" s="45">
        <v>0</v>
      </c>
      <c r="E426" s="52">
        <v>0</v>
      </c>
      <c r="F426" s="52">
        <v>0</v>
      </c>
      <c r="G426" s="48"/>
      <c r="H426" s="45">
        <v>0</v>
      </c>
      <c r="I426" s="45">
        <v>0</v>
      </c>
      <c r="J426" s="45">
        <v>0</v>
      </c>
      <c r="K426" s="45"/>
      <c r="L426" s="45"/>
      <c r="M426" s="52">
        <v>0</v>
      </c>
      <c r="N426" s="52">
        <v>0</v>
      </c>
      <c r="O426" s="45">
        <v>0</v>
      </c>
      <c r="P426" s="45"/>
      <c r="Q426" s="52"/>
      <c r="R426" s="52">
        <v>0</v>
      </c>
      <c r="S426" s="61">
        <v>0</v>
      </c>
      <c r="T426" s="49"/>
      <c r="U426" s="45"/>
      <c r="V426" s="45"/>
      <c r="W426" s="45"/>
      <c r="X426" s="45"/>
      <c r="Y426" s="45">
        <v>0</v>
      </c>
      <c r="Z426" s="45">
        <v>0</v>
      </c>
      <c r="AA426" s="45"/>
      <c r="AB426" s="45"/>
      <c r="AC426" s="45"/>
      <c r="AD426" s="52"/>
      <c r="AE426" s="52">
        <v>0</v>
      </c>
      <c r="AF426" s="48">
        <v>0</v>
      </c>
      <c r="AG426" s="52">
        <v>0</v>
      </c>
      <c r="AH426" s="52">
        <v>0</v>
      </c>
      <c r="AI426" s="48"/>
      <c r="AJ426" s="48">
        <v>0</v>
      </c>
      <c r="AK426" s="52">
        <v>0</v>
      </c>
      <c r="AL426" s="52">
        <v>0</v>
      </c>
      <c r="AM426" s="48">
        <v>0</v>
      </c>
      <c r="AN426" s="52">
        <v>0</v>
      </c>
      <c r="AO426" s="52">
        <v>0</v>
      </c>
      <c r="AP426" s="48">
        <v>0</v>
      </c>
      <c r="AQ426" s="88">
        <v>0</v>
      </c>
      <c r="AR426" s="52">
        <v>0</v>
      </c>
      <c r="AS426" s="52"/>
      <c r="AT426" s="52"/>
      <c r="AU426" s="48">
        <v>0</v>
      </c>
      <c r="AV426" s="48"/>
      <c r="AW426" s="52"/>
      <c r="AX426" s="52">
        <v>0</v>
      </c>
      <c r="AY426" s="48"/>
      <c r="AZ426" s="52">
        <v>0</v>
      </c>
      <c r="BA426" s="52">
        <v>0</v>
      </c>
      <c r="BB426" s="48"/>
      <c r="BC426" s="45">
        <v>0</v>
      </c>
      <c r="BD426" s="45">
        <v>0</v>
      </c>
      <c r="BE426" s="45">
        <v>0</v>
      </c>
      <c r="BF426" s="45">
        <v>0</v>
      </c>
      <c r="BG426" s="45"/>
      <c r="BH426" s="46"/>
      <c r="BI426" s="45">
        <v>0</v>
      </c>
      <c r="BJ426" s="45">
        <v>0</v>
      </c>
      <c r="BK426" s="45"/>
      <c r="BL426" s="45"/>
      <c r="BM426" s="45">
        <v>0</v>
      </c>
      <c r="BN426" s="45"/>
      <c r="BO426" s="45"/>
      <c r="BP426" s="46"/>
      <c r="BQ426" s="48"/>
      <c r="BR426" s="52">
        <v>0</v>
      </c>
      <c r="BS426" s="52">
        <v>0</v>
      </c>
    </row>
    <row r="427" spans="2:71" x14ac:dyDescent="0.2">
      <c r="B427" s="56" t="s">
        <v>64</v>
      </c>
      <c r="C427" s="45"/>
      <c r="D427" s="45">
        <v>0</v>
      </c>
      <c r="E427" s="52">
        <v>0</v>
      </c>
      <c r="F427" s="52">
        <v>0</v>
      </c>
      <c r="G427" s="48"/>
      <c r="H427" s="45">
        <v>0</v>
      </c>
      <c r="I427" s="45">
        <v>0</v>
      </c>
      <c r="J427" s="45">
        <v>0</v>
      </c>
      <c r="K427" s="45"/>
      <c r="L427" s="45"/>
      <c r="M427" s="52">
        <v>0</v>
      </c>
      <c r="N427" s="52">
        <v>0</v>
      </c>
      <c r="O427" s="45">
        <v>0</v>
      </c>
      <c r="P427" s="45"/>
      <c r="Q427" s="52"/>
      <c r="R427" s="52">
        <v>0</v>
      </c>
      <c r="S427" s="61">
        <v>0</v>
      </c>
      <c r="T427" s="49"/>
      <c r="U427" s="45"/>
      <c r="V427" s="45"/>
      <c r="W427" s="45"/>
      <c r="X427" s="45"/>
      <c r="Y427" s="45">
        <v>0</v>
      </c>
      <c r="Z427" s="45">
        <v>0</v>
      </c>
      <c r="AA427" s="45"/>
      <c r="AB427" s="45"/>
      <c r="AC427" s="45"/>
      <c r="AD427" s="52"/>
      <c r="AE427" s="52">
        <v>0</v>
      </c>
      <c r="AF427" s="48">
        <v>0</v>
      </c>
      <c r="AG427" s="52">
        <v>0</v>
      </c>
      <c r="AH427" s="52">
        <v>0</v>
      </c>
      <c r="AI427" s="48"/>
      <c r="AJ427" s="48">
        <v>0</v>
      </c>
      <c r="AK427" s="52">
        <v>0</v>
      </c>
      <c r="AL427" s="52">
        <v>0</v>
      </c>
      <c r="AM427" s="48">
        <v>0</v>
      </c>
      <c r="AN427" s="52">
        <v>0</v>
      </c>
      <c r="AO427" s="52">
        <v>0</v>
      </c>
      <c r="AP427" s="48">
        <v>0</v>
      </c>
      <c r="AQ427" s="88">
        <v>0</v>
      </c>
      <c r="AR427" s="52">
        <v>0</v>
      </c>
      <c r="AS427" s="52"/>
      <c r="AT427" s="52"/>
      <c r="AU427" s="48">
        <v>0</v>
      </c>
      <c r="AV427" s="48"/>
      <c r="AW427" s="52"/>
      <c r="AX427" s="52">
        <v>0</v>
      </c>
      <c r="AY427" s="48"/>
      <c r="AZ427" s="52">
        <v>0</v>
      </c>
      <c r="BA427" s="52">
        <v>0</v>
      </c>
      <c r="BB427" s="48"/>
      <c r="BC427" s="45">
        <v>0</v>
      </c>
      <c r="BD427" s="45">
        <v>0</v>
      </c>
      <c r="BE427" s="45">
        <v>0</v>
      </c>
      <c r="BF427" s="45">
        <v>0</v>
      </c>
      <c r="BG427" s="45"/>
      <c r="BH427" s="46"/>
      <c r="BI427" s="45">
        <v>0</v>
      </c>
      <c r="BJ427" s="45">
        <v>0</v>
      </c>
      <c r="BK427" s="45"/>
      <c r="BL427" s="45"/>
      <c r="BM427" s="45">
        <v>0</v>
      </c>
      <c r="BN427" s="45"/>
      <c r="BO427" s="45"/>
      <c r="BP427" s="46"/>
      <c r="BQ427" s="48"/>
      <c r="BR427" s="52">
        <v>0</v>
      </c>
      <c r="BS427" s="52">
        <v>0</v>
      </c>
    </row>
    <row r="428" spans="2:71" x14ac:dyDescent="0.2">
      <c r="B428" s="56" t="s">
        <v>64</v>
      </c>
      <c r="C428" s="45"/>
      <c r="D428" s="45">
        <v>0</v>
      </c>
      <c r="E428" s="52">
        <v>0</v>
      </c>
      <c r="F428" s="52">
        <v>0</v>
      </c>
      <c r="G428" s="48"/>
      <c r="H428" s="45">
        <v>0</v>
      </c>
      <c r="I428" s="45">
        <v>0</v>
      </c>
      <c r="J428" s="45">
        <v>0</v>
      </c>
      <c r="K428" s="45"/>
      <c r="L428" s="45"/>
      <c r="M428" s="52">
        <v>0</v>
      </c>
      <c r="N428" s="52">
        <v>0</v>
      </c>
      <c r="O428" s="45">
        <v>0</v>
      </c>
      <c r="P428" s="45"/>
      <c r="Q428" s="52"/>
      <c r="R428" s="52">
        <v>0</v>
      </c>
      <c r="S428" s="61">
        <v>0</v>
      </c>
      <c r="T428" s="49"/>
      <c r="U428" s="45"/>
      <c r="V428" s="45"/>
      <c r="W428" s="45"/>
      <c r="X428" s="45"/>
      <c r="Y428" s="45">
        <v>0</v>
      </c>
      <c r="Z428" s="45">
        <v>0</v>
      </c>
      <c r="AA428" s="45"/>
      <c r="AB428" s="45"/>
      <c r="AC428" s="45"/>
      <c r="AD428" s="52"/>
      <c r="AE428" s="52">
        <v>0</v>
      </c>
      <c r="AF428" s="48">
        <v>0</v>
      </c>
      <c r="AG428" s="52">
        <v>0</v>
      </c>
      <c r="AH428" s="52">
        <v>0</v>
      </c>
      <c r="AI428" s="48"/>
      <c r="AJ428" s="48">
        <v>0</v>
      </c>
      <c r="AK428" s="52">
        <v>0</v>
      </c>
      <c r="AL428" s="52">
        <v>0</v>
      </c>
      <c r="AM428" s="48">
        <v>0</v>
      </c>
      <c r="AN428" s="52">
        <v>0</v>
      </c>
      <c r="AO428" s="52">
        <v>0</v>
      </c>
      <c r="AP428" s="48">
        <v>0</v>
      </c>
      <c r="AQ428" s="88">
        <v>0</v>
      </c>
      <c r="AR428" s="52">
        <v>0</v>
      </c>
      <c r="AS428" s="52"/>
      <c r="AT428" s="52"/>
      <c r="AU428" s="48">
        <v>0</v>
      </c>
      <c r="AV428" s="48"/>
      <c r="AW428" s="52"/>
      <c r="AX428" s="52">
        <v>0</v>
      </c>
      <c r="AY428" s="48"/>
      <c r="AZ428" s="52">
        <v>0</v>
      </c>
      <c r="BA428" s="52">
        <v>0</v>
      </c>
      <c r="BB428" s="48"/>
      <c r="BC428" s="45">
        <v>0</v>
      </c>
      <c r="BD428" s="45">
        <v>0</v>
      </c>
      <c r="BE428" s="45">
        <v>0</v>
      </c>
      <c r="BF428" s="45">
        <v>0</v>
      </c>
      <c r="BG428" s="45"/>
      <c r="BH428" s="46"/>
      <c r="BI428" s="45">
        <v>0</v>
      </c>
      <c r="BJ428" s="45">
        <v>0</v>
      </c>
      <c r="BK428" s="45"/>
      <c r="BL428" s="45"/>
      <c r="BM428" s="45">
        <v>0</v>
      </c>
      <c r="BN428" s="45"/>
      <c r="BO428" s="45"/>
      <c r="BP428" s="46"/>
      <c r="BQ428" s="48"/>
      <c r="BR428" s="52">
        <v>0</v>
      </c>
      <c r="BS428" s="52">
        <v>0</v>
      </c>
    </row>
    <row r="429" spans="2:71" x14ac:dyDescent="0.2">
      <c r="B429" s="56" t="s">
        <v>64</v>
      </c>
      <c r="C429" s="45"/>
      <c r="D429" s="45">
        <v>0</v>
      </c>
      <c r="E429" s="52">
        <v>0</v>
      </c>
      <c r="F429" s="52">
        <v>0</v>
      </c>
      <c r="G429" s="48"/>
      <c r="H429" s="45">
        <v>0</v>
      </c>
      <c r="I429" s="45">
        <v>0</v>
      </c>
      <c r="J429" s="45">
        <v>0</v>
      </c>
      <c r="K429" s="45"/>
      <c r="L429" s="45"/>
      <c r="M429" s="52">
        <v>0</v>
      </c>
      <c r="N429" s="52">
        <v>0</v>
      </c>
      <c r="O429" s="45">
        <v>0</v>
      </c>
      <c r="P429" s="45"/>
      <c r="Q429" s="52"/>
      <c r="R429" s="52">
        <v>0</v>
      </c>
      <c r="S429" s="61">
        <v>0</v>
      </c>
      <c r="T429" s="49"/>
      <c r="U429" s="45"/>
      <c r="V429" s="45"/>
      <c r="W429" s="45"/>
      <c r="X429" s="45"/>
      <c r="Y429" s="45">
        <v>0</v>
      </c>
      <c r="Z429" s="45">
        <v>0</v>
      </c>
      <c r="AA429" s="45"/>
      <c r="AB429" s="45"/>
      <c r="AC429" s="45"/>
      <c r="AD429" s="52"/>
      <c r="AE429" s="52">
        <v>0</v>
      </c>
      <c r="AF429" s="48">
        <v>0</v>
      </c>
      <c r="AG429" s="52">
        <v>0</v>
      </c>
      <c r="AH429" s="52">
        <v>0</v>
      </c>
      <c r="AI429" s="48"/>
      <c r="AJ429" s="48">
        <v>0</v>
      </c>
      <c r="AK429" s="52">
        <v>0</v>
      </c>
      <c r="AL429" s="52">
        <v>0</v>
      </c>
      <c r="AM429" s="48">
        <v>0</v>
      </c>
      <c r="AN429" s="52">
        <v>0</v>
      </c>
      <c r="AO429" s="52">
        <v>0</v>
      </c>
      <c r="AP429" s="48">
        <v>0</v>
      </c>
      <c r="AQ429" s="88">
        <v>0</v>
      </c>
      <c r="AR429" s="52">
        <v>0</v>
      </c>
      <c r="AS429" s="52"/>
      <c r="AT429" s="52"/>
      <c r="AU429" s="48">
        <v>0</v>
      </c>
      <c r="AV429" s="48"/>
      <c r="AW429" s="52"/>
      <c r="AX429" s="52">
        <v>0</v>
      </c>
      <c r="AY429" s="48"/>
      <c r="AZ429" s="52">
        <v>0</v>
      </c>
      <c r="BA429" s="52">
        <v>0</v>
      </c>
      <c r="BB429" s="48"/>
      <c r="BC429" s="45">
        <v>0</v>
      </c>
      <c r="BD429" s="45">
        <v>0</v>
      </c>
      <c r="BE429" s="45">
        <v>0</v>
      </c>
      <c r="BF429" s="45">
        <v>0</v>
      </c>
      <c r="BG429" s="45"/>
      <c r="BH429" s="46"/>
      <c r="BI429" s="45">
        <v>0</v>
      </c>
      <c r="BJ429" s="45">
        <v>0</v>
      </c>
      <c r="BK429" s="45"/>
      <c r="BL429" s="45"/>
      <c r="BM429" s="45">
        <v>0</v>
      </c>
      <c r="BN429" s="45"/>
      <c r="BO429" s="45"/>
      <c r="BP429" s="46"/>
      <c r="BQ429" s="48"/>
      <c r="BR429" s="52">
        <v>0</v>
      </c>
      <c r="BS429" s="52">
        <v>0</v>
      </c>
    </row>
    <row r="430" spans="2:71" x14ac:dyDescent="0.2">
      <c r="B430" s="56" t="s">
        <v>64</v>
      </c>
      <c r="C430" s="45"/>
      <c r="D430" s="45">
        <v>0</v>
      </c>
      <c r="E430" s="52">
        <v>0</v>
      </c>
      <c r="F430" s="52">
        <v>0</v>
      </c>
      <c r="G430" s="48"/>
      <c r="H430" s="45">
        <v>0</v>
      </c>
      <c r="I430" s="45">
        <v>0</v>
      </c>
      <c r="J430" s="45">
        <v>0</v>
      </c>
      <c r="K430" s="45"/>
      <c r="L430" s="45"/>
      <c r="M430" s="52">
        <v>0</v>
      </c>
      <c r="N430" s="52">
        <v>0</v>
      </c>
      <c r="O430" s="45">
        <v>0</v>
      </c>
      <c r="P430" s="45"/>
      <c r="Q430" s="52"/>
      <c r="R430" s="52">
        <v>0</v>
      </c>
      <c r="S430" s="61">
        <v>0</v>
      </c>
      <c r="T430" s="49"/>
      <c r="U430" s="45"/>
      <c r="V430" s="45"/>
      <c r="W430" s="45"/>
      <c r="X430" s="45"/>
      <c r="Y430" s="45">
        <v>0</v>
      </c>
      <c r="Z430" s="45">
        <v>0</v>
      </c>
      <c r="AA430" s="45"/>
      <c r="AB430" s="45"/>
      <c r="AC430" s="45"/>
      <c r="AD430" s="52"/>
      <c r="AE430" s="52">
        <v>0</v>
      </c>
      <c r="AF430" s="48">
        <v>0</v>
      </c>
      <c r="AG430" s="52">
        <v>0</v>
      </c>
      <c r="AH430" s="52">
        <v>0</v>
      </c>
      <c r="AI430" s="48"/>
      <c r="AJ430" s="48">
        <v>0</v>
      </c>
      <c r="AK430" s="52">
        <v>0</v>
      </c>
      <c r="AL430" s="52">
        <v>0</v>
      </c>
      <c r="AM430" s="48">
        <v>0</v>
      </c>
      <c r="AN430" s="52">
        <v>0</v>
      </c>
      <c r="AO430" s="52">
        <v>0</v>
      </c>
      <c r="AP430" s="48">
        <v>0</v>
      </c>
      <c r="AQ430" s="88">
        <v>0</v>
      </c>
      <c r="AR430" s="52">
        <v>0</v>
      </c>
      <c r="AS430" s="52"/>
      <c r="AT430" s="52"/>
      <c r="AU430" s="48">
        <v>0</v>
      </c>
      <c r="AV430" s="48"/>
      <c r="AW430" s="52"/>
      <c r="AX430" s="52">
        <v>0</v>
      </c>
      <c r="AY430" s="48"/>
      <c r="AZ430" s="52">
        <v>0</v>
      </c>
      <c r="BA430" s="52">
        <v>0</v>
      </c>
      <c r="BB430" s="48"/>
      <c r="BC430" s="45">
        <v>0</v>
      </c>
      <c r="BD430" s="45">
        <v>0</v>
      </c>
      <c r="BE430" s="45">
        <v>0</v>
      </c>
      <c r="BF430" s="45">
        <v>0</v>
      </c>
      <c r="BG430" s="45"/>
      <c r="BH430" s="46"/>
      <c r="BI430" s="45">
        <v>0</v>
      </c>
      <c r="BJ430" s="45">
        <v>0</v>
      </c>
      <c r="BK430" s="45"/>
      <c r="BL430" s="45"/>
      <c r="BM430" s="45">
        <v>0</v>
      </c>
      <c r="BN430" s="45"/>
      <c r="BO430" s="45"/>
      <c r="BP430" s="46"/>
      <c r="BQ430" s="48"/>
      <c r="BR430" s="52">
        <v>0</v>
      </c>
      <c r="BS430" s="52">
        <v>0</v>
      </c>
    </row>
    <row r="431" spans="2:71" x14ac:dyDescent="0.2">
      <c r="B431" s="56" t="s">
        <v>64</v>
      </c>
      <c r="C431" s="45"/>
      <c r="D431" s="45">
        <v>0</v>
      </c>
      <c r="E431" s="52">
        <v>0</v>
      </c>
      <c r="F431" s="52">
        <v>0</v>
      </c>
      <c r="G431" s="48"/>
      <c r="H431" s="45">
        <v>0</v>
      </c>
      <c r="I431" s="45">
        <v>0</v>
      </c>
      <c r="J431" s="45">
        <v>0</v>
      </c>
      <c r="K431" s="45"/>
      <c r="L431" s="45"/>
      <c r="M431" s="52">
        <v>0</v>
      </c>
      <c r="N431" s="52">
        <v>0</v>
      </c>
      <c r="O431" s="45">
        <v>0</v>
      </c>
      <c r="P431" s="45"/>
      <c r="Q431" s="52"/>
      <c r="R431" s="52">
        <v>0</v>
      </c>
      <c r="S431" s="61">
        <v>0</v>
      </c>
      <c r="T431" s="49"/>
      <c r="U431" s="45"/>
      <c r="V431" s="45"/>
      <c r="W431" s="45"/>
      <c r="X431" s="45"/>
      <c r="Y431" s="45">
        <v>0</v>
      </c>
      <c r="Z431" s="45">
        <v>0</v>
      </c>
      <c r="AA431" s="45"/>
      <c r="AB431" s="45"/>
      <c r="AC431" s="45"/>
      <c r="AD431" s="52"/>
      <c r="AE431" s="52">
        <v>0</v>
      </c>
      <c r="AF431" s="48">
        <v>0</v>
      </c>
      <c r="AG431" s="52">
        <v>0</v>
      </c>
      <c r="AH431" s="52">
        <v>0</v>
      </c>
      <c r="AI431" s="48"/>
      <c r="AJ431" s="48">
        <v>0</v>
      </c>
      <c r="AK431" s="52">
        <v>0</v>
      </c>
      <c r="AL431" s="52">
        <v>0</v>
      </c>
      <c r="AM431" s="48">
        <v>0</v>
      </c>
      <c r="AN431" s="52">
        <v>0</v>
      </c>
      <c r="AO431" s="52">
        <v>0</v>
      </c>
      <c r="AP431" s="48">
        <v>0</v>
      </c>
      <c r="AQ431" s="88">
        <v>0</v>
      </c>
      <c r="AR431" s="52">
        <v>0</v>
      </c>
      <c r="AS431" s="52"/>
      <c r="AT431" s="52"/>
      <c r="AU431" s="48">
        <v>0</v>
      </c>
      <c r="AV431" s="48"/>
      <c r="AW431" s="52"/>
      <c r="AX431" s="52">
        <v>0</v>
      </c>
      <c r="AY431" s="48"/>
      <c r="AZ431" s="52">
        <v>0</v>
      </c>
      <c r="BA431" s="52">
        <v>0</v>
      </c>
      <c r="BB431" s="48"/>
      <c r="BC431" s="45">
        <v>0</v>
      </c>
      <c r="BD431" s="45">
        <v>0</v>
      </c>
      <c r="BE431" s="45">
        <v>0</v>
      </c>
      <c r="BF431" s="45">
        <v>0</v>
      </c>
      <c r="BG431" s="45"/>
      <c r="BH431" s="46"/>
      <c r="BI431" s="45">
        <v>0</v>
      </c>
      <c r="BJ431" s="45">
        <v>0</v>
      </c>
      <c r="BK431" s="45"/>
      <c r="BL431" s="45"/>
      <c r="BM431" s="45">
        <v>0</v>
      </c>
      <c r="BN431" s="45"/>
      <c r="BO431" s="45"/>
      <c r="BP431" s="46"/>
      <c r="BQ431" s="48"/>
      <c r="BR431" s="52">
        <v>0</v>
      </c>
      <c r="BS431" s="52">
        <v>0</v>
      </c>
    </row>
    <row r="432" spans="2:71" x14ac:dyDescent="0.2">
      <c r="B432" s="56" t="s">
        <v>64</v>
      </c>
      <c r="C432" s="45"/>
      <c r="D432" s="45">
        <v>0</v>
      </c>
      <c r="E432" s="52">
        <v>0</v>
      </c>
      <c r="F432" s="52">
        <v>0</v>
      </c>
      <c r="G432" s="48"/>
      <c r="H432" s="45">
        <v>0</v>
      </c>
      <c r="I432" s="45">
        <v>0</v>
      </c>
      <c r="J432" s="45">
        <v>0</v>
      </c>
      <c r="K432" s="45"/>
      <c r="L432" s="45"/>
      <c r="M432" s="52">
        <v>0</v>
      </c>
      <c r="N432" s="52">
        <v>0</v>
      </c>
      <c r="O432" s="45">
        <v>0</v>
      </c>
      <c r="P432" s="45"/>
      <c r="Q432" s="52"/>
      <c r="R432" s="52">
        <v>0</v>
      </c>
      <c r="S432" s="61">
        <v>0</v>
      </c>
      <c r="T432" s="49"/>
      <c r="U432" s="45"/>
      <c r="V432" s="45"/>
      <c r="W432" s="45"/>
      <c r="X432" s="45"/>
      <c r="Y432" s="45">
        <v>0</v>
      </c>
      <c r="Z432" s="45">
        <v>0</v>
      </c>
      <c r="AA432" s="45"/>
      <c r="AB432" s="45"/>
      <c r="AC432" s="45"/>
      <c r="AD432" s="52"/>
      <c r="AE432" s="52">
        <v>0</v>
      </c>
      <c r="AF432" s="48">
        <v>0</v>
      </c>
      <c r="AG432" s="52">
        <v>0</v>
      </c>
      <c r="AH432" s="52">
        <v>0</v>
      </c>
      <c r="AI432" s="48"/>
      <c r="AJ432" s="48">
        <v>0</v>
      </c>
      <c r="AK432" s="52">
        <v>0</v>
      </c>
      <c r="AL432" s="52">
        <v>0</v>
      </c>
      <c r="AM432" s="48">
        <v>0</v>
      </c>
      <c r="AN432" s="52">
        <v>0</v>
      </c>
      <c r="AO432" s="52">
        <v>0</v>
      </c>
      <c r="AP432" s="48">
        <v>0</v>
      </c>
      <c r="AQ432" s="88">
        <v>0</v>
      </c>
      <c r="AR432" s="52">
        <v>0</v>
      </c>
      <c r="AS432" s="52"/>
      <c r="AT432" s="52"/>
      <c r="AU432" s="48">
        <v>0</v>
      </c>
      <c r="AV432" s="48"/>
      <c r="AW432" s="52"/>
      <c r="AX432" s="52">
        <v>0</v>
      </c>
      <c r="AY432" s="48"/>
      <c r="AZ432" s="52">
        <v>0</v>
      </c>
      <c r="BA432" s="52">
        <v>0</v>
      </c>
      <c r="BB432" s="48"/>
      <c r="BC432" s="45">
        <v>0</v>
      </c>
      <c r="BD432" s="45">
        <v>0</v>
      </c>
      <c r="BE432" s="45">
        <v>0</v>
      </c>
      <c r="BF432" s="45">
        <v>0</v>
      </c>
      <c r="BG432" s="45"/>
      <c r="BH432" s="46"/>
      <c r="BI432" s="45">
        <v>0</v>
      </c>
      <c r="BJ432" s="45">
        <v>0</v>
      </c>
      <c r="BK432" s="45"/>
      <c r="BL432" s="45"/>
      <c r="BM432" s="45">
        <v>0</v>
      </c>
      <c r="BN432" s="45"/>
      <c r="BO432" s="45"/>
      <c r="BP432" s="46"/>
      <c r="BQ432" s="48"/>
      <c r="BR432" s="52">
        <v>0</v>
      </c>
      <c r="BS432" s="52">
        <v>0</v>
      </c>
    </row>
    <row r="433" spans="2:71" x14ac:dyDescent="0.2">
      <c r="B433" s="56" t="s">
        <v>64</v>
      </c>
      <c r="C433" s="45"/>
      <c r="D433" s="45">
        <v>0</v>
      </c>
      <c r="E433" s="52">
        <v>0</v>
      </c>
      <c r="F433" s="52">
        <v>0</v>
      </c>
      <c r="G433" s="48"/>
      <c r="H433" s="45">
        <v>0</v>
      </c>
      <c r="I433" s="45">
        <v>0</v>
      </c>
      <c r="J433" s="45">
        <v>0</v>
      </c>
      <c r="K433" s="45"/>
      <c r="L433" s="45"/>
      <c r="M433" s="52">
        <v>0</v>
      </c>
      <c r="N433" s="52">
        <v>0</v>
      </c>
      <c r="O433" s="45">
        <v>0</v>
      </c>
      <c r="P433" s="45"/>
      <c r="Q433" s="52"/>
      <c r="R433" s="52">
        <v>0</v>
      </c>
      <c r="S433" s="61">
        <v>0</v>
      </c>
      <c r="T433" s="49"/>
      <c r="U433" s="49"/>
      <c r="V433" s="45"/>
      <c r="W433" s="45"/>
      <c r="X433" s="45"/>
      <c r="Y433" s="45">
        <v>0</v>
      </c>
      <c r="Z433" s="45">
        <v>0</v>
      </c>
      <c r="AA433" s="45"/>
      <c r="AB433" s="45"/>
      <c r="AC433" s="45"/>
      <c r="AD433" s="52"/>
      <c r="AE433" s="52">
        <v>0</v>
      </c>
      <c r="AF433" s="48">
        <v>0</v>
      </c>
      <c r="AG433" s="52">
        <v>0</v>
      </c>
      <c r="AH433" s="52">
        <v>0</v>
      </c>
      <c r="AI433" s="48"/>
      <c r="AJ433" s="48">
        <v>0</v>
      </c>
      <c r="AK433" s="52">
        <v>0</v>
      </c>
      <c r="AL433" s="52">
        <v>0</v>
      </c>
      <c r="AM433" s="48">
        <v>0</v>
      </c>
      <c r="AN433" s="52">
        <v>0</v>
      </c>
      <c r="AO433" s="52">
        <v>0</v>
      </c>
      <c r="AP433" s="48">
        <v>0</v>
      </c>
      <c r="AQ433" s="88">
        <v>0</v>
      </c>
      <c r="AR433" s="52">
        <v>0</v>
      </c>
      <c r="AS433" s="52"/>
      <c r="AT433" s="52"/>
      <c r="AU433" s="48">
        <v>0</v>
      </c>
      <c r="AV433" s="48"/>
      <c r="AW433" s="52"/>
      <c r="AX433" s="52">
        <v>0</v>
      </c>
      <c r="AY433" s="48"/>
      <c r="AZ433" s="52">
        <v>0</v>
      </c>
      <c r="BA433" s="52">
        <v>0</v>
      </c>
      <c r="BB433" s="48"/>
      <c r="BC433" s="45">
        <v>0</v>
      </c>
      <c r="BD433" s="45">
        <v>0</v>
      </c>
      <c r="BE433" s="45">
        <v>0</v>
      </c>
      <c r="BF433" s="45">
        <v>0</v>
      </c>
      <c r="BG433" s="45"/>
      <c r="BH433" s="46"/>
      <c r="BI433" s="45">
        <v>0</v>
      </c>
      <c r="BJ433" s="45">
        <v>0</v>
      </c>
      <c r="BK433" s="45"/>
      <c r="BL433" s="45"/>
      <c r="BM433" s="45">
        <v>0</v>
      </c>
      <c r="BN433" s="45"/>
      <c r="BO433" s="45"/>
      <c r="BP433" s="46"/>
      <c r="BQ433" s="48"/>
      <c r="BR433" s="52">
        <v>0</v>
      </c>
      <c r="BS433" s="52">
        <v>0</v>
      </c>
    </row>
    <row r="434" spans="2:71" x14ac:dyDescent="0.2">
      <c r="B434" s="56" t="s">
        <v>64</v>
      </c>
      <c r="C434" s="45"/>
      <c r="D434" s="45">
        <v>0</v>
      </c>
      <c r="E434" s="52">
        <v>0</v>
      </c>
      <c r="F434" s="52">
        <v>0</v>
      </c>
      <c r="G434" s="48"/>
      <c r="H434" s="45">
        <v>0</v>
      </c>
      <c r="I434" s="45">
        <v>0</v>
      </c>
      <c r="J434" s="45">
        <v>0</v>
      </c>
      <c r="K434" s="45"/>
      <c r="L434" s="45"/>
      <c r="M434" s="52">
        <v>0</v>
      </c>
      <c r="N434" s="52">
        <v>0</v>
      </c>
      <c r="O434" s="45">
        <v>0</v>
      </c>
      <c r="P434" s="45"/>
      <c r="Q434" s="52"/>
      <c r="R434" s="52">
        <v>0</v>
      </c>
      <c r="S434" s="61">
        <v>0</v>
      </c>
      <c r="T434" s="49"/>
      <c r="U434" s="49"/>
      <c r="V434" s="45"/>
      <c r="W434" s="45"/>
      <c r="X434" s="45"/>
      <c r="Y434" s="45">
        <v>0</v>
      </c>
      <c r="Z434" s="45">
        <v>0</v>
      </c>
      <c r="AA434" s="45"/>
      <c r="AB434" s="45"/>
      <c r="AC434" s="45"/>
      <c r="AD434" s="52"/>
      <c r="AE434" s="52">
        <v>0</v>
      </c>
      <c r="AF434" s="48">
        <v>0</v>
      </c>
      <c r="AG434" s="52">
        <v>0</v>
      </c>
      <c r="AH434" s="52">
        <v>0</v>
      </c>
      <c r="AI434" s="48"/>
      <c r="AJ434" s="48">
        <v>0</v>
      </c>
      <c r="AK434" s="52">
        <v>0</v>
      </c>
      <c r="AL434" s="52">
        <v>0</v>
      </c>
      <c r="AM434" s="48">
        <v>0</v>
      </c>
      <c r="AN434" s="52">
        <v>0</v>
      </c>
      <c r="AO434" s="52">
        <v>0</v>
      </c>
      <c r="AP434" s="48">
        <v>0</v>
      </c>
      <c r="AQ434" s="88">
        <v>0</v>
      </c>
      <c r="AR434" s="52">
        <v>0</v>
      </c>
      <c r="AS434" s="52"/>
      <c r="AT434" s="52"/>
      <c r="AU434" s="48">
        <v>0</v>
      </c>
      <c r="AV434" s="48"/>
      <c r="AW434" s="52"/>
      <c r="AX434" s="52">
        <v>0</v>
      </c>
      <c r="AY434" s="48"/>
      <c r="AZ434" s="52">
        <v>0</v>
      </c>
      <c r="BA434" s="52">
        <v>0</v>
      </c>
      <c r="BB434" s="48"/>
      <c r="BC434" s="45">
        <v>0</v>
      </c>
      <c r="BD434" s="45">
        <v>0</v>
      </c>
      <c r="BE434" s="45">
        <v>0</v>
      </c>
      <c r="BF434" s="45">
        <v>0</v>
      </c>
      <c r="BG434" s="45"/>
      <c r="BH434" s="46"/>
      <c r="BI434" s="45">
        <v>0</v>
      </c>
      <c r="BJ434" s="45">
        <v>0</v>
      </c>
      <c r="BK434" s="45"/>
      <c r="BL434" s="45"/>
      <c r="BM434" s="45">
        <v>0</v>
      </c>
      <c r="BN434" s="45"/>
      <c r="BO434" s="45"/>
      <c r="BP434" s="46"/>
      <c r="BQ434" s="48"/>
      <c r="BR434" s="52">
        <v>0</v>
      </c>
      <c r="BS434" s="52">
        <v>0</v>
      </c>
    </row>
    <row r="435" spans="2:71" x14ac:dyDescent="0.2">
      <c r="B435" s="56" t="s">
        <v>64</v>
      </c>
      <c r="C435" s="45"/>
      <c r="D435" s="45">
        <v>0</v>
      </c>
      <c r="E435" s="52">
        <v>0</v>
      </c>
      <c r="F435" s="52">
        <v>0</v>
      </c>
      <c r="G435" s="48"/>
      <c r="H435" s="45">
        <v>0</v>
      </c>
      <c r="I435" s="45">
        <v>0</v>
      </c>
      <c r="J435" s="45">
        <v>0</v>
      </c>
      <c r="K435" s="45"/>
      <c r="L435" s="45"/>
      <c r="M435" s="52">
        <v>0</v>
      </c>
      <c r="N435" s="52">
        <v>0</v>
      </c>
      <c r="O435" s="45">
        <v>0</v>
      </c>
      <c r="P435" s="45"/>
      <c r="Q435" s="52"/>
      <c r="R435" s="52">
        <v>0</v>
      </c>
      <c r="S435" s="61">
        <v>0</v>
      </c>
      <c r="T435" s="49"/>
      <c r="U435" s="49"/>
      <c r="V435" s="45"/>
      <c r="W435" s="45"/>
      <c r="X435" s="45"/>
      <c r="Y435" s="45">
        <v>0</v>
      </c>
      <c r="Z435" s="45">
        <v>0</v>
      </c>
      <c r="AA435" s="45"/>
      <c r="AB435" s="45"/>
      <c r="AC435" s="45"/>
      <c r="AD435" s="52"/>
      <c r="AE435" s="52">
        <v>0</v>
      </c>
      <c r="AF435" s="48">
        <v>0</v>
      </c>
      <c r="AG435" s="52">
        <v>0</v>
      </c>
      <c r="AH435" s="52">
        <v>0</v>
      </c>
      <c r="AI435" s="48"/>
      <c r="AJ435" s="48">
        <v>0</v>
      </c>
      <c r="AK435" s="52">
        <v>0</v>
      </c>
      <c r="AL435" s="52">
        <v>0</v>
      </c>
      <c r="AM435" s="48">
        <v>0</v>
      </c>
      <c r="AN435" s="52">
        <v>0</v>
      </c>
      <c r="AO435" s="52">
        <v>0</v>
      </c>
      <c r="AP435" s="48">
        <v>0</v>
      </c>
      <c r="AQ435" s="88">
        <v>0</v>
      </c>
      <c r="AR435" s="52">
        <v>0</v>
      </c>
      <c r="AS435" s="52"/>
      <c r="AT435" s="52"/>
      <c r="AU435" s="48">
        <v>0</v>
      </c>
      <c r="AV435" s="48"/>
      <c r="AW435" s="52"/>
      <c r="AX435" s="52">
        <v>0</v>
      </c>
      <c r="AY435" s="48"/>
      <c r="AZ435" s="52">
        <v>0</v>
      </c>
      <c r="BA435" s="52">
        <v>0</v>
      </c>
      <c r="BB435" s="48"/>
      <c r="BC435" s="45">
        <v>0</v>
      </c>
      <c r="BD435" s="45">
        <v>0</v>
      </c>
      <c r="BE435" s="45">
        <v>0</v>
      </c>
      <c r="BF435" s="45">
        <v>0</v>
      </c>
      <c r="BG435" s="45"/>
      <c r="BH435" s="46"/>
      <c r="BI435" s="45">
        <v>0</v>
      </c>
      <c r="BJ435" s="45">
        <v>0</v>
      </c>
      <c r="BK435" s="45"/>
      <c r="BL435" s="45"/>
      <c r="BM435" s="45">
        <v>0</v>
      </c>
      <c r="BN435" s="45"/>
      <c r="BO435" s="45"/>
      <c r="BP435" s="46"/>
      <c r="BQ435" s="48"/>
      <c r="BR435" s="52">
        <v>0</v>
      </c>
      <c r="BS435" s="52">
        <v>0</v>
      </c>
    </row>
    <row r="436" spans="2:71" x14ac:dyDescent="0.2">
      <c r="B436" s="56" t="s">
        <v>64</v>
      </c>
      <c r="C436" s="45"/>
      <c r="D436" s="45">
        <v>0</v>
      </c>
      <c r="E436" s="52">
        <v>0</v>
      </c>
      <c r="F436" s="52">
        <v>0</v>
      </c>
      <c r="G436" s="48"/>
      <c r="H436" s="45">
        <v>0</v>
      </c>
      <c r="I436" s="45">
        <v>0</v>
      </c>
      <c r="J436" s="45">
        <v>0</v>
      </c>
      <c r="K436" s="45"/>
      <c r="L436" s="45"/>
      <c r="M436" s="52">
        <v>0</v>
      </c>
      <c r="N436" s="52">
        <v>0</v>
      </c>
      <c r="O436" s="45">
        <v>0</v>
      </c>
      <c r="P436" s="45"/>
      <c r="Q436" s="52"/>
      <c r="R436" s="52">
        <v>0</v>
      </c>
      <c r="S436" s="61">
        <v>0</v>
      </c>
      <c r="T436" s="49"/>
      <c r="U436" s="49"/>
      <c r="V436" s="45"/>
      <c r="W436" s="45"/>
      <c r="X436" s="45"/>
      <c r="Y436" s="45">
        <v>0</v>
      </c>
      <c r="Z436" s="45">
        <v>0</v>
      </c>
      <c r="AA436" s="45"/>
      <c r="AB436" s="45"/>
      <c r="AC436" s="45"/>
      <c r="AD436" s="52"/>
      <c r="AE436" s="52">
        <v>0</v>
      </c>
      <c r="AF436" s="48">
        <v>0</v>
      </c>
      <c r="AG436" s="52">
        <v>0</v>
      </c>
      <c r="AH436" s="52">
        <v>0</v>
      </c>
      <c r="AI436" s="48"/>
      <c r="AJ436" s="48">
        <v>0</v>
      </c>
      <c r="AK436" s="52">
        <v>0</v>
      </c>
      <c r="AL436" s="52">
        <v>0</v>
      </c>
      <c r="AM436" s="48">
        <v>0</v>
      </c>
      <c r="AN436" s="52">
        <v>0</v>
      </c>
      <c r="AO436" s="52">
        <v>0</v>
      </c>
      <c r="AP436" s="48">
        <v>0</v>
      </c>
      <c r="AQ436" s="88">
        <v>0</v>
      </c>
      <c r="AR436" s="52">
        <v>0</v>
      </c>
      <c r="AS436" s="52"/>
      <c r="AT436" s="52"/>
      <c r="AU436" s="48">
        <v>0</v>
      </c>
      <c r="AV436" s="48"/>
      <c r="AW436" s="52"/>
      <c r="AX436" s="52">
        <v>0</v>
      </c>
      <c r="AY436" s="48"/>
      <c r="AZ436" s="52">
        <v>0</v>
      </c>
      <c r="BA436" s="52">
        <v>0</v>
      </c>
      <c r="BB436" s="48"/>
      <c r="BC436" s="45">
        <v>0</v>
      </c>
      <c r="BD436" s="45">
        <v>0</v>
      </c>
      <c r="BE436" s="45">
        <v>0</v>
      </c>
      <c r="BF436" s="45">
        <v>0</v>
      </c>
      <c r="BG436" s="45"/>
      <c r="BH436" s="46"/>
      <c r="BI436" s="45">
        <v>0</v>
      </c>
      <c r="BJ436" s="45">
        <v>0</v>
      </c>
      <c r="BK436" s="45"/>
      <c r="BL436" s="45"/>
      <c r="BM436" s="45">
        <v>0</v>
      </c>
      <c r="BN436" s="45"/>
      <c r="BO436" s="45"/>
      <c r="BP436" s="46"/>
      <c r="BQ436" s="48"/>
      <c r="BR436" s="52">
        <v>0</v>
      </c>
      <c r="BS436" s="52">
        <v>0</v>
      </c>
    </row>
    <row r="437" spans="2:71" x14ac:dyDescent="0.2">
      <c r="B437" s="56" t="s">
        <v>64</v>
      </c>
      <c r="C437" s="45"/>
      <c r="D437" s="45">
        <v>0</v>
      </c>
      <c r="E437" s="52">
        <v>0</v>
      </c>
      <c r="F437" s="52">
        <v>0</v>
      </c>
      <c r="G437" s="48"/>
      <c r="H437" s="45">
        <v>0</v>
      </c>
      <c r="I437" s="45">
        <v>0</v>
      </c>
      <c r="J437" s="45">
        <v>0</v>
      </c>
      <c r="K437" s="45"/>
      <c r="L437" s="45"/>
      <c r="M437" s="52">
        <v>0</v>
      </c>
      <c r="N437" s="52">
        <v>0</v>
      </c>
      <c r="O437" s="45">
        <v>0</v>
      </c>
      <c r="P437" s="45"/>
      <c r="Q437" s="52"/>
      <c r="R437" s="52">
        <v>0</v>
      </c>
      <c r="S437" s="61">
        <v>0</v>
      </c>
      <c r="T437" s="49"/>
      <c r="U437" s="49"/>
      <c r="V437" s="45"/>
      <c r="W437" s="45"/>
      <c r="X437" s="45"/>
      <c r="Y437" s="45">
        <v>0</v>
      </c>
      <c r="Z437" s="45">
        <v>0</v>
      </c>
      <c r="AA437" s="45"/>
      <c r="AB437" s="45"/>
      <c r="AC437" s="45"/>
      <c r="AD437" s="52"/>
      <c r="AE437" s="52">
        <v>0</v>
      </c>
      <c r="AF437" s="48">
        <v>0</v>
      </c>
      <c r="AG437" s="52">
        <v>0</v>
      </c>
      <c r="AH437" s="52">
        <v>0</v>
      </c>
      <c r="AI437" s="48"/>
      <c r="AJ437" s="48">
        <v>0</v>
      </c>
      <c r="AK437" s="52">
        <v>0</v>
      </c>
      <c r="AL437" s="52">
        <v>0</v>
      </c>
      <c r="AM437" s="48">
        <v>0</v>
      </c>
      <c r="AN437" s="52">
        <v>0</v>
      </c>
      <c r="AO437" s="52">
        <v>0</v>
      </c>
      <c r="AP437" s="48">
        <v>0</v>
      </c>
      <c r="AQ437" s="88">
        <v>0</v>
      </c>
      <c r="AR437" s="52">
        <v>0</v>
      </c>
      <c r="AS437" s="52"/>
      <c r="AT437" s="52"/>
      <c r="AU437" s="48">
        <v>0</v>
      </c>
      <c r="AV437" s="48"/>
      <c r="AW437" s="52"/>
      <c r="AX437" s="52">
        <v>0</v>
      </c>
      <c r="AY437" s="48"/>
      <c r="AZ437" s="52">
        <v>0</v>
      </c>
      <c r="BA437" s="52">
        <v>0</v>
      </c>
      <c r="BB437" s="48"/>
      <c r="BC437" s="45">
        <v>0</v>
      </c>
      <c r="BD437" s="45">
        <v>0</v>
      </c>
      <c r="BE437" s="45">
        <v>0</v>
      </c>
      <c r="BF437" s="45">
        <v>0</v>
      </c>
      <c r="BG437" s="45"/>
      <c r="BH437" s="46"/>
      <c r="BI437" s="45">
        <v>0</v>
      </c>
      <c r="BJ437" s="45">
        <v>0</v>
      </c>
      <c r="BK437" s="45"/>
      <c r="BL437" s="45"/>
      <c r="BM437" s="45">
        <v>0</v>
      </c>
      <c r="BN437" s="45"/>
      <c r="BO437" s="45"/>
      <c r="BP437" s="46"/>
      <c r="BQ437" s="48"/>
      <c r="BR437" s="52">
        <v>0</v>
      </c>
      <c r="BS437" s="52">
        <v>0</v>
      </c>
    </row>
    <row r="438" spans="2:71" x14ac:dyDescent="0.2">
      <c r="B438" s="56" t="s">
        <v>64</v>
      </c>
      <c r="C438" s="45"/>
      <c r="D438" s="45">
        <v>0</v>
      </c>
      <c r="E438" s="52">
        <v>0</v>
      </c>
      <c r="F438" s="52">
        <v>0</v>
      </c>
      <c r="G438" s="48"/>
      <c r="H438" s="45">
        <v>0</v>
      </c>
      <c r="I438" s="45">
        <v>0</v>
      </c>
      <c r="J438" s="45">
        <v>0</v>
      </c>
      <c r="K438" s="45"/>
      <c r="L438" s="45"/>
      <c r="M438" s="52">
        <v>0</v>
      </c>
      <c r="N438" s="52">
        <v>0</v>
      </c>
      <c r="O438" s="45">
        <v>0</v>
      </c>
      <c r="P438" s="45"/>
      <c r="Q438" s="52"/>
      <c r="R438" s="52">
        <v>0</v>
      </c>
      <c r="S438" s="61">
        <v>0</v>
      </c>
      <c r="T438" s="49"/>
      <c r="U438" s="49"/>
      <c r="V438" s="45"/>
      <c r="W438" s="45"/>
      <c r="X438" s="45"/>
      <c r="Y438" s="45">
        <v>0</v>
      </c>
      <c r="Z438" s="45">
        <v>0</v>
      </c>
      <c r="AA438" s="45"/>
      <c r="AB438" s="45"/>
      <c r="AC438" s="45"/>
      <c r="AD438" s="52"/>
      <c r="AE438" s="52">
        <v>0</v>
      </c>
      <c r="AF438" s="48">
        <v>0</v>
      </c>
      <c r="AG438" s="52">
        <v>0</v>
      </c>
      <c r="AH438" s="52">
        <v>0</v>
      </c>
      <c r="AI438" s="48"/>
      <c r="AJ438" s="48">
        <v>0</v>
      </c>
      <c r="AK438" s="52">
        <v>0</v>
      </c>
      <c r="AL438" s="52">
        <v>0</v>
      </c>
      <c r="AM438" s="48">
        <v>0</v>
      </c>
      <c r="AN438" s="52">
        <v>0</v>
      </c>
      <c r="AO438" s="52">
        <v>0</v>
      </c>
      <c r="AP438" s="48">
        <v>0</v>
      </c>
      <c r="AQ438" s="88">
        <v>0</v>
      </c>
      <c r="AR438" s="52">
        <v>0</v>
      </c>
      <c r="AS438" s="52"/>
      <c r="AT438" s="52"/>
      <c r="AU438" s="48">
        <v>0</v>
      </c>
      <c r="AV438" s="48"/>
      <c r="AW438" s="52"/>
      <c r="AX438" s="52">
        <v>0</v>
      </c>
      <c r="AY438" s="48"/>
      <c r="AZ438" s="52">
        <v>0</v>
      </c>
      <c r="BA438" s="52">
        <v>0</v>
      </c>
      <c r="BB438" s="48"/>
      <c r="BC438" s="45">
        <v>0</v>
      </c>
      <c r="BD438" s="45">
        <v>0</v>
      </c>
      <c r="BE438" s="45">
        <v>0</v>
      </c>
      <c r="BF438" s="45">
        <v>0</v>
      </c>
      <c r="BG438" s="45"/>
      <c r="BH438" s="46"/>
      <c r="BI438" s="45">
        <v>0</v>
      </c>
      <c r="BJ438" s="45">
        <v>0</v>
      </c>
      <c r="BK438" s="45"/>
      <c r="BL438" s="45"/>
      <c r="BM438" s="45">
        <v>0</v>
      </c>
      <c r="BN438" s="45"/>
      <c r="BO438" s="45"/>
      <c r="BP438" s="46"/>
      <c r="BQ438" s="48"/>
      <c r="BR438" s="52">
        <v>0</v>
      </c>
      <c r="BS438" s="52">
        <v>0</v>
      </c>
    </row>
    <row r="439" spans="2:71" x14ac:dyDescent="0.2">
      <c r="B439" s="56" t="s">
        <v>64</v>
      </c>
      <c r="C439" s="45"/>
      <c r="D439" s="45">
        <v>0</v>
      </c>
      <c r="E439" s="52">
        <v>0</v>
      </c>
      <c r="F439" s="52">
        <v>0</v>
      </c>
      <c r="G439" s="48"/>
      <c r="H439" s="45">
        <v>0</v>
      </c>
      <c r="I439" s="45">
        <v>0</v>
      </c>
      <c r="J439" s="45">
        <v>0</v>
      </c>
      <c r="K439" s="45"/>
      <c r="L439" s="45"/>
      <c r="M439" s="52">
        <v>0</v>
      </c>
      <c r="N439" s="52">
        <v>0</v>
      </c>
      <c r="O439" s="45">
        <v>0</v>
      </c>
      <c r="P439" s="45"/>
      <c r="Q439" s="52"/>
      <c r="R439" s="52">
        <v>0</v>
      </c>
      <c r="S439" s="61">
        <v>0</v>
      </c>
      <c r="T439" s="49"/>
      <c r="U439" s="49"/>
      <c r="V439" s="45"/>
      <c r="W439" s="45"/>
      <c r="X439" s="45"/>
      <c r="Y439" s="45">
        <v>0</v>
      </c>
      <c r="Z439" s="45">
        <v>0</v>
      </c>
      <c r="AA439" s="45"/>
      <c r="AB439" s="45"/>
      <c r="AC439" s="45"/>
      <c r="AD439" s="52"/>
      <c r="AE439" s="52">
        <v>0</v>
      </c>
      <c r="AF439" s="48">
        <v>0</v>
      </c>
      <c r="AG439" s="52">
        <v>0</v>
      </c>
      <c r="AH439" s="52">
        <v>0</v>
      </c>
      <c r="AI439" s="48"/>
      <c r="AJ439" s="48">
        <v>0</v>
      </c>
      <c r="AK439" s="52">
        <v>0</v>
      </c>
      <c r="AL439" s="52">
        <v>0</v>
      </c>
      <c r="AM439" s="48">
        <v>0</v>
      </c>
      <c r="AN439" s="52">
        <v>0</v>
      </c>
      <c r="AO439" s="52">
        <v>0</v>
      </c>
      <c r="AP439" s="48">
        <v>0</v>
      </c>
      <c r="AQ439" s="88">
        <v>0</v>
      </c>
      <c r="AR439" s="52">
        <v>0</v>
      </c>
      <c r="AS439" s="52"/>
      <c r="AT439" s="52"/>
      <c r="AU439" s="48">
        <v>0</v>
      </c>
      <c r="AV439" s="48"/>
      <c r="AW439" s="52"/>
      <c r="AX439" s="52">
        <v>0</v>
      </c>
      <c r="AY439" s="48"/>
      <c r="AZ439" s="52">
        <v>0</v>
      </c>
      <c r="BA439" s="52">
        <v>0</v>
      </c>
      <c r="BB439" s="48"/>
      <c r="BC439" s="45">
        <v>0</v>
      </c>
      <c r="BD439" s="45">
        <v>0</v>
      </c>
      <c r="BE439" s="45">
        <v>0</v>
      </c>
      <c r="BF439" s="45">
        <v>0</v>
      </c>
      <c r="BG439" s="45"/>
      <c r="BH439" s="46"/>
      <c r="BI439" s="45">
        <v>0</v>
      </c>
      <c r="BJ439" s="45">
        <v>0</v>
      </c>
      <c r="BK439" s="45"/>
      <c r="BL439" s="45"/>
      <c r="BM439" s="45">
        <v>0</v>
      </c>
      <c r="BN439" s="45"/>
      <c r="BO439" s="45"/>
      <c r="BP439" s="46"/>
      <c r="BQ439" s="48"/>
      <c r="BR439" s="52">
        <v>0</v>
      </c>
      <c r="BS439" s="52">
        <v>0</v>
      </c>
    </row>
    <row r="440" spans="2:71" x14ac:dyDescent="0.2">
      <c r="B440" s="56" t="s">
        <v>64</v>
      </c>
      <c r="C440" s="45"/>
      <c r="D440" s="45">
        <v>0</v>
      </c>
      <c r="E440" s="52">
        <v>0</v>
      </c>
      <c r="F440" s="52">
        <v>0</v>
      </c>
      <c r="G440" s="48"/>
      <c r="H440" s="45">
        <v>0</v>
      </c>
      <c r="I440" s="45">
        <v>0</v>
      </c>
      <c r="J440" s="45">
        <v>0</v>
      </c>
      <c r="K440" s="45"/>
      <c r="L440" s="45"/>
      <c r="M440" s="52">
        <v>0</v>
      </c>
      <c r="N440" s="52">
        <v>0</v>
      </c>
      <c r="O440" s="45">
        <v>0</v>
      </c>
      <c r="P440" s="45"/>
      <c r="Q440" s="52"/>
      <c r="R440" s="52">
        <v>0</v>
      </c>
      <c r="S440" s="61">
        <v>0</v>
      </c>
      <c r="T440" s="49"/>
      <c r="U440" s="49"/>
      <c r="V440" s="45"/>
      <c r="W440" s="45"/>
      <c r="X440" s="45"/>
      <c r="Y440" s="45">
        <v>0</v>
      </c>
      <c r="Z440" s="45">
        <v>0</v>
      </c>
      <c r="AA440" s="45"/>
      <c r="AB440" s="45"/>
      <c r="AC440" s="45"/>
      <c r="AD440" s="52"/>
      <c r="AE440" s="52">
        <v>0</v>
      </c>
      <c r="AF440" s="48">
        <v>0</v>
      </c>
      <c r="AG440" s="52">
        <v>0</v>
      </c>
      <c r="AH440" s="52">
        <v>0</v>
      </c>
      <c r="AI440" s="48"/>
      <c r="AJ440" s="48">
        <v>0</v>
      </c>
      <c r="AK440" s="52">
        <v>0</v>
      </c>
      <c r="AL440" s="52">
        <v>0</v>
      </c>
      <c r="AM440" s="48">
        <v>0</v>
      </c>
      <c r="AN440" s="52">
        <v>0</v>
      </c>
      <c r="AO440" s="52">
        <v>0</v>
      </c>
      <c r="AP440" s="48">
        <v>0</v>
      </c>
      <c r="AQ440" s="88">
        <v>0</v>
      </c>
      <c r="AR440" s="52">
        <v>0</v>
      </c>
      <c r="AS440" s="52"/>
      <c r="AT440" s="52"/>
      <c r="AU440" s="48">
        <v>0</v>
      </c>
      <c r="AV440" s="48"/>
      <c r="AW440" s="52"/>
      <c r="AX440" s="52">
        <v>0</v>
      </c>
      <c r="AY440" s="48"/>
      <c r="AZ440" s="52">
        <v>0</v>
      </c>
      <c r="BA440" s="52">
        <v>0</v>
      </c>
      <c r="BB440" s="48"/>
      <c r="BC440" s="45">
        <v>0</v>
      </c>
      <c r="BD440" s="45">
        <v>0</v>
      </c>
      <c r="BE440" s="45">
        <v>0</v>
      </c>
      <c r="BF440" s="45">
        <v>0</v>
      </c>
      <c r="BG440" s="45"/>
      <c r="BH440" s="46"/>
      <c r="BI440" s="45">
        <v>0</v>
      </c>
      <c r="BJ440" s="45">
        <v>0</v>
      </c>
      <c r="BK440" s="45"/>
      <c r="BL440" s="45"/>
      <c r="BM440" s="45">
        <v>0</v>
      </c>
      <c r="BN440" s="45"/>
      <c r="BO440" s="45"/>
      <c r="BP440" s="46"/>
      <c r="BQ440" s="48"/>
      <c r="BR440" s="52">
        <v>0</v>
      </c>
      <c r="BS440" s="52">
        <v>0</v>
      </c>
    </row>
    <row r="441" spans="2:71" x14ac:dyDescent="0.2">
      <c r="B441" s="56" t="s">
        <v>64</v>
      </c>
      <c r="C441" s="45"/>
      <c r="D441" s="45">
        <v>0</v>
      </c>
      <c r="E441" s="52">
        <v>0</v>
      </c>
      <c r="F441" s="52">
        <v>0</v>
      </c>
      <c r="G441" s="48"/>
      <c r="H441" s="45">
        <v>0</v>
      </c>
      <c r="I441" s="45">
        <v>0</v>
      </c>
      <c r="J441" s="45">
        <v>0</v>
      </c>
      <c r="K441" s="45"/>
      <c r="L441" s="45"/>
      <c r="M441" s="52">
        <v>0</v>
      </c>
      <c r="N441" s="52">
        <v>0</v>
      </c>
      <c r="O441" s="45">
        <v>0</v>
      </c>
      <c r="P441" s="45"/>
      <c r="Q441" s="52"/>
      <c r="R441" s="52">
        <v>0</v>
      </c>
      <c r="S441" s="61">
        <v>0</v>
      </c>
      <c r="T441" s="49"/>
      <c r="U441" s="49"/>
      <c r="V441" s="45"/>
      <c r="W441" s="45"/>
      <c r="X441" s="45"/>
      <c r="Y441" s="45">
        <v>0</v>
      </c>
      <c r="Z441" s="45">
        <v>0</v>
      </c>
      <c r="AA441" s="45"/>
      <c r="AB441" s="45"/>
      <c r="AC441" s="45"/>
      <c r="AD441" s="52"/>
      <c r="AE441" s="52">
        <v>0</v>
      </c>
      <c r="AF441" s="48">
        <v>0</v>
      </c>
      <c r="AG441" s="52">
        <v>0</v>
      </c>
      <c r="AH441" s="52">
        <v>0</v>
      </c>
      <c r="AI441" s="48"/>
      <c r="AJ441" s="48">
        <v>0</v>
      </c>
      <c r="AK441" s="52">
        <v>0</v>
      </c>
      <c r="AL441" s="52">
        <v>0</v>
      </c>
      <c r="AM441" s="48">
        <v>0</v>
      </c>
      <c r="AN441" s="52">
        <v>0</v>
      </c>
      <c r="AO441" s="52">
        <v>0</v>
      </c>
      <c r="AP441" s="48">
        <v>0</v>
      </c>
      <c r="AQ441" s="88">
        <v>0</v>
      </c>
      <c r="AR441" s="52">
        <v>0</v>
      </c>
      <c r="AS441" s="52"/>
      <c r="AT441" s="52"/>
      <c r="AU441" s="48">
        <v>0</v>
      </c>
      <c r="AV441" s="48"/>
      <c r="AW441" s="52"/>
      <c r="AX441" s="52">
        <v>0</v>
      </c>
      <c r="AY441" s="48"/>
      <c r="AZ441" s="52">
        <v>0</v>
      </c>
      <c r="BA441" s="52">
        <v>0</v>
      </c>
      <c r="BB441" s="48"/>
      <c r="BC441" s="45">
        <v>0</v>
      </c>
      <c r="BD441" s="45">
        <v>0</v>
      </c>
      <c r="BE441" s="45">
        <v>0</v>
      </c>
      <c r="BF441" s="45">
        <v>0</v>
      </c>
      <c r="BG441" s="45"/>
      <c r="BH441" s="46"/>
      <c r="BI441" s="45">
        <v>0</v>
      </c>
      <c r="BJ441" s="45">
        <v>0</v>
      </c>
      <c r="BK441" s="45"/>
      <c r="BL441" s="45"/>
      <c r="BM441" s="45">
        <v>0</v>
      </c>
      <c r="BN441" s="45"/>
      <c r="BO441" s="45"/>
      <c r="BP441" s="46"/>
      <c r="BQ441" s="48"/>
      <c r="BR441" s="52">
        <v>0</v>
      </c>
      <c r="BS441" s="52">
        <v>0</v>
      </c>
    </row>
    <row r="442" spans="2:71" x14ac:dyDescent="0.2">
      <c r="B442" s="56" t="s">
        <v>64</v>
      </c>
      <c r="C442" s="45"/>
      <c r="D442" s="45">
        <v>0</v>
      </c>
      <c r="E442" s="52">
        <v>0</v>
      </c>
      <c r="F442" s="52">
        <v>0</v>
      </c>
      <c r="G442" s="48"/>
      <c r="H442" s="45">
        <v>0</v>
      </c>
      <c r="I442" s="45">
        <v>0</v>
      </c>
      <c r="J442" s="45">
        <v>0</v>
      </c>
      <c r="K442" s="45"/>
      <c r="L442" s="45"/>
      <c r="M442" s="52">
        <v>0</v>
      </c>
      <c r="N442" s="52">
        <v>0</v>
      </c>
      <c r="O442" s="45">
        <v>0</v>
      </c>
      <c r="P442" s="45"/>
      <c r="Q442" s="52"/>
      <c r="R442" s="52">
        <v>0</v>
      </c>
      <c r="S442" s="61">
        <v>0</v>
      </c>
      <c r="T442" s="49"/>
      <c r="U442" s="49"/>
      <c r="V442" s="45"/>
      <c r="W442" s="45"/>
      <c r="X442" s="45"/>
      <c r="Y442" s="45">
        <v>0</v>
      </c>
      <c r="Z442" s="45">
        <v>0</v>
      </c>
      <c r="AA442" s="45"/>
      <c r="AB442" s="45"/>
      <c r="AC442" s="45"/>
      <c r="AD442" s="52"/>
      <c r="AE442" s="52">
        <v>0</v>
      </c>
      <c r="AF442" s="48">
        <v>0</v>
      </c>
      <c r="AG442" s="52">
        <v>0</v>
      </c>
      <c r="AH442" s="52">
        <v>0</v>
      </c>
      <c r="AI442" s="48"/>
      <c r="AJ442" s="48">
        <v>0</v>
      </c>
      <c r="AK442" s="52">
        <v>0</v>
      </c>
      <c r="AL442" s="52">
        <v>0</v>
      </c>
      <c r="AM442" s="48">
        <v>0</v>
      </c>
      <c r="AN442" s="52">
        <v>0</v>
      </c>
      <c r="AO442" s="52">
        <v>0</v>
      </c>
      <c r="AP442" s="48">
        <v>0</v>
      </c>
      <c r="AQ442" s="88">
        <v>0</v>
      </c>
      <c r="AR442" s="52">
        <v>0</v>
      </c>
      <c r="AS442" s="52"/>
      <c r="AT442" s="52"/>
      <c r="AU442" s="48">
        <v>0</v>
      </c>
      <c r="AV442" s="48"/>
      <c r="AW442" s="52"/>
      <c r="AX442" s="52">
        <v>0</v>
      </c>
      <c r="AY442" s="48"/>
      <c r="AZ442" s="52">
        <v>0</v>
      </c>
      <c r="BA442" s="52">
        <v>0</v>
      </c>
      <c r="BB442" s="48"/>
      <c r="BC442" s="45">
        <v>0</v>
      </c>
      <c r="BD442" s="45">
        <v>0</v>
      </c>
      <c r="BE442" s="45">
        <v>0</v>
      </c>
      <c r="BF442" s="45">
        <v>0</v>
      </c>
      <c r="BG442" s="45"/>
      <c r="BH442" s="46"/>
      <c r="BI442" s="45">
        <v>0</v>
      </c>
      <c r="BJ442" s="45">
        <v>0</v>
      </c>
      <c r="BK442" s="45"/>
      <c r="BL442" s="45"/>
      <c r="BM442" s="45">
        <v>0</v>
      </c>
      <c r="BN442" s="45"/>
      <c r="BO442" s="45"/>
      <c r="BP442" s="46"/>
      <c r="BQ442" s="48"/>
      <c r="BR442" s="52">
        <v>0</v>
      </c>
      <c r="BS442" s="52">
        <v>0</v>
      </c>
    </row>
    <row r="443" spans="2:71" x14ac:dyDescent="0.2">
      <c r="B443" s="56" t="s">
        <v>64</v>
      </c>
      <c r="C443" s="45"/>
      <c r="D443" s="45">
        <v>0</v>
      </c>
      <c r="E443" s="52">
        <v>0</v>
      </c>
      <c r="F443" s="52">
        <v>0</v>
      </c>
      <c r="G443" s="48"/>
      <c r="H443" s="45">
        <v>0</v>
      </c>
      <c r="I443" s="45">
        <v>0</v>
      </c>
      <c r="J443" s="45">
        <v>0</v>
      </c>
      <c r="K443" s="45"/>
      <c r="L443" s="45"/>
      <c r="M443" s="52">
        <v>0</v>
      </c>
      <c r="N443" s="52">
        <v>0</v>
      </c>
      <c r="O443" s="45">
        <v>0</v>
      </c>
      <c r="P443" s="45"/>
      <c r="Q443" s="52"/>
      <c r="R443" s="52">
        <v>0</v>
      </c>
      <c r="S443" s="61">
        <v>0</v>
      </c>
      <c r="T443" s="49"/>
      <c r="U443" s="49"/>
      <c r="V443" s="45"/>
      <c r="W443" s="45"/>
      <c r="X443" s="45"/>
      <c r="Y443" s="45">
        <v>0</v>
      </c>
      <c r="Z443" s="45">
        <v>0</v>
      </c>
      <c r="AA443" s="45"/>
      <c r="AB443" s="45"/>
      <c r="AC443" s="45"/>
      <c r="AD443" s="52"/>
      <c r="AE443" s="52">
        <v>0</v>
      </c>
      <c r="AF443" s="48">
        <v>0</v>
      </c>
      <c r="AG443" s="52">
        <v>0</v>
      </c>
      <c r="AH443" s="52">
        <v>0</v>
      </c>
      <c r="AI443" s="48"/>
      <c r="AJ443" s="48">
        <v>0</v>
      </c>
      <c r="AK443" s="52">
        <v>0</v>
      </c>
      <c r="AL443" s="52">
        <v>0</v>
      </c>
      <c r="AM443" s="48">
        <v>0</v>
      </c>
      <c r="AN443" s="52">
        <v>0</v>
      </c>
      <c r="AO443" s="52">
        <v>0</v>
      </c>
      <c r="AP443" s="48">
        <v>0</v>
      </c>
      <c r="AQ443" s="88">
        <v>0</v>
      </c>
      <c r="AR443" s="52">
        <v>0</v>
      </c>
      <c r="AS443" s="52"/>
      <c r="AT443" s="52"/>
      <c r="AU443" s="48">
        <v>0</v>
      </c>
      <c r="AV443" s="48"/>
      <c r="AW443" s="52"/>
      <c r="AX443" s="52">
        <v>0</v>
      </c>
      <c r="AY443" s="48"/>
      <c r="AZ443" s="52">
        <v>0</v>
      </c>
      <c r="BA443" s="52">
        <v>0</v>
      </c>
      <c r="BB443" s="48"/>
      <c r="BC443" s="45">
        <v>0</v>
      </c>
      <c r="BD443" s="45">
        <v>0</v>
      </c>
      <c r="BE443" s="45">
        <v>0</v>
      </c>
      <c r="BF443" s="45">
        <v>0</v>
      </c>
      <c r="BG443" s="45"/>
      <c r="BH443" s="46"/>
      <c r="BI443" s="45">
        <v>0</v>
      </c>
      <c r="BJ443" s="45">
        <v>0</v>
      </c>
      <c r="BK443" s="45"/>
      <c r="BL443" s="45"/>
      <c r="BM443" s="45">
        <v>0</v>
      </c>
      <c r="BN443" s="45"/>
      <c r="BO443" s="45"/>
      <c r="BP443" s="46"/>
      <c r="BQ443" s="48"/>
      <c r="BR443" s="52">
        <v>0</v>
      </c>
      <c r="BS443" s="52">
        <v>0</v>
      </c>
    </row>
    <row r="444" spans="2:71" x14ac:dyDescent="0.2">
      <c r="B444" s="56" t="s">
        <v>64</v>
      </c>
      <c r="C444" s="45"/>
      <c r="D444" s="45">
        <v>0</v>
      </c>
      <c r="E444" s="52">
        <v>0</v>
      </c>
      <c r="F444" s="52">
        <v>0</v>
      </c>
      <c r="G444" s="48"/>
      <c r="H444" s="45">
        <v>0</v>
      </c>
      <c r="I444" s="45">
        <v>0</v>
      </c>
      <c r="J444" s="45">
        <v>0</v>
      </c>
      <c r="K444" s="45"/>
      <c r="L444" s="45"/>
      <c r="M444" s="52">
        <v>0</v>
      </c>
      <c r="N444" s="52">
        <v>0</v>
      </c>
      <c r="O444" s="45">
        <v>0</v>
      </c>
      <c r="P444" s="45"/>
      <c r="Q444" s="52"/>
      <c r="R444" s="52">
        <v>0</v>
      </c>
      <c r="S444" s="61">
        <v>0</v>
      </c>
      <c r="T444" s="49"/>
      <c r="U444" s="49"/>
      <c r="V444" s="45"/>
      <c r="W444" s="45"/>
      <c r="X444" s="45"/>
      <c r="Y444" s="45">
        <v>0</v>
      </c>
      <c r="Z444" s="45">
        <v>0</v>
      </c>
      <c r="AA444" s="45"/>
      <c r="AB444" s="45"/>
      <c r="AC444" s="45"/>
      <c r="AD444" s="52"/>
      <c r="AE444" s="52">
        <v>0</v>
      </c>
      <c r="AF444" s="48">
        <v>0</v>
      </c>
      <c r="AG444" s="52">
        <v>0</v>
      </c>
      <c r="AH444" s="52">
        <v>0</v>
      </c>
      <c r="AI444" s="48"/>
      <c r="AJ444" s="48">
        <v>0</v>
      </c>
      <c r="AK444" s="52">
        <v>0</v>
      </c>
      <c r="AL444" s="52">
        <v>0</v>
      </c>
      <c r="AM444" s="48">
        <v>0</v>
      </c>
      <c r="AN444" s="52">
        <v>0</v>
      </c>
      <c r="AO444" s="52">
        <v>0</v>
      </c>
      <c r="AP444" s="48">
        <v>0</v>
      </c>
      <c r="AQ444" s="88">
        <v>0</v>
      </c>
      <c r="AR444" s="52">
        <v>0</v>
      </c>
      <c r="AS444" s="52"/>
      <c r="AT444" s="52"/>
      <c r="AU444" s="48">
        <v>0</v>
      </c>
      <c r="AV444" s="48"/>
      <c r="AW444" s="52"/>
      <c r="AX444" s="52">
        <v>0</v>
      </c>
      <c r="AY444" s="48"/>
      <c r="AZ444" s="52">
        <v>0</v>
      </c>
      <c r="BA444" s="52">
        <v>0</v>
      </c>
      <c r="BB444" s="48"/>
      <c r="BC444" s="45">
        <v>0</v>
      </c>
      <c r="BD444" s="45">
        <v>0</v>
      </c>
      <c r="BE444" s="45">
        <v>0</v>
      </c>
      <c r="BF444" s="45">
        <v>0</v>
      </c>
      <c r="BG444" s="45"/>
      <c r="BH444" s="46"/>
      <c r="BI444" s="45">
        <v>0</v>
      </c>
      <c r="BJ444" s="45">
        <v>0</v>
      </c>
      <c r="BK444" s="45"/>
      <c r="BL444" s="45"/>
      <c r="BM444" s="45">
        <v>0</v>
      </c>
      <c r="BN444" s="45"/>
      <c r="BO444" s="45"/>
      <c r="BP444" s="46"/>
      <c r="BQ444" s="48"/>
      <c r="BR444" s="52">
        <v>0</v>
      </c>
      <c r="BS444" s="52">
        <v>0</v>
      </c>
    </row>
    <row r="445" spans="2:71" x14ac:dyDescent="0.2">
      <c r="B445" s="56" t="s">
        <v>64</v>
      </c>
      <c r="C445" s="45"/>
      <c r="D445" s="45">
        <v>0</v>
      </c>
      <c r="E445" s="52">
        <v>0</v>
      </c>
      <c r="F445" s="52">
        <v>0</v>
      </c>
      <c r="G445" s="48"/>
      <c r="H445" s="45">
        <v>0</v>
      </c>
      <c r="I445" s="45">
        <v>0</v>
      </c>
      <c r="J445" s="45">
        <v>0</v>
      </c>
      <c r="K445" s="45"/>
      <c r="L445" s="45"/>
      <c r="M445" s="52">
        <v>0</v>
      </c>
      <c r="N445" s="52">
        <v>0</v>
      </c>
      <c r="O445" s="45">
        <v>0</v>
      </c>
      <c r="P445" s="45"/>
      <c r="Q445" s="52"/>
      <c r="R445" s="52">
        <v>0</v>
      </c>
      <c r="S445" s="61">
        <v>0</v>
      </c>
      <c r="T445" s="49"/>
      <c r="U445" s="49"/>
      <c r="V445" s="45"/>
      <c r="W445" s="45"/>
      <c r="X445" s="45"/>
      <c r="Y445" s="45">
        <v>0</v>
      </c>
      <c r="Z445" s="45">
        <v>0</v>
      </c>
      <c r="AA445" s="45"/>
      <c r="AB445" s="45"/>
      <c r="AC445" s="45"/>
      <c r="AD445" s="52"/>
      <c r="AE445" s="52">
        <v>0</v>
      </c>
      <c r="AF445" s="48">
        <v>0</v>
      </c>
      <c r="AG445" s="52">
        <v>0</v>
      </c>
      <c r="AH445" s="52">
        <v>0</v>
      </c>
      <c r="AI445" s="48"/>
      <c r="AJ445" s="48">
        <v>0</v>
      </c>
      <c r="AK445" s="52">
        <v>0</v>
      </c>
      <c r="AL445" s="52">
        <v>0</v>
      </c>
      <c r="AM445" s="48">
        <v>0</v>
      </c>
      <c r="AN445" s="52">
        <v>0</v>
      </c>
      <c r="AO445" s="52">
        <v>0</v>
      </c>
      <c r="AP445" s="48">
        <v>0</v>
      </c>
      <c r="AQ445" s="88">
        <v>0</v>
      </c>
      <c r="AR445" s="52">
        <v>0</v>
      </c>
      <c r="AS445" s="52"/>
      <c r="AT445" s="52"/>
      <c r="AU445" s="48">
        <v>0</v>
      </c>
      <c r="AV445" s="48"/>
      <c r="AW445" s="52"/>
      <c r="AX445" s="52">
        <v>0</v>
      </c>
      <c r="AY445" s="48"/>
      <c r="AZ445" s="52">
        <v>0</v>
      </c>
      <c r="BA445" s="52">
        <v>0</v>
      </c>
      <c r="BB445" s="48"/>
      <c r="BC445" s="45">
        <v>0</v>
      </c>
      <c r="BD445" s="45">
        <v>0</v>
      </c>
      <c r="BE445" s="45">
        <v>0</v>
      </c>
      <c r="BF445" s="45">
        <v>0</v>
      </c>
      <c r="BG445" s="45"/>
      <c r="BH445" s="46"/>
      <c r="BI445" s="45">
        <v>0</v>
      </c>
      <c r="BJ445" s="45">
        <v>0</v>
      </c>
      <c r="BK445" s="45"/>
      <c r="BL445" s="45"/>
      <c r="BM445" s="45">
        <v>0</v>
      </c>
      <c r="BN445" s="45"/>
      <c r="BO445" s="45"/>
      <c r="BP445" s="46"/>
      <c r="BQ445" s="48"/>
      <c r="BR445" s="52">
        <v>0</v>
      </c>
      <c r="BS445" s="52">
        <v>0</v>
      </c>
    </row>
    <row r="446" spans="2:71" x14ac:dyDescent="0.2">
      <c r="B446" s="56" t="s">
        <v>64</v>
      </c>
      <c r="C446" s="45"/>
      <c r="D446" s="45">
        <v>0</v>
      </c>
      <c r="E446" s="52">
        <v>0</v>
      </c>
      <c r="F446" s="52">
        <v>0</v>
      </c>
      <c r="G446" s="48"/>
      <c r="H446" s="45">
        <v>0</v>
      </c>
      <c r="I446" s="45">
        <v>0</v>
      </c>
      <c r="J446" s="45">
        <v>0</v>
      </c>
      <c r="K446" s="45"/>
      <c r="L446" s="45"/>
      <c r="M446" s="52">
        <v>0</v>
      </c>
      <c r="N446" s="52">
        <v>0</v>
      </c>
      <c r="O446" s="45">
        <v>0</v>
      </c>
      <c r="P446" s="45"/>
      <c r="Q446" s="52"/>
      <c r="R446" s="52">
        <v>0</v>
      </c>
      <c r="S446" s="61">
        <v>0</v>
      </c>
      <c r="T446" s="49"/>
      <c r="U446" s="49"/>
      <c r="V446" s="45"/>
      <c r="W446" s="45"/>
      <c r="X446" s="45"/>
      <c r="Y446" s="45">
        <v>0</v>
      </c>
      <c r="Z446" s="45">
        <v>0</v>
      </c>
      <c r="AA446" s="45"/>
      <c r="AB446" s="45"/>
      <c r="AC446" s="45"/>
      <c r="AD446" s="52"/>
      <c r="AE446" s="52">
        <v>0</v>
      </c>
      <c r="AF446" s="48">
        <v>0</v>
      </c>
      <c r="AG446" s="52">
        <v>0</v>
      </c>
      <c r="AH446" s="52">
        <v>0</v>
      </c>
      <c r="AI446" s="48"/>
      <c r="AJ446" s="48">
        <v>0</v>
      </c>
      <c r="AK446" s="52">
        <v>0</v>
      </c>
      <c r="AL446" s="52">
        <v>0</v>
      </c>
      <c r="AM446" s="48">
        <v>0</v>
      </c>
      <c r="AN446" s="52">
        <v>0</v>
      </c>
      <c r="AO446" s="52">
        <v>0</v>
      </c>
      <c r="AP446" s="48">
        <v>0</v>
      </c>
      <c r="AQ446" s="88">
        <v>0</v>
      </c>
      <c r="AR446" s="52">
        <v>0</v>
      </c>
      <c r="AS446" s="52"/>
      <c r="AT446" s="52"/>
      <c r="AU446" s="48">
        <v>0</v>
      </c>
      <c r="AV446" s="48"/>
      <c r="AW446" s="52"/>
      <c r="AX446" s="52">
        <v>0</v>
      </c>
      <c r="AY446" s="48"/>
      <c r="AZ446" s="52">
        <v>0</v>
      </c>
      <c r="BA446" s="52">
        <v>0</v>
      </c>
      <c r="BB446" s="48"/>
      <c r="BC446" s="45">
        <v>0</v>
      </c>
      <c r="BD446" s="45">
        <v>0</v>
      </c>
      <c r="BE446" s="45">
        <v>0</v>
      </c>
      <c r="BF446" s="45">
        <v>0</v>
      </c>
      <c r="BG446" s="45"/>
      <c r="BH446" s="46"/>
      <c r="BI446" s="45">
        <v>0</v>
      </c>
      <c r="BJ446" s="45">
        <v>0</v>
      </c>
      <c r="BK446" s="45"/>
      <c r="BL446" s="45"/>
      <c r="BM446" s="45">
        <v>0</v>
      </c>
      <c r="BN446" s="45"/>
      <c r="BO446" s="45"/>
      <c r="BP446" s="46"/>
      <c r="BQ446" s="48"/>
      <c r="BR446" s="52">
        <v>0</v>
      </c>
      <c r="BS446" s="52">
        <v>0</v>
      </c>
    </row>
    <row r="447" spans="2:71" x14ac:dyDescent="0.2">
      <c r="B447" s="56" t="s">
        <v>64</v>
      </c>
      <c r="C447" s="45"/>
      <c r="D447" s="45">
        <v>0</v>
      </c>
      <c r="E447" s="52">
        <v>0</v>
      </c>
      <c r="F447" s="52">
        <v>0</v>
      </c>
      <c r="G447" s="48"/>
      <c r="H447" s="45">
        <v>0</v>
      </c>
      <c r="I447" s="45">
        <v>0</v>
      </c>
      <c r="J447" s="45">
        <v>0</v>
      </c>
      <c r="K447" s="45"/>
      <c r="L447" s="45"/>
      <c r="M447" s="52">
        <v>0</v>
      </c>
      <c r="N447" s="52">
        <v>0</v>
      </c>
      <c r="O447" s="45">
        <v>0</v>
      </c>
      <c r="P447" s="45"/>
      <c r="Q447" s="52"/>
      <c r="R447" s="52">
        <v>0</v>
      </c>
      <c r="S447" s="61">
        <v>0</v>
      </c>
      <c r="T447" s="49"/>
      <c r="U447" s="49"/>
      <c r="V447" s="45"/>
      <c r="W447" s="45"/>
      <c r="X447" s="45"/>
      <c r="Y447" s="45">
        <v>0</v>
      </c>
      <c r="Z447" s="45">
        <v>0</v>
      </c>
      <c r="AA447" s="45"/>
      <c r="AB447" s="45"/>
      <c r="AC447" s="45"/>
      <c r="AD447" s="52"/>
      <c r="AE447" s="52">
        <v>0</v>
      </c>
      <c r="AF447" s="48">
        <v>0</v>
      </c>
      <c r="AG447" s="52">
        <v>0</v>
      </c>
      <c r="AH447" s="52">
        <v>0</v>
      </c>
      <c r="AI447" s="48"/>
      <c r="AJ447" s="48">
        <v>0</v>
      </c>
      <c r="AK447" s="52">
        <v>0</v>
      </c>
      <c r="AL447" s="52">
        <v>0</v>
      </c>
      <c r="AM447" s="48">
        <v>0</v>
      </c>
      <c r="AN447" s="52">
        <v>0</v>
      </c>
      <c r="AO447" s="52">
        <v>0</v>
      </c>
      <c r="AP447" s="48">
        <v>0</v>
      </c>
      <c r="AQ447" s="88">
        <v>0</v>
      </c>
      <c r="AR447" s="52">
        <v>0</v>
      </c>
      <c r="AS447" s="52"/>
      <c r="AT447" s="52"/>
      <c r="AU447" s="48">
        <v>0</v>
      </c>
      <c r="AV447" s="48"/>
      <c r="AW447" s="52"/>
      <c r="AX447" s="52">
        <v>0</v>
      </c>
      <c r="AY447" s="48"/>
      <c r="AZ447" s="52">
        <v>0</v>
      </c>
      <c r="BA447" s="52">
        <v>0</v>
      </c>
      <c r="BB447" s="48"/>
      <c r="BC447" s="45">
        <v>0</v>
      </c>
      <c r="BD447" s="45">
        <v>0</v>
      </c>
      <c r="BE447" s="45">
        <v>0</v>
      </c>
      <c r="BF447" s="45">
        <v>0</v>
      </c>
      <c r="BG447" s="45"/>
      <c r="BH447" s="46"/>
      <c r="BI447" s="45">
        <v>0</v>
      </c>
      <c r="BJ447" s="45">
        <v>0</v>
      </c>
      <c r="BK447" s="45"/>
      <c r="BL447" s="45"/>
      <c r="BM447" s="45">
        <v>0</v>
      </c>
      <c r="BN447" s="45"/>
      <c r="BO447" s="45"/>
      <c r="BP447" s="46"/>
      <c r="BQ447" s="48"/>
      <c r="BR447" s="52">
        <v>0</v>
      </c>
      <c r="BS447" s="52">
        <v>0</v>
      </c>
    </row>
    <row r="448" spans="2:71" x14ac:dyDescent="0.2">
      <c r="B448" s="56" t="s">
        <v>64</v>
      </c>
      <c r="C448" s="45"/>
      <c r="D448" s="45">
        <v>0</v>
      </c>
      <c r="E448" s="52">
        <v>0</v>
      </c>
      <c r="F448" s="52">
        <v>0</v>
      </c>
      <c r="G448" s="48"/>
      <c r="H448" s="45">
        <v>0</v>
      </c>
      <c r="I448" s="45">
        <v>0</v>
      </c>
      <c r="J448" s="45">
        <v>0</v>
      </c>
      <c r="K448" s="45"/>
      <c r="L448" s="45"/>
      <c r="M448" s="52">
        <v>0</v>
      </c>
      <c r="N448" s="52">
        <v>0</v>
      </c>
      <c r="O448" s="45">
        <v>0</v>
      </c>
      <c r="P448" s="45"/>
      <c r="Q448" s="52"/>
      <c r="R448" s="52">
        <v>0</v>
      </c>
      <c r="S448" s="61">
        <v>0</v>
      </c>
      <c r="T448" s="49"/>
      <c r="U448" s="49"/>
      <c r="V448" s="45"/>
      <c r="W448" s="45"/>
      <c r="X448" s="45"/>
      <c r="Y448" s="45">
        <v>0</v>
      </c>
      <c r="Z448" s="45">
        <v>0</v>
      </c>
      <c r="AA448" s="45"/>
      <c r="AB448" s="45"/>
      <c r="AC448" s="45"/>
      <c r="AD448" s="52"/>
      <c r="AE448" s="52">
        <v>0</v>
      </c>
      <c r="AF448" s="48">
        <v>0</v>
      </c>
      <c r="AG448" s="52">
        <v>0</v>
      </c>
      <c r="AH448" s="52">
        <v>0</v>
      </c>
      <c r="AI448" s="48"/>
      <c r="AJ448" s="48">
        <v>0</v>
      </c>
      <c r="AK448" s="52">
        <v>0</v>
      </c>
      <c r="AL448" s="52">
        <v>0</v>
      </c>
      <c r="AM448" s="48">
        <v>0</v>
      </c>
      <c r="AN448" s="52">
        <v>0</v>
      </c>
      <c r="AO448" s="52">
        <v>0</v>
      </c>
      <c r="AP448" s="48">
        <v>0</v>
      </c>
      <c r="AQ448" s="88">
        <v>0</v>
      </c>
      <c r="AR448" s="52">
        <v>0</v>
      </c>
      <c r="AS448" s="52"/>
      <c r="AT448" s="52"/>
      <c r="AU448" s="48">
        <v>0</v>
      </c>
      <c r="AV448" s="48"/>
      <c r="AW448" s="52"/>
      <c r="AX448" s="52">
        <v>0</v>
      </c>
      <c r="AY448" s="48"/>
      <c r="AZ448" s="52">
        <v>0</v>
      </c>
      <c r="BA448" s="52">
        <v>0</v>
      </c>
      <c r="BB448" s="48"/>
      <c r="BC448" s="45">
        <v>0</v>
      </c>
      <c r="BD448" s="45">
        <v>0</v>
      </c>
      <c r="BE448" s="45">
        <v>0</v>
      </c>
      <c r="BF448" s="45">
        <v>0</v>
      </c>
      <c r="BG448" s="45"/>
      <c r="BH448" s="46"/>
      <c r="BI448" s="45">
        <v>0</v>
      </c>
      <c r="BJ448" s="45">
        <v>0</v>
      </c>
      <c r="BK448" s="45"/>
      <c r="BL448" s="45"/>
      <c r="BM448" s="45">
        <v>0</v>
      </c>
      <c r="BN448" s="45"/>
      <c r="BO448" s="45"/>
      <c r="BP448" s="46"/>
      <c r="BQ448" s="48"/>
      <c r="BR448" s="52">
        <v>0</v>
      </c>
      <c r="BS448" s="52">
        <v>0</v>
      </c>
    </row>
    <row r="449" spans="2:71" x14ac:dyDescent="0.2">
      <c r="B449" s="56" t="s">
        <v>64</v>
      </c>
      <c r="C449" s="45"/>
      <c r="D449" s="45">
        <v>0</v>
      </c>
      <c r="E449" s="52">
        <v>0</v>
      </c>
      <c r="F449" s="52">
        <v>0</v>
      </c>
      <c r="G449" s="48"/>
      <c r="H449" s="45">
        <v>0</v>
      </c>
      <c r="I449" s="45">
        <v>0</v>
      </c>
      <c r="J449" s="45">
        <v>0</v>
      </c>
      <c r="K449" s="45"/>
      <c r="L449" s="45"/>
      <c r="M449" s="52">
        <v>0</v>
      </c>
      <c r="N449" s="52">
        <v>0</v>
      </c>
      <c r="O449" s="45">
        <v>0</v>
      </c>
      <c r="P449" s="45"/>
      <c r="Q449" s="52"/>
      <c r="R449" s="52">
        <v>0</v>
      </c>
      <c r="S449" s="61">
        <v>0</v>
      </c>
      <c r="T449" s="49"/>
      <c r="U449" s="49"/>
      <c r="V449" s="45"/>
      <c r="W449" s="45"/>
      <c r="X449" s="45"/>
      <c r="Y449" s="45">
        <v>0</v>
      </c>
      <c r="Z449" s="45">
        <v>0</v>
      </c>
      <c r="AA449" s="45"/>
      <c r="AB449" s="45"/>
      <c r="AC449" s="45"/>
      <c r="AD449" s="52"/>
      <c r="AE449" s="52">
        <v>0</v>
      </c>
      <c r="AF449" s="48">
        <v>0</v>
      </c>
      <c r="AG449" s="52">
        <v>0</v>
      </c>
      <c r="AH449" s="52">
        <v>0</v>
      </c>
      <c r="AI449" s="48"/>
      <c r="AJ449" s="48">
        <v>0</v>
      </c>
      <c r="AK449" s="52">
        <v>0</v>
      </c>
      <c r="AL449" s="52">
        <v>0</v>
      </c>
      <c r="AM449" s="48">
        <v>0</v>
      </c>
      <c r="AN449" s="52">
        <v>0</v>
      </c>
      <c r="AO449" s="52">
        <v>0</v>
      </c>
      <c r="AP449" s="48">
        <v>0</v>
      </c>
      <c r="AQ449" s="88">
        <v>0</v>
      </c>
      <c r="AR449" s="52">
        <v>0</v>
      </c>
      <c r="AS449" s="52"/>
      <c r="AT449" s="52"/>
      <c r="AU449" s="48">
        <v>0</v>
      </c>
      <c r="AV449" s="48"/>
      <c r="AW449" s="52"/>
      <c r="AX449" s="52">
        <v>0</v>
      </c>
      <c r="AY449" s="48"/>
      <c r="AZ449" s="52">
        <v>0</v>
      </c>
      <c r="BA449" s="52">
        <v>0</v>
      </c>
      <c r="BB449" s="48"/>
      <c r="BC449" s="45">
        <v>0</v>
      </c>
      <c r="BD449" s="45">
        <v>0</v>
      </c>
      <c r="BE449" s="45">
        <v>0</v>
      </c>
      <c r="BF449" s="45">
        <v>0</v>
      </c>
      <c r="BG449" s="45"/>
      <c r="BH449" s="46"/>
      <c r="BI449" s="45">
        <v>0</v>
      </c>
      <c r="BJ449" s="45">
        <v>0</v>
      </c>
      <c r="BK449" s="45"/>
      <c r="BL449" s="45"/>
      <c r="BM449" s="45">
        <v>0</v>
      </c>
      <c r="BN449" s="45"/>
      <c r="BO449" s="45"/>
      <c r="BP449" s="46"/>
      <c r="BQ449" s="48"/>
      <c r="BR449" s="52">
        <v>0</v>
      </c>
      <c r="BS449" s="52">
        <v>0</v>
      </c>
    </row>
    <row r="450" spans="2:71" x14ac:dyDescent="0.2">
      <c r="B450" s="56" t="s">
        <v>64</v>
      </c>
      <c r="C450" s="45"/>
      <c r="D450" s="45">
        <v>0</v>
      </c>
      <c r="E450" s="52">
        <v>0</v>
      </c>
      <c r="F450" s="52">
        <v>0</v>
      </c>
      <c r="G450" s="48"/>
      <c r="H450" s="45">
        <v>0</v>
      </c>
      <c r="I450" s="45">
        <v>0</v>
      </c>
      <c r="J450" s="45">
        <v>0</v>
      </c>
      <c r="K450" s="45"/>
      <c r="L450" s="45"/>
      <c r="M450" s="52">
        <v>0</v>
      </c>
      <c r="N450" s="52">
        <v>0</v>
      </c>
      <c r="O450" s="45">
        <v>0</v>
      </c>
      <c r="P450" s="45"/>
      <c r="Q450" s="52"/>
      <c r="R450" s="52">
        <v>0</v>
      </c>
      <c r="S450" s="61">
        <v>0</v>
      </c>
      <c r="T450" s="49"/>
      <c r="U450" s="49"/>
      <c r="V450" s="45"/>
      <c r="W450" s="45"/>
      <c r="X450" s="45"/>
      <c r="Y450" s="45">
        <v>0</v>
      </c>
      <c r="Z450" s="45">
        <v>0</v>
      </c>
      <c r="AA450" s="45"/>
      <c r="AB450" s="45"/>
      <c r="AC450" s="45"/>
      <c r="AD450" s="52"/>
      <c r="AE450" s="52">
        <v>0</v>
      </c>
      <c r="AF450" s="48">
        <v>0</v>
      </c>
      <c r="AG450" s="52">
        <v>0</v>
      </c>
      <c r="AH450" s="52">
        <v>0</v>
      </c>
      <c r="AI450" s="48"/>
      <c r="AJ450" s="48">
        <v>0</v>
      </c>
      <c r="AK450" s="52">
        <v>0</v>
      </c>
      <c r="AL450" s="52">
        <v>0</v>
      </c>
      <c r="AM450" s="48">
        <v>0</v>
      </c>
      <c r="AN450" s="52">
        <v>0</v>
      </c>
      <c r="AO450" s="52">
        <v>0</v>
      </c>
      <c r="AP450" s="48">
        <v>0</v>
      </c>
      <c r="AQ450" s="88">
        <v>0</v>
      </c>
      <c r="AR450" s="52">
        <v>0</v>
      </c>
      <c r="AS450" s="52"/>
      <c r="AT450" s="52"/>
      <c r="AU450" s="48">
        <v>0</v>
      </c>
      <c r="AV450" s="48"/>
      <c r="AW450" s="52"/>
      <c r="AX450" s="52">
        <v>0</v>
      </c>
      <c r="AY450" s="48"/>
      <c r="AZ450" s="52">
        <v>0</v>
      </c>
      <c r="BA450" s="52">
        <v>0</v>
      </c>
      <c r="BB450" s="48"/>
      <c r="BC450" s="45">
        <v>0</v>
      </c>
      <c r="BD450" s="45">
        <v>0</v>
      </c>
      <c r="BE450" s="45">
        <v>0</v>
      </c>
      <c r="BF450" s="45">
        <v>0</v>
      </c>
      <c r="BG450" s="45"/>
      <c r="BH450" s="46"/>
      <c r="BI450" s="45">
        <v>0</v>
      </c>
      <c r="BJ450" s="45">
        <v>0</v>
      </c>
      <c r="BK450" s="45"/>
      <c r="BL450" s="45"/>
      <c r="BM450" s="45">
        <v>0</v>
      </c>
      <c r="BN450" s="45"/>
      <c r="BO450" s="45"/>
      <c r="BP450" s="46"/>
      <c r="BQ450" s="48"/>
      <c r="BR450" s="52">
        <v>0</v>
      </c>
      <c r="BS450" s="52">
        <v>0</v>
      </c>
    </row>
    <row r="451" spans="2:71" x14ac:dyDescent="0.2">
      <c r="B451" s="56" t="s">
        <v>64</v>
      </c>
      <c r="C451" s="45"/>
      <c r="D451" s="45">
        <v>0</v>
      </c>
      <c r="E451" s="52">
        <v>0</v>
      </c>
      <c r="F451" s="52">
        <v>0</v>
      </c>
      <c r="G451" s="48"/>
      <c r="H451" s="45">
        <v>0</v>
      </c>
      <c r="I451" s="45">
        <v>0</v>
      </c>
      <c r="J451" s="45">
        <v>0</v>
      </c>
      <c r="K451" s="45"/>
      <c r="L451" s="45"/>
      <c r="M451" s="52">
        <v>0</v>
      </c>
      <c r="N451" s="52">
        <v>0</v>
      </c>
      <c r="O451" s="45">
        <v>0</v>
      </c>
      <c r="P451" s="45"/>
      <c r="Q451" s="52"/>
      <c r="R451" s="52">
        <v>0</v>
      </c>
      <c r="S451" s="61">
        <v>0</v>
      </c>
      <c r="T451" s="49"/>
      <c r="U451" s="49"/>
      <c r="V451" s="45"/>
      <c r="W451" s="45"/>
      <c r="X451" s="45"/>
      <c r="Y451" s="45">
        <v>0</v>
      </c>
      <c r="Z451" s="45">
        <v>0</v>
      </c>
      <c r="AA451" s="45"/>
      <c r="AB451" s="45"/>
      <c r="AC451" s="45"/>
      <c r="AD451" s="52"/>
      <c r="AE451" s="52">
        <v>0</v>
      </c>
      <c r="AF451" s="48">
        <v>0</v>
      </c>
      <c r="AG451" s="52">
        <v>0</v>
      </c>
      <c r="AH451" s="52">
        <v>0</v>
      </c>
      <c r="AI451" s="48"/>
      <c r="AJ451" s="48">
        <v>0</v>
      </c>
      <c r="AK451" s="52">
        <v>0</v>
      </c>
      <c r="AL451" s="52">
        <v>0</v>
      </c>
      <c r="AM451" s="48">
        <v>0</v>
      </c>
      <c r="AN451" s="52">
        <v>0</v>
      </c>
      <c r="AO451" s="52">
        <v>0</v>
      </c>
      <c r="AP451" s="48">
        <v>0</v>
      </c>
      <c r="AQ451" s="88">
        <v>0</v>
      </c>
      <c r="AR451" s="52">
        <v>0</v>
      </c>
      <c r="AS451" s="52"/>
      <c r="AT451" s="52"/>
      <c r="AU451" s="48">
        <v>0</v>
      </c>
      <c r="AV451" s="48"/>
      <c r="AW451" s="52"/>
      <c r="AX451" s="52">
        <v>0</v>
      </c>
      <c r="AY451" s="48"/>
      <c r="AZ451" s="52">
        <v>0</v>
      </c>
      <c r="BA451" s="52">
        <v>0</v>
      </c>
      <c r="BB451" s="48"/>
      <c r="BC451" s="45">
        <v>0</v>
      </c>
      <c r="BD451" s="45">
        <v>0</v>
      </c>
      <c r="BE451" s="45">
        <v>0</v>
      </c>
      <c r="BF451" s="45">
        <v>0</v>
      </c>
      <c r="BG451" s="45"/>
      <c r="BH451" s="46"/>
      <c r="BI451" s="45">
        <v>0</v>
      </c>
      <c r="BJ451" s="45">
        <v>0</v>
      </c>
      <c r="BK451" s="45"/>
      <c r="BL451" s="45"/>
      <c r="BM451" s="45">
        <v>0</v>
      </c>
      <c r="BN451" s="45"/>
      <c r="BO451" s="45"/>
      <c r="BP451" s="46"/>
      <c r="BQ451" s="48"/>
      <c r="BR451" s="52">
        <v>0</v>
      </c>
      <c r="BS451" s="52">
        <v>0</v>
      </c>
    </row>
    <row r="452" spans="2:71" x14ac:dyDescent="0.2">
      <c r="B452" s="56" t="s">
        <v>64</v>
      </c>
      <c r="C452" s="45"/>
      <c r="D452" s="45">
        <v>0</v>
      </c>
      <c r="E452" s="52">
        <v>0</v>
      </c>
      <c r="F452" s="52">
        <v>0</v>
      </c>
      <c r="G452" s="48"/>
      <c r="H452" s="45">
        <v>0</v>
      </c>
      <c r="I452" s="45">
        <v>0</v>
      </c>
      <c r="J452" s="45">
        <v>0</v>
      </c>
      <c r="K452" s="45"/>
      <c r="L452" s="45"/>
      <c r="M452" s="52">
        <v>0</v>
      </c>
      <c r="N452" s="52">
        <v>0</v>
      </c>
      <c r="O452" s="45">
        <v>0</v>
      </c>
      <c r="P452" s="45"/>
      <c r="Q452" s="52"/>
      <c r="R452" s="52">
        <v>0</v>
      </c>
      <c r="S452" s="61">
        <v>0</v>
      </c>
      <c r="T452" s="49"/>
      <c r="U452" s="49"/>
      <c r="V452" s="45"/>
      <c r="W452" s="45"/>
      <c r="X452" s="45"/>
      <c r="Y452" s="45">
        <v>0</v>
      </c>
      <c r="Z452" s="45">
        <v>0</v>
      </c>
      <c r="AA452" s="45"/>
      <c r="AB452" s="45"/>
      <c r="AC452" s="45"/>
      <c r="AD452" s="52"/>
      <c r="AE452" s="52">
        <v>0</v>
      </c>
      <c r="AF452" s="48">
        <v>0</v>
      </c>
      <c r="AG452" s="52">
        <v>0</v>
      </c>
      <c r="AH452" s="52">
        <v>0</v>
      </c>
      <c r="AI452" s="48"/>
      <c r="AJ452" s="48">
        <v>0</v>
      </c>
      <c r="AK452" s="52">
        <v>0</v>
      </c>
      <c r="AL452" s="52">
        <v>0</v>
      </c>
      <c r="AM452" s="48">
        <v>0</v>
      </c>
      <c r="AN452" s="52">
        <v>0</v>
      </c>
      <c r="AO452" s="52">
        <v>0</v>
      </c>
      <c r="AP452" s="48">
        <v>0</v>
      </c>
      <c r="AQ452" s="88">
        <v>0</v>
      </c>
      <c r="AR452" s="52">
        <v>0</v>
      </c>
      <c r="AS452" s="52"/>
      <c r="AT452" s="52"/>
      <c r="AU452" s="48">
        <v>0</v>
      </c>
      <c r="AV452" s="48"/>
      <c r="AW452" s="52"/>
      <c r="AX452" s="52">
        <v>0</v>
      </c>
      <c r="AY452" s="48"/>
      <c r="AZ452" s="52">
        <v>0</v>
      </c>
      <c r="BA452" s="52">
        <v>0</v>
      </c>
      <c r="BB452" s="48"/>
      <c r="BC452" s="45">
        <v>0</v>
      </c>
      <c r="BD452" s="45">
        <v>0</v>
      </c>
      <c r="BE452" s="45">
        <v>0</v>
      </c>
      <c r="BF452" s="45">
        <v>0</v>
      </c>
      <c r="BG452" s="45"/>
      <c r="BH452" s="46"/>
      <c r="BI452" s="45">
        <v>0</v>
      </c>
      <c r="BJ452" s="45">
        <v>0</v>
      </c>
      <c r="BK452" s="45"/>
      <c r="BL452" s="45"/>
      <c r="BM452" s="45">
        <v>0</v>
      </c>
      <c r="BN452" s="45"/>
      <c r="BO452" s="45"/>
      <c r="BP452" s="46"/>
      <c r="BQ452" s="48"/>
      <c r="BR452" s="52">
        <v>0</v>
      </c>
      <c r="BS452" s="52">
        <v>0</v>
      </c>
    </row>
    <row r="453" spans="2:71" x14ac:dyDescent="0.2">
      <c r="B453" s="56" t="s">
        <v>64</v>
      </c>
      <c r="C453" s="45"/>
      <c r="D453" s="45">
        <v>0</v>
      </c>
      <c r="E453" s="52">
        <v>0</v>
      </c>
      <c r="F453" s="52">
        <v>0</v>
      </c>
      <c r="G453" s="48"/>
      <c r="H453" s="45">
        <v>0</v>
      </c>
      <c r="I453" s="45">
        <v>0</v>
      </c>
      <c r="J453" s="45">
        <v>0</v>
      </c>
      <c r="K453" s="45"/>
      <c r="L453" s="45"/>
      <c r="M453" s="52">
        <v>0</v>
      </c>
      <c r="N453" s="52">
        <v>0</v>
      </c>
      <c r="O453" s="45">
        <v>0</v>
      </c>
      <c r="P453" s="45"/>
      <c r="Q453" s="52"/>
      <c r="R453" s="52">
        <v>0</v>
      </c>
      <c r="S453" s="61">
        <v>0</v>
      </c>
      <c r="T453" s="49"/>
      <c r="U453" s="49"/>
      <c r="V453" s="45"/>
      <c r="W453" s="45"/>
      <c r="X453" s="45"/>
      <c r="Y453" s="45">
        <v>0</v>
      </c>
      <c r="Z453" s="45">
        <v>0</v>
      </c>
      <c r="AA453" s="45"/>
      <c r="AB453" s="45"/>
      <c r="AC453" s="45"/>
      <c r="AD453" s="52"/>
      <c r="AE453" s="52">
        <v>0</v>
      </c>
      <c r="AF453" s="48">
        <v>0</v>
      </c>
      <c r="AG453" s="52">
        <v>0</v>
      </c>
      <c r="AH453" s="52">
        <v>0</v>
      </c>
      <c r="AI453" s="48"/>
      <c r="AJ453" s="48">
        <v>0</v>
      </c>
      <c r="AK453" s="52">
        <v>0</v>
      </c>
      <c r="AL453" s="52">
        <v>0</v>
      </c>
      <c r="AM453" s="48">
        <v>0</v>
      </c>
      <c r="AN453" s="52">
        <v>0</v>
      </c>
      <c r="AO453" s="52">
        <v>0</v>
      </c>
      <c r="AP453" s="48">
        <v>0</v>
      </c>
      <c r="AQ453" s="88">
        <v>0</v>
      </c>
      <c r="AR453" s="52">
        <v>0</v>
      </c>
      <c r="AS453" s="52"/>
      <c r="AT453" s="52"/>
      <c r="AU453" s="48">
        <v>0</v>
      </c>
      <c r="AV453" s="48"/>
      <c r="AW453" s="52"/>
      <c r="AX453" s="52">
        <v>0</v>
      </c>
      <c r="AY453" s="48"/>
      <c r="AZ453" s="52">
        <v>0</v>
      </c>
      <c r="BA453" s="52">
        <v>0</v>
      </c>
      <c r="BB453" s="48"/>
      <c r="BC453" s="45">
        <v>0</v>
      </c>
      <c r="BD453" s="45">
        <v>0</v>
      </c>
      <c r="BE453" s="45">
        <v>0</v>
      </c>
      <c r="BF453" s="45">
        <v>0</v>
      </c>
      <c r="BG453" s="45"/>
      <c r="BH453" s="46"/>
      <c r="BI453" s="45">
        <v>0</v>
      </c>
      <c r="BJ453" s="45">
        <v>0</v>
      </c>
      <c r="BK453" s="45"/>
      <c r="BL453" s="45"/>
      <c r="BM453" s="45">
        <v>0</v>
      </c>
      <c r="BN453" s="45"/>
      <c r="BO453" s="45"/>
      <c r="BP453" s="46"/>
      <c r="BQ453" s="48"/>
      <c r="BR453" s="52">
        <v>0</v>
      </c>
      <c r="BS453" s="52">
        <v>0</v>
      </c>
    </row>
    <row r="454" spans="2:71" x14ac:dyDescent="0.2">
      <c r="B454" s="56" t="s">
        <v>64</v>
      </c>
      <c r="C454" s="45"/>
      <c r="D454" s="45">
        <v>0</v>
      </c>
      <c r="E454" s="52">
        <v>0</v>
      </c>
      <c r="F454" s="52">
        <v>0</v>
      </c>
      <c r="G454" s="48"/>
      <c r="H454" s="45">
        <v>0</v>
      </c>
      <c r="I454" s="45">
        <v>0</v>
      </c>
      <c r="J454" s="45">
        <v>0</v>
      </c>
      <c r="K454" s="45"/>
      <c r="L454" s="45"/>
      <c r="M454" s="52">
        <v>0</v>
      </c>
      <c r="N454" s="52">
        <v>0</v>
      </c>
      <c r="O454" s="45">
        <v>0</v>
      </c>
      <c r="P454" s="45"/>
      <c r="Q454" s="52"/>
      <c r="R454" s="52">
        <v>0</v>
      </c>
      <c r="S454" s="61">
        <v>0</v>
      </c>
      <c r="T454" s="49"/>
      <c r="U454" s="49"/>
      <c r="V454" s="45"/>
      <c r="W454" s="45"/>
      <c r="X454" s="45"/>
      <c r="Y454" s="45">
        <v>0</v>
      </c>
      <c r="Z454" s="45">
        <v>0</v>
      </c>
      <c r="AA454" s="45"/>
      <c r="AB454" s="45"/>
      <c r="AC454" s="45"/>
      <c r="AD454" s="52"/>
      <c r="AE454" s="52">
        <v>0</v>
      </c>
      <c r="AF454" s="48">
        <v>0</v>
      </c>
      <c r="AG454" s="52">
        <v>0</v>
      </c>
      <c r="AH454" s="52">
        <v>0</v>
      </c>
      <c r="AI454" s="48"/>
      <c r="AJ454" s="48">
        <v>0</v>
      </c>
      <c r="AK454" s="52">
        <v>0</v>
      </c>
      <c r="AL454" s="52">
        <v>0</v>
      </c>
      <c r="AM454" s="48">
        <v>0</v>
      </c>
      <c r="AN454" s="52">
        <v>0</v>
      </c>
      <c r="AO454" s="52">
        <v>0</v>
      </c>
      <c r="AP454" s="48">
        <v>0</v>
      </c>
      <c r="AQ454" s="88">
        <v>0</v>
      </c>
      <c r="AR454" s="52">
        <v>0</v>
      </c>
      <c r="AS454" s="52"/>
      <c r="AT454" s="52"/>
      <c r="AU454" s="48">
        <v>0</v>
      </c>
      <c r="AV454" s="48"/>
      <c r="AW454" s="52"/>
      <c r="AX454" s="52">
        <v>0</v>
      </c>
      <c r="AY454" s="48"/>
      <c r="AZ454" s="52">
        <v>0</v>
      </c>
      <c r="BA454" s="52">
        <v>0</v>
      </c>
      <c r="BB454" s="48"/>
      <c r="BC454" s="45">
        <v>0</v>
      </c>
      <c r="BD454" s="45">
        <v>0</v>
      </c>
      <c r="BE454" s="45">
        <v>0</v>
      </c>
      <c r="BF454" s="45">
        <v>0</v>
      </c>
      <c r="BG454" s="45"/>
      <c r="BH454" s="46"/>
      <c r="BI454" s="45">
        <v>0</v>
      </c>
      <c r="BJ454" s="45">
        <v>0</v>
      </c>
      <c r="BK454" s="45"/>
      <c r="BL454" s="45"/>
      <c r="BM454" s="45">
        <v>0</v>
      </c>
      <c r="BN454" s="45"/>
      <c r="BO454" s="45"/>
      <c r="BP454" s="46"/>
      <c r="BQ454" s="48"/>
      <c r="BR454" s="52">
        <v>0</v>
      </c>
      <c r="BS454" s="52">
        <v>0</v>
      </c>
    </row>
    <row r="455" spans="2:71" x14ac:dyDescent="0.2">
      <c r="B455" s="56" t="s">
        <v>64</v>
      </c>
      <c r="C455" s="45"/>
      <c r="D455" s="45">
        <v>0</v>
      </c>
      <c r="E455" s="52">
        <v>0</v>
      </c>
      <c r="F455" s="52">
        <v>0</v>
      </c>
      <c r="G455" s="48"/>
      <c r="H455" s="45">
        <v>0</v>
      </c>
      <c r="I455" s="45">
        <v>0</v>
      </c>
      <c r="J455" s="45">
        <v>0</v>
      </c>
      <c r="K455" s="45"/>
      <c r="L455" s="45"/>
      <c r="M455" s="52">
        <v>0</v>
      </c>
      <c r="N455" s="52">
        <v>0</v>
      </c>
      <c r="O455" s="45">
        <v>0</v>
      </c>
      <c r="P455" s="45"/>
      <c r="Q455" s="52"/>
      <c r="R455" s="52">
        <v>0</v>
      </c>
      <c r="S455" s="61">
        <v>0</v>
      </c>
      <c r="T455" s="49"/>
      <c r="U455" s="49"/>
      <c r="V455" s="45"/>
      <c r="W455" s="45"/>
      <c r="X455" s="45"/>
      <c r="Y455" s="45">
        <v>0</v>
      </c>
      <c r="Z455" s="45">
        <v>0</v>
      </c>
      <c r="AA455" s="45"/>
      <c r="AB455" s="45"/>
      <c r="AC455" s="45"/>
      <c r="AD455" s="52"/>
      <c r="AE455" s="52">
        <v>0</v>
      </c>
      <c r="AF455" s="48">
        <v>0</v>
      </c>
      <c r="AG455" s="52">
        <v>0</v>
      </c>
      <c r="AH455" s="52">
        <v>0</v>
      </c>
      <c r="AI455" s="48"/>
      <c r="AJ455" s="48">
        <v>0</v>
      </c>
      <c r="AK455" s="52">
        <v>0</v>
      </c>
      <c r="AL455" s="52">
        <v>0</v>
      </c>
      <c r="AM455" s="48">
        <v>0</v>
      </c>
      <c r="AN455" s="52">
        <v>0</v>
      </c>
      <c r="AO455" s="52">
        <v>0</v>
      </c>
      <c r="AP455" s="48">
        <v>0</v>
      </c>
      <c r="AQ455" s="88">
        <v>0</v>
      </c>
      <c r="AR455" s="52">
        <v>0</v>
      </c>
      <c r="AS455" s="52"/>
      <c r="AT455" s="52"/>
      <c r="AU455" s="48">
        <v>0</v>
      </c>
      <c r="AV455" s="48"/>
      <c r="AW455" s="52"/>
      <c r="AX455" s="52">
        <v>0</v>
      </c>
      <c r="AY455" s="48"/>
      <c r="AZ455" s="52">
        <v>0</v>
      </c>
      <c r="BA455" s="52">
        <v>0</v>
      </c>
      <c r="BB455" s="48"/>
      <c r="BC455" s="45">
        <v>0</v>
      </c>
      <c r="BD455" s="45">
        <v>0</v>
      </c>
      <c r="BE455" s="45">
        <v>0</v>
      </c>
      <c r="BF455" s="45">
        <v>0</v>
      </c>
      <c r="BG455" s="45"/>
      <c r="BH455" s="46"/>
      <c r="BI455" s="45">
        <v>0</v>
      </c>
      <c r="BJ455" s="45">
        <v>0</v>
      </c>
      <c r="BK455" s="45"/>
      <c r="BL455" s="45"/>
      <c r="BM455" s="45">
        <v>0</v>
      </c>
      <c r="BN455" s="45"/>
      <c r="BO455" s="45"/>
      <c r="BP455" s="46"/>
      <c r="BQ455" s="48"/>
      <c r="BR455" s="52">
        <v>0</v>
      </c>
      <c r="BS455" s="52">
        <v>0</v>
      </c>
    </row>
    <row r="456" spans="2:71" x14ac:dyDescent="0.2">
      <c r="B456" s="56" t="s">
        <v>64</v>
      </c>
      <c r="C456" s="45"/>
      <c r="D456" s="45">
        <v>0</v>
      </c>
      <c r="E456" s="52">
        <v>0</v>
      </c>
      <c r="F456" s="52">
        <v>0</v>
      </c>
      <c r="G456" s="48"/>
      <c r="H456" s="45">
        <v>0</v>
      </c>
      <c r="I456" s="45">
        <v>0</v>
      </c>
      <c r="J456" s="45">
        <v>0</v>
      </c>
      <c r="K456" s="45"/>
      <c r="L456" s="45"/>
      <c r="M456" s="52">
        <v>0</v>
      </c>
      <c r="N456" s="52">
        <v>0</v>
      </c>
      <c r="O456" s="45">
        <v>0</v>
      </c>
      <c r="P456" s="45"/>
      <c r="Q456" s="52"/>
      <c r="R456" s="52">
        <v>0</v>
      </c>
      <c r="S456" s="61">
        <v>0</v>
      </c>
      <c r="T456" s="49"/>
      <c r="U456" s="49"/>
      <c r="V456" s="45"/>
      <c r="W456" s="45"/>
      <c r="X456" s="45"/>
      <c r="Y456" s="45">
        <v>0</v>
      </c>
      <c r="Z456" s="45">
        <v>0</v>
      </c>
      <c r="AA456" s="45"/>
      <c r="AB456" s="45"/>
      <c r="AC456" s="45"/>
      <c r="AD456" s="52"/>
      <c r="AE456" s="52">
        <v>0</v>
      </c>
      <c r="AF456" s="48">
        <v>0</v>
      </c>
      <c r="AG456" s="52">
        <v>0</v>
      </c>
      <c r="AH456" s="52">
        <v>0</v>
      </c>
      <c r="AI456" s="48"/>
      <c r="AJ456" s="48">
        <v>0</v>
      </c>
      <c r="AK456" s="52">
        <v>0</v>
      </c>
      <c r="AL456" s="52">
        <v>0</v>
      </c>
      <c r="AM456" s="48">
        <v>0</v>
      </c>
      <c r="AN456" s="52">
        <v>0</v>
      </c>
      <c r="AO456" s="52">
        <v>0</v>
      </c>
      <c r="AP456" s="48">
        <v>0</v>
      </c>
      <c r="AQ456" s="88">
        <v>0</v>
      </c>
      <c r="AR456" s="52">
        <v>0</v>
      </c>
      <c r="AS456" s="52"/>
      <c r="AT456" s="52"/>
      <c r="AU456" s="48">
        <v>0</v>
      </c>
      <c r="AV456" s="48"/>
      <c r="AW456" s="52"/>
      <c r="AX456" s="52">
        <v>0</v>
      </c>
      <c r="AY456" s="48"/>
      <c r="AZ456" s="52">
        <v>0</v>
      </c>
      <c r="BA456" s="52">
        <v>0</v>
      </c>
      <c r="BB456" s="48"/>
      <c r="BC456" s="45">
        <v>0</v>
      </c>
      <c r="BD456" s="45">
        <v>0</v>
      </c>
      <c r="BE456" s="45">
        <v>0</v>
      </c>
      <c r="BF456" s="45">
        <v>0</v>
      </c>
      <c r="BG456" s="45"/>
      <c r="BH456" s="46"/>
      <c r="BI456" s="45">
        <v>0</v>
      </c>
      <c r="BJ456" s="45">
        <v>0</v>
      </c>
      <c r="BK456" s="45"/>
      <c r="BL456" s="45"/>
      <c r="BM456" s="45">
        <v>0</v>
      </c>
      <c r="BN456" s="45"/>
      <c r="BO456" s="45"/>
      <c r="BP456" s="46"/>
      <c r="BQ456" s="48"/>
      <c r="BR456" s="52">
        <v>0</v>
      </c>
      <c r="BS456" s="52">
        <v>0</v>
      </c>
    </row>
    <row r="457" spans="2:71" x14ac:dyDescent="0.2">
      <c r="B457" s="56" t="s">
        <v>64</v>
      </c>
      <c r="C457" s="45"/>
      <c r="D457" s="45">
        <v>0</v>
      </c>
      <c r="E457" s="52">
        <v>0</v>
      </c>
      <c r="F457" s="52">
        <v>0</v>
      </c>
      <c r="G457" s="48"/>
      <c r="H457" s="45">
        <v>0</v>
      </c>
      <c r="I457" s="45">
        <v>0</v>
      </c>
      <c r="J457" s="45">
        <v>0</v>
      </c>
      <c r="K457" s="45"/>
      <c r="L457" s="45"/>
      <c r="M457" s="52">
        <v>0</v>
      </c>
      <c r="N457" s="52">
        <v>0</v>
      </c>
      <c r="O457" s="45">
        <v>0</v>
      </c>
      <c r="P457" s="45"/>
      <c r="Q457" s="52"/>
      <c r="R457" s="52">
        <v>0</v>
      </c>
      <c r="S457" s="61">
        <v>0</v>
      </c>
      <c r="T457" s="49"/>
      <c r="U457" s="49"/>
      <c r="V457" s="45"/>
      <c r="W457" s="45"/>
      <c r="X457" s="45"/>
      <c r="Y457" s="45">
        <v>0</v>
      </c>
      <c r="Z457" s="45">
        <v>0</v>
      </c>
      <c r="AA457" s="45"/>
      <c r="AB457" s="45"/>
      <c r="AC457" s="45"/>
      <c r="AD457" s="52"/>
      <c r="AE457" s="52">
        <v>0</v>
      </c>
      <c r="AF457" s="48">
        <v>0</v>
      </c>
      <c r="AG457" s="52">
        <v>0</v>
      </c>
      <c r="AH457" s="52">
        <v>0</v>
      </c>
      <c r="AI457" s="48"/>
      <c r="AJ457" s="48">
        <v>0</v>
      </c>
      <c r="AK457" s="52">
        <v>0</v>
      </c>
      <c r="AL457" s="52">
        <v>0</v>
      </c>
      <c r="AM457" s="48">
        <v>0</v>
      </c>
      <c r="AN457" s="52">
        <v>0</v>
      </c>
      <c r="AO457" s="52">
        <v>0</v>
      </c>
      <c r="AP457" s="48">
        <v>0</v>
      </c>
      <c r="AQ457" s="88">
        <v>0</v>
      </c>
      <c r="AR457" s="52">
        <v>0</v>
      </c>
      <c r="AS457" s="52"/>
      <c r="AT457" s="52"/>
      <c r="AU457" s="48">
        <v>0</v>
      </c>
      <c r="AV457" s="48"/>
      <c r="AW457" s="52"/>
      <c r="AX457" s="52">
        <v>0</v>
      </c>
      <c r="AY457" s="48"/>
      <c r="AZ457" s="52">
        <v>0</v>
      </c>
      <c r="BA457" s="52">
        <v>0</v>
      </c>
      <c r="BB457" s="48"/>
      <c r="BC457" s="45">
        <v>0</v>
      </c>
      <c r="BD457" s="45">
        <v>0</v>
      </c>
      <c r="BE457" s="45">
        <v>0</v>
      </c>
      <c r="BF457" s="45">
        <v>0</v>
      </c>
      <c r="BG457" s="45"/>
      <c r="BH457" s="46"/>
      <c r="BI457" s="45">
        <v>0</v>
      </c>
      <c r="BJ457" s="45">
        <v>0</v>
      </c>
      <c r="BK457" s="45"/>
      <c r="BL457" s="45"/>
      <c r="BM457" s="45">
        <v>0</v>
      </c>
      <c r="BN457" s="45"/>
      <c r="BO457" s="45"/>
      <c r="BP457" s="46"/>
      <c r="BQ457" s="48"/>
      <c r="BR457" s="52">
        <v>0</v>
      </c>
      <c r="BS457" s="52">
        <v>0</v>
      </c>
    </row>
    <row r="458" spans="2:71" x14ac:dyDescent="0.2">
      <c r="B458" s="56" t="s">
        <v>64</v>
      </c>
      <c r="C458" s="45"/>
      <c r="D458" s="45">
        <v>0</v>
      </c>
      <c r="E458" s="52">
        <v>0</v>
      </c>
      <c r="F458" s="52">
        <v>0</v>
      </c>
      <c r="G458" s="48"/>
      <c r="H458" s="45">
        <v>0</v>
      </c>
      <c r="I458" s="45">
        <v>0</v>
      </c>
      <c r="J458" s="45">
        <v>0</v>
      </c>
      <c r="K458" s="45"/>
      <c r="L458" s="45"/>
      <c r="M458" s="52">
        <v>0</v>
      </c>
      <c r="N458" s="52">
        <v>0</v>
      </c>
      <c r="O458" s="45">
        <v>0</v>
      </c>
      <c r="P458" s="45"/>
      <c r="Q458" s="52"/>
      <c r="R458" s="52">
        <v>0</v>
      </c>
      <c r="S458" s="61">
        <v>0</v>
      </c>
      <c r="T458" s="49"/>
      <c r="U458" s="49"/>
      <c r="V458" s="45"/>
      <c r="W458" s="45"/>
      <c r="X458" s="45"/>
      <c r="Y458" s="45">
        <v>0</v>
      </c>
      <c r="Z458" s="45">
        <v>0</v>
      </c>
      <c r="AA458" s="45"/>
      <c r="AB458" s="45"/>
      <c r="AC458" s="45"/>
      <c r="AD458" s="52"/>
      <c r="AE458" s="52">
        <v>0</v>
      </c>
      <c r="AF458" s="48">
        <v>0</v>
      </c>
      <c r="AG458" s="52">
        <v>0</v>
      </c>
      <c r="AH458" s="52">
        <v>0</v>
      </c>
      <c r="AI458" s="48"/>
      <c r="AJ458" s="48">
        <v>0</v>
      </c>
      <c r="AK458" s="52">
        <v>0</v>
      </c>
      <c r="AL458" s="52">
        <v>0</v>
      </c>
      <c r="AM458" s="48">
        <v>0</v>
      </c>
      <c r="AN458" s="52">
        <v>0</v>
      </c>
      <c r="AO458" s="52">
        <v>0</v>
      </c>
      <c r="AP458" s="48">
        <v>0</v>
      </c>
      <c r="AQ458" s="88">
        <v>0</v>
      </c>
      <c r="AR458" s="52">
        <v>0</v>
      </c>
      <c r="AS458" s="52"/>
      <c r="AT458" s="52"/>
      <c r="AU458" s="48">
        <v>0</v>
      </c>
      <c r="AV458" s="48"/>
      <c r="AW458" s="52"/>
      <c r="AX458" s="52">
        <v>0</v>
      </c>
      <c r="AY458" s="48"/>
      <c r="AZ458" s="52">
        <v>0</v>
      </c>
      <c r="BA458" s="52">
        <v>0</v>
      </c>
      <c r="BB458" s="48"/>
      <c r="BC458" s="45">
        <v>0</v>
      </c>
      <c r="BD458" s="45">
        <v>0</v>
      </c>
      <c r="BE458" s="45">
        <v>0</v>
      </c>
      <c r="BF458" s="45">
        <v>0</v>
      </c>
      <c r="BG458" s="45"/>
      <c r="BH458" s="46"/>
      <c r="BI458" s="45">
        <v>0</v>
      </c>
      <c r="BJ458" s="45">
        <v>0</v>
      </c>
      <c r="BK458" s="45"/>
      <c r="BL458" s="45"/>
      <c r="BM458" s="45">
        <v>0</v>
      </c>
      <c r="BN458" s="45"/>
      <c r="BO458" s="45"/>
      <c r="BP458" s="46"/>
      <c r="BQ458" s="48"/>
      <c r="BR458" s="52">
        <v>0</v>
      </c>
      <c r="BS458" s="52">
        <v>0</v>
      </c>
    </row>
    <row r="459" spans="2:71" x14ac:dyDescent="0.2">
      <c r="B459" s="56" t="s">
        <v>64</v>
      </c>
      <c r="C459" s="45"/>
      <c r="D459" s="45">
        <v>0</v>
      </c>
      <c r="E459" s="52">
        <v>0</v>
      </c>
      <c r="F459" s="52">
        <v>0</v>
      </c>
      <c r="G459" s="48"/>
      <c r="H459" s="45">
        <v>0</v>
      </c>
      <c r="I459" s="45">
        <v>0</v>
      </c>
      <c r="J459" s="45">
        <v>0</v>
      </c>
      <c r="K459" s="45"/>
      <c r="L459" s="45"/>
      <c r="M459" s="52">
        <v>0</v>
      </c>
      <c r="N459" s="52">
        <v>0</v>
      </c>
      <c r="O459" s="45">
        <v>0</v>
      </c>
      <c r="P459" s="45"/>
      <c r="Q459" s="52"/>
      <c r="R459" s="52">
        <v>0</v>
      </c>
      <c r="S459" s="61">
        <v>0</v>
      </c>
      <c r="T459" s="49"/>
      <c r="U459" s="49"/>
      <c r="V459" s="45"/>
      <c r="W459" s="45"/>
      <c r="X459" s="45"/>
      <c r="Y459" s="45">
        <v>0</v>
      </c>
      <c r="Z459" s="45">
        <v>0</v>
      </c>
      <c r="AA459" s="45"/>
      <c r="AB459" s="45"/>
      <c r="AC459" s="45"/>
      <c r="AD459" s="52"/>
      <c r="AE459" s="52">
        <v>0</v>
      </c>
      <c r="AF459" s="48">
        <v>0</v>
      </c>
      <c r="AG459" s="52">
        <v>0</v>
      </c>
      <c r="AH459" s="52">
        <v>0</v>
      </c>
      <c r="AI459" s="48"/>
      <c r="AJ459" s="48">
        <v>0</v>
      </c>
      <c r="AK459" s="52">
        <v>0</v>
      </c>
      <c r="AL459" s="52">
        <v>0</v>
      </c>
      <c r="AM459" s="48">
        <v>0</v>
      </c>
      <c r="AN459" s="52">
        <v>0</v>
      </c>
      <c r="AO459" s="52">
        <v>0</v>
      </c>
      <c r="AP459" s="48">
        <v>0</v>
      </c>
      <c r="AQ459" s="88">
        <v>0</v>
      </c>
      <c r="AR459" s="52">
        <v>0</v>
      </c>
      <c r="AS459" s="52"/>
      <c r="AT459" s="52"/>
      <c r="AU459" s="48">
        <v>0</v>
      </c>
      <c r="AV459" s="48"/>
      <c r="AW459" s="52"/>
      <c r="AX459" s="52">
        <v>0</v>
      </c>
      <c r="AY459" s="48"/>
      <c r="AZ459" s="52">
        <v>0</v>
      </c>
      <c r="BA459" s="52">
        <v>0</v>
      </c>
      <c r="BB459" s="48"/>
      <c r="BC459" s="45">
        <v>0</v>
      </c>
      <c r="BD459" s="45">
        <v>0</v>
      </c>
      <c r="BE459" s="45">
        <v>0</v>
      </c>
      <c r="BF459" s="45">
        <v>0</v>
      </c>
      <c r="BG459" s="45"/>
      <c r="BH459" s="46"/>
      <c r="BI459" s="45">
        <v>0</v>
      </c>
      <c r="BJ459" s="45">
        <v>0</v>
      </c>
      <c r="BK459" s="45"/>
      <c r="BL459" s="45"/>
      <c r="BM459" s="45">
        <v>0</v>
      </c>
      <c r="BN459" s="45"/>
      <c r="BO459" s="45"/>
      <c r="BP459" s="46"/>
      <c r="BQ459" s="48"/>
      <c r="BR459" s="52">
        <v>0</v>
      </c>
      <c r="BS459" s="52">
        <v>0</v>
      </c>
    </row>
    <row r="460" spans="2:71" x14ac:dyDescent="0.2">
      <c r="B460" s="56" t="s">
        <v>64</v>
      </c>
      <c r="C460" s="45"/>
      <c r="D460" s="45">
        <v>0</v>
      </c>
      <c r="E460" s="52">
        <v>0</v>
      </c>
      <c r="F460" s="52">
        <v>0</v>
      </c>
      <c r="G460" s="48"/>
      <c r="H460" s="45">
        <v>0</v>
      </c>
      <c r="I460" s="45">
        <v>0</v>
      </c>
      <c r="J460" s="45">
        <v>0</v>
      </c>
      <c r="K460" s="45"/>
      <c r="L460" s="45"/>
      <c r="M460" s="52">
        <v>0</v>
      </c>
      <c r="N460" s="52">
        <v>0</v>
      </c>
      <c r="O460" s="45">
        <v>0</v>
      </c>
      <c r="P460" s="45"/>
      <c r="Q460" s="52"/>
      <c r="R460" s="52">
        <v>0</v>
      </c>
      <c r="S460" s="61">
        <v>0</v>
      </c>
      <c r="T460" s="49"/>
      <c r="U460" s="49"/>
      <c r="V460" s="45"/>
      <c r="W460" s="45"/>
      <c r="X460" s="45"/>
      <c r="Y460" s="45">
        <v>0</v>
      </c>
      <c r="Z460" s="45">
        <v>0</v>
      </c>
      <c r="AA460" s="45"/>
      <c r="AB460" s="45"/>
      <c r="AC460" s="45"/>
      <c r="AD460" s="52"/>
      <c r="AE460" s="52">
        <v>0</v>
      </c>
      <c r="AF460" s="48">
        <v>0</v>
      </c>
      <c r="AG460" s="52">
        <v>0</v>
      </c>
      <c r="AH460" s="52">
        <v>0</v>
      </c>
      <c r="AI460" s="48"/>
      <c r="AJ460" s="48">
        <v>0</v>
      </c>
      <c r="AK460" s="52">
        <v>0</v>
      </c>
      <c r="AL460" s="52">
        <v>0</v>
      </c>
      <c r="AM460" s="48">
        <v>0</v>
      </c>
      <c r="AN460" s="52">
        <v>0</v>
      </c>
      <c r="AO460" s="52">
        <v>0</v>
      </c>
      <c r="AP460" s="48">
        <v>0</v>
      </c>
      <c r="AQ460" s="88">
        <v>0</v>
      </c>
      <c r="AR460" s="52">
        <v>0</v>
      </c>
      <c r="AS460" s="52"/>
      <c r="AT460" s="52"/>
      <c r="AU460" s="48">
        <v>0</v>
      </c>
      <c r="AV460" s="48"/>
      <c r="AW460" s="52"/>
      <c r="AX460" s="52">
        <v>0</v>
      </c>
      <c r="AY460" s="48"/>
      <c r="AZ460" s="52">
        <v>0</v>
      </c>
      <c r="BA460" s="52">
        <v>0</v>
      </c>
      <c r="BB460" s="48"/>
      <c r="BC460" s="45">
        <v>0</v>
      </c>
      <c r="BD460" s="45">
        <v>0</v>
      </c>
      <c r="BE460" s="45">
        <v>0</v>
      </c>
      <c r="BF460" s="45">
        <v>0</v>
      </c>
      <c r="BG460" s="45"/>
      <c r="BH460" s="46"/>
      <c r="BI460" s="45">
        <v>0</v>
      </c>
      <c r="BJ460" s="45">
        <v>0</v>
      </c>
      <c r="BK460" s="45"/>
      <c r="BL460" s="45"/>
      <c r="BM460" s="45">
        <v>0</v>
      </c>
      <c r="BN460" s="45"/>
      <c r="BO460" s="45"/>
      <c r="BP460" s="46"/>
      <c r="BQ460" s="48"/>
      <c r="BR460" s="52">
        <v>0</v>
      </c>
      <c r="BS460" s="52">
        <v>0</v>
      </c>
    </row>
    <row r="461" spans="2:71" x14ac:dyDescent="0.2">
      <c r="B461" s="56" t="s">
        <v>64</v>
      </c>
      <c r="C461" s="45"/>
      <c r="D461" s="45">
        <v>0</v>
      </c>
      <c r="E461" s="52">
        <v>0</v>
      </c>
      <c r="F461" s="52">
        <v>0</v>
      </c>
      <c r="G461" s="48"/>
      <c r="H461" s="45">
        <v>0</v>
      </c>
      <c r="I461" s="45">
        <v>0</v>
      </c>
      <c r="J461" s="45">
        <v>0</v>
      </c>
      <c r="K461" s="45"/>
      <c r="L461" s="45"/>
      <c r="M461" s="52">
        <v>0</v>
      </c>
      <c r="N461" s="52">
        <v>0</v>
      </c>
      <c r="O461" s="45">
        <v>0</v>
      </c>
      <c r="P461" s="45"/>
      <c r="Q461" s="52"/>
      <c r="R461" s="52">
        <v>0</v>
      </c>
      <c r="S461" s="61">
        <v>0</v>
      </c>
      <c r="T461" s="49"/>
      <c r="U461" s="49"/>
      <c r="V461" s="45"/>
      <c r="W461" s="45"/>
      <c r="X461" s="45"/>
      <c r="Y461" s="45">
        <v>0</v>
      </c>
      <c r="Z461" s="45">
        <v>0</v>
      </c>
      <c r="AA461" s="45"/>
      <c r="AB461" s="45"/>
      <c r="AC461" s="45"/>
      <c r="AD461" s="52"/>
      <c r="AE461" s="52">
        <v>0</v>
      </c>
      <c r="AF461" s="48">
        <v>0</v>
      </c>
      <c r="AG461" s="52">
        <v>0</v>
      </c>
      <c r="AH461" s="52">
        <v>0</v>
      </c>
      <c r="AI461" s="48"/>
      <c r="AJ461" s="48">
        <v>0</v>
      </c>
      <c r="AK461" s="52">
        <v>0</v>
      </c>
      <c r="AL461" s="52">
        <v>0</v>
      </c>
      <c r="AM461" s="48">
        <v>0</v>
      </c>
      <c r="AN461" s="52">
        <v>0</v>
      </c>
      <c r="AO461" s="52">
        <v>0</v>
      </c>
      <c r="AP461" s="48">
        <v>0</v>
      </c>
      <c r="AQ461" s="88">
        <v>0</v>
      </c>
      <c r="AR461" s="52">
        <v>0</v>
      </c>
      <c r="AS461" s="52"/>
      <c r="AT461" s="52"/>
      <c r="AU461" s="48">
        <v>0</v>
      </c>
      <c r="AV461" s="48"/>
      <c r="AW461" s="52"/>
      <c r="AX461" s="52">
        <v>0</v>
      </c>
      <c r="AY461" s="48"/>
      <c r="AZ461" s="52">
        <v>0</v>
      </c>
      <c r="BA461" s="52">
        <v>0</v>
      </c>
      <c r="BB461" s="48"/>
      <c r="BC461" s="45">
        <v>0</v>
      </c>
      <c r="BD461" s="45">
        <v>0</v>
      </c>
      <c r="BE461" s="45">
        <v>0</v>
      </c>
      <c r="BF461" s="45">
        <v>0</v>
      </c>
      <c r="BG461" s="45"/>
      <c r="BH461" s="46"/>
      <c r="BI461" s="45">
        <v>0</v>
      </c>
      <c r="BJ461" s="45">
        <v>0</v>
      </c>
      <c r="BK461" s="45"/>
      <c r="BL461" s="45"/>
      <c r="BM461" s="45">
        <v>0</v>
      </c>
      <c r="BN461" s="45"/>
      <c r="BO461" s="45"/>
      <c r="BP461" s="46"/>
      <c r="BQ461" s="48"/>
      <c r="BR461" s="52">
        <v>0</v>
      </c>
      <c r="BS461" s="52">
        <v>0</v>
      </c>
    </row>
    <row r="462" spans="2:71" x14ac:dyDescent="0.2">
      <c r="B462" s="56" t="s">
        <v>64</v>
      </c>
      <c r="C462" s="45"/>
      <c r="D462" s="45">
        <v>0</v>
      </c>
      <c r="E462" s="52">
        <v>0</v>
      </c>
      <c r="F462" s="52">
        <v>0</v>
      </c>
      <c r="G462" s="48"/>
      <c r="H462" s="45">
        <v>0</v>
      </c>
      <c r="I462" s="45">
        <v>0</v>
      </c>
      <c r="J462" s="45">
        <v>0</v>
      </c>
      <c r="K462" s="45"/>
      <c r="L462" s="45"/>
      <c r="M462" s="52">
        <v>0</v>
      </c>
      <c r="N462" s="52">
        <v>0</v>
      </c>
      <c r="O462" s="45">
        <v>0</v>
      </c>
      <c r="P462" s="45"/>
      <c r="Q462" s="52"/>
      <c r="R462" s="52">
        <v>0</v>
      </c>
      <c r="S462" s="61">
        <v>0</v>
      </c>
      <c r="T462" s="49"/>
      <c r="U462" s="49"/>
      <c r="V462" s="45"/>
      <c r="W462" s="45"/>
      <c r="X462" s="45"/>
      <c r="Y462" s="45">
        <v>0</v>
      </c>
      <c r="Z462" s="45">
        <v>0</v>
      </c>
      <c r="AA462" s="45"/>
      <c r="AB462" s="45"/>
      <c r="AC462" s="45"/>
      <c r="AD462" s="52"/>
      <c r="AE462" s="52">
        <v>0</v>
      </c>
      <c r="AF462" s="48">
        <v>0</v>
      </c>
      <c r="AG462" s="52">
        <v>0</v>
      </c>
      <c r="AH462" s="52">
        <v>0</v>
      </c>
      <c r="AI462" s="48"/>
      <c r="AJ462" s="48">
        <v>0</v>
      </c>
      <c r="AK462" s="52">
        <v>0</v>
      </c>
      <c r="AL462" s="52">
        <v>0</v>
      </c>
      <c r="AM462" s="48">
        <v>0</v>
      </c>
      <c r="AN462" s="52">
        <v>0</v>
      </c>
      <c r="AO462" s="52">
        <v>0</v>
      </c>
      <c r="AP462" s="48">
        <v>0</v>
      </c>
      <c r="AQ462" s="88">
        <v>0</v>
      </c>
      <c r="AR462" s="52">
        <v>0</v>
      </c>
      <c r="AS462" s="52"/>
      <c r="AT462" s="52"/>
      <c r="AU462" s="48">
        <v>0</v>
      </c>
      <c r="AV462" s="48"/>
      <c r="AW462" s="52"/>
      <c r="AX462" s="52">
        <v>0</v>
      </c>
      <c r="AY462" s="48"/>
      <c r="AZ462" s="52">
        <v>0</v>
      </c>
      <c r="BA462" s="52">
        <v>0</v>
      </c>
      <c r="BB462" s="48"/>
      <c r="BC462" s="45">
        <v>0</v>
      </c>
      <c r="BD462" s="45">
        <v>0</v>
      </c>
      <c r="BE462" s="45">
        <v>0</v>
      </c>
      <c r="BF462" s="45">
        <v>0</v>
      </c>
      <c r="BG462" s="45"/>
      <c r="BH462" s="46"/>
      <c r="BI462" s="45">
        <v>0</v>
      </c>
      <c r="BJ462" s="45">
        <v>0</v>
      </c>
      <c r="BK462" s="45"/>
      <c r="BL462" s="45"/>
      <c r="BM462" s="45">
        <v>0</v>
      </c>
      <c r="BN462" s="45"/>
      <c r="BO462" s="45"/>
      <c r="BP462" s="46"/>
      <c r="BQ462" s="48"/>
      <c r="BR462" s="52">
        <v>0</v>
      </c>
      <c r="BS462" s="52">
        <v>0</v>
      </c>
    </row>
    <row r="463" spans="2:71" x14ac:dyDescent="0.2">
      <c r="B463" s="56" t="s">
        <v>64</v>
      </c>
      <c r="C463" s="45"/>
      <c r="D463" s="45">
        <v>0</v>
      </c>
      <c r="E463" s="52">
        <v>0</v>
      </c>
      <c r="F463" s="52">
        <v>0</v>
      </c>
      <c r="G463" s="48"/>
      <c r="H463" s="45">
        <v>0</v>
      </c>
      <c r="I463" s="45">
        <v>0</v>
      </c>
      <c r="J463" s="45">
        <v>0</v>
      </c>
      <c r="K463" s="45"/>
      <c r="L463" s="45"/>
      <c r="M463" s="52">
        <v>0</v>
      </c>
      <c r="N463" s="52">
        <v>0</v>
      </c>
      <c r="O463" s="45">
        <v>0</v>
      </c>
      <c r="P463" s="45"/>
      <c r="Q463" s="52"/>
      <c r="R463" s="52">
        <v>0</v>
      </c>
      <c r="S463" s="61">
        <v>0</v>
      </c>
      <c r="T463" s="49"/>
      <c r="U463" s="49"/>
      <c r="V463" s="45"/>
      <c r="W463" s="45"/>
      <c r="X463" s="45"/>
      <c r="Y463" s="45">
        <v>0</v>
      </c>
      <c r="Z463" s="45">
        <v>0</v>
      </c>
      <c r="AA463" s="45"/>
      <c r="AB463" s="45"/>
      <c r="AC463" s="45"/>
      <c r="AD463" s="52"/>
      <c r="AE463" s="52">
        <v>0</v>
      </c>
      <c r="AF463" s="48">
        <v>0</v>
      </c>
      <c r="AG463" s="52">
        <v>0</v>
      </c>
      <c r="AH463" s="52">
        <v>0</v>
      </c>
      <c r="AI463" s="48"/>
      <c r="AJ463" s="48">
        <v>0</v>
      </c>
      <c r="AK463" s="52">
        <v>0</v>
      </c>
      <c r="AL463" s="52">
        <v>0</v>
      </c>
      <c r="AM463" s="48">
        <v>0</v>
      </c>
      <c r="AN463" s="52">
        <v>0</v>
      </c>
      <c r="AO463" s="52">
        <v>0</v>
      </c>
      <c r="AP463" s="48">
        <v>0</v>
      </c>
      <c r="AQ463" s="88">
        <v>0</v>
      </c>
      <c r="AR463" s="52">
        <v>0</v>
      </c>
      <c r="AS463" s="52"/>
      <c r="AT463" s="52"/>
      <c r="AU463" s="48">
        <v>0</v>
      </c>
      <c r="AV463" s="48"/>
      <c r="AW463" s="52"/>
      <c r="AX463" s="52">
        <v>0</v>
      </c>
      <c r="AY463" s="48"/>
      <c r="AZ463" s="52">
        <v>0</v>
      </c>
      <c r="BA463" s="52">
        <v>0</v>
      </c>
      <c r="BB463" s="48"/>
      <c r="BC463" s="45">
        <v>0</v>
      </c>
      <c r="BD463" s="45">
        <v>0</v>
      </c>
      <c r="BE463" s="45">
        <v>0</v>
      </c>
      <c r="BF463" s="45">
        <v>0</v>
      </c>
      <c r="BG463" s="45"/>
      <c r="BH463" s="46"/>
      <c r="BI463" s="45">
        <v>0</v>
      </c>
      <c r="BJ463" s="45">
        <v>0</v>
      </c>
      <c r="BK463" s="45"/>
      <c r="BL463" s="45"/>
      <c r="BM463" s="45">
        <v>0</v>
      </c>
      <c r="BN463" s="45"/>
      <c r="BO463" s="45"/>
      <c r="BP463" s="46"/>
      <c r="BQ463" s="48"/>
      <c r="BR463" s="52">
        <v>0</v>
      </c>
      <c r="BS463" s="52">
        <v>0</v>
      </c>
    </row>
    <row r="464" spans="2:71" x14ac:dyDescent="0.2">
      <c r="B464" s="56" t="s">
        <v>64</v>
      </c>
      <c r="C464" s="45"/>
      <c r="D464" s="45">
        <v>0</v>
      </c>
      <c r="E464" s="52">
        <v>0</v>
      </c>
      <c r="F464" s="52">
        <v>0</v>
      </c>
      <c r="G464" s="48"/>
      <c r="H464" s="45">
        <v>0</v>
      </c>
      <c r="I464" s="45">
        <v>0</v>
      </c>
      <c r="J464" s="45">
        <v>0</v>
      </c>
      <c r="K464" s="45"/>
      <c r="L464" s="45"/>
      <c r="M464" s="52">
        <v>0</v>
      </c>
      <c r="N464" s="52">
        <v>0</v>
      </c>
      <c r="O464" s="45">
        <v>0</v>
      </c>
      <c r="P464" s="45"/>
      <c r="Q464" s="52"/>
      <c r="R464" s="52">
        <v>0</v>
      </c>
      <c r="S464" s="61">
        <v>0</v>
      </c>
      <c r="T464" s="49"/>
      <c r="U464" s="49"/>
      <c r="V464" s="45"/>
      <c r="W464" s="45"/>
      <c r="X464" s="45"/>
      <c r="Y464" s="45">
        <v>0</v>
      </c>
      <c r="Z464" s="45">
        <v>0</v>
      </c>
      <c r="AA464" s="45"/>
      <c r="AB464" s="45"/>
      <c r="AC464" s="45"/>
      <c r="AD464" s="52"/>
      <c r="AE464" s="52">
        <v>0</v>
      </c>
      <c r="AF464" s="48">
        <v>0</v>
      </c>
      <c r="AG464" s="52">
        <v>0</v>
      </c>
      <c r="AH464" s="52">
        <v>0</v>
      </c>
      <c r="AI464" s="48"/>
      <c r="AJ464" s="48">
        <v>0</v>
      </c>
      <c r="AK464" s="52">
        <v>0</v>
      </c>
      <c r="AL464" s="52">
        <v>0</v>
      </c>
      <c r="AM464" s="48">
        <v>0</v>
      </c>
      <c r="AN464" s="52">
        <v>0</v>
      </c>
      <c r="AO464" s="52">
        <v>0</v>
      </c>
      <c r="AP464" s="48">
        <v>0</v>
      </c>
      <c r="AQ464" s="88">
        <v>0</v>
      </c>
      <c r="AR464" s="52">
        <v>0</v>
      </c>
      <c r="AS464" s="52"/>
      <c r="AT464" s="52"/>
      <c r="AU464" s="48">
        <v>0</v>
      </c>
      <c r="AV464" s="48"/>
      <c r="AW464" s="52"/>
      <c r="AX464" s="52">
        <v>0</v>
      </c>
      <c r="AY464" s="48"/>
      <c r="AZ464" s="52">
        <v>0</v>
      </c>
      <c r="BA464" s="52">
        <v>0</v>
      </c>
      <c r="BB464" s="48"/>
      <c r="BC464" s="45">
        <v>0</v>
      </c>
      <c r="BD464" s="45">
        <v>0</v>
      </c>
      <c r="BE464" s="45">
        <v>0</v>
      </c>
      <c r="BF464" s="45">
        <v>0</v>
      </c>
      <c r="BG464" s="45"/>
      <c r="BH464" s="46"/>
      <c r="BI464" s="45">
        <v>0</v>
      </c>
      <c r="BJ464" s="45">
        <v>0</v>
      </c>
      <c r="BK464" s="45"/>
      <c r="BL464" s="45"/>
      <c r="BM464" s="45">
        <v>0</v>
      </c>
      <c r="BN464" s="45"/>
      <c r="BO464" s="45"/>
      <c r="BP464" s="46"/>
      <c r="BQ464" s="48"/>
      <c r="BR464" s="52">
        <v>0</v>
      </c>
      <c r="BS464" s="52">
        <v>0</v>
      </c>
    </row>
    <row r="465" spans="2:71" x14ac:dyDescent="0.2">
      <c r="B465" s="56" t="s">
        <v>64</v>
      </c>
      <c r="C465" s="45"/>
      <c r="D465" s="45">
        <v>0</v>
      </c>
      <c r="E465" s="52">
        <v>0</v>
      </c>
      <c r="F465" s="52">
        <v>0</v>
      </c>
      <c r="G465" s="48"/>
      <c r="H465" s="45">
        <v>0</v>
      </c>
      <c r="I465" s="45">
        <v>0</v>
      </c>
      <c r="J465" s="45">
        <v>0</v>
      </c>
      <c r="K465" s="45"/>
      <c r="L465" s="45"/>
      <c r="M465" s="52">
        <v>0</v>
      </c>
      <c r="N465" s="52">
        <v>0</v>
      </c>
      <c r="O465" s="45">
        <v>0</v>
      </c>
      <c r="P465" s="45"/>
      <c r="Q465" s="52"/>
      <c r="R465" s="52">
        <v>0</v>
      </c>
      <c r="S465" s="61">
        <v>0</v>
      </c>
      <c r="T465" s="49"/>
      <c r="U465" s="49"/>
      <c r="V465" s="45"/>
      <c r="W465" s="45"/>
      <c r="X465" s="45"/>
      <c r="Y465" s="45">
        <v>0</v>
      </c>
      <c r="Z465" s="45">
        <v>0</v>
      </c>
      <c r="AA465" s="45"/>
      <c r="AB465" s="45"/>
      <c r="AC465" s="45"/>
      <c r="AD465" s="52"/>
      <c r="AE465" s="52">
        <v>0</v>
      </c>
      <c r="AF465" s="48">
        <v>0</v>
      </c>
      <c r="AG465" s="52">
        <v>0</v>
      </c>
      <c r="AH465" s="52">
        <v>0</v>
      </c>
      <c r="AI465" s="48"/>
      <c r="AJ465" s="48">
        <v>0</v>
      </c>
      <c r="AK465" s="52">
        <v>0</v>
      </c>
      <c r="AL465" s="52">
        <v>0</v>
      </c>
      <c r="AM465" s="48">
        <v>0</v>
      </c>
      <c r="AN465" s="52">
        <v>0</v>
      </c>
      <c r="AO465" s="52">
        <v>0</v>
      </c>
      <c r="AP465" s="48">
        <v>0</v>
      </c>
      <c r="AQ465" s="88">
        <v>0</v>
      </c>
      <c r="AR465" s="52">
        <v>0</v>
      </c>
      <c r="AS465" s="52"/>
      <c r="AT465" s="52"/>
      <c r="AU465" s="48">
        <v>0</v>
      </c>
      <c r="AV465" s="48"/>
      <c r="AW465" s="52"/>
      <c r="AX465" s="52">
        <v>0</v>
      </c>
      <c r="AY465" s="48"/>
      <c r="AZ465" s="52">
        <v>0</v>
      </c>
      <c r="BA465" s="52">
        <v>0</v>
      </c>
      <c r="BB465" s="48"/>
      <c r="BC465" s="45">
        <v>0</v>
      </c>
      <c r="BD465" s="45">
        <v>0</v>
      </c>
      <c r="BE465" s="45">
        <v>0</v>
      </c>
      <c r="BF465" s="45">
        <v>0</v>
      </c>
      <c r="BG465" s="45"/>
      <c r="BH465" s="46"/>
      <c r="BI465" s="45">
        <v>0</v>
      </c>
      <c r="BJ465" s="45">
        <v>0</v>
      </c>
      <c r="BK465" s="45"/>
      <c r="BL465" s="45"/>
      <c r="BM465" s="45">
        <v>0</v>
      </c>
      <c r="BN465" s="45"/>
      <c r="BO465" s="45"/>
      <c r="BP465" s="46"/>
      <c r="BQ465" s="48"/>
      <c r="BR465" s="52">
        <v>0</v>
      </c>
      <c r="BS465" s="52">
        <v>0</v>
      </c>
    </row>
    <row r="466" spans="2:71" x14ac:dyDescent="0.2">
      <c r="B466" s="56" t="s">
        <v>64</v>
      </c>
      <c r="C466" s="45"/>
      <c r="D466" s="45">
        <v>0</v>
      </c>
      <c r="E466" s="52">
        <v>0</v>
      </c>
      <c r="F466" s="52">
        <v>0</v>
      </c>
      <c r="G466" s="48"/>
      <c r="H466" s="45">
        <v>0</v>
      </c>
      <c r="I466" s="45">
        <v>0</v>
      </c>
      <c r="J466" s="45">
        <v>0</v>
      </c>
      <c r="K466" s="45"/>
      <c r="L466" s="45"/>
      <c r="M466" s="52">
        <v>0</v>
      </c>
      <c r="N466" s="52">
        <v>0</v>
      </c>
      <c r="O466" s="45">
        <v>0</v>
      </c>
      <c r="P466" s="45"/>
      <c r="Q466" s="52"/>
      <c r="R466" s="52">
        <v>0</v>
      </c>
      <c r="S466" s="61">
        <v>0</v>
      </c>
      <c r="T466" s="49"/>
      <c r="U466" s="49"/>
      <c r="V466" s="45"/>
      <c r="W466" s="45"/>
      <c r="X466" s="45"/>
      <c r="Y466" s="45">
        <v>0</v>
      </c>
      <c r="Z466" s="45">
        <v>0</v>
      </c>
      <c r="AA466" s="45"/>
      <c r="AB466" s="45"/>
      <c r="AC466" s="45"/>
      <c r="AD466" s="52"/>
      <c r="AE466" s="52">
        <v>0</v>
      </c>
      <c r="AF466" s="48">
        <v>0</v>
      </c>
      <c r="AG466" s="52">
        <v>0</v>
      </c>
      <c r="AH466" s="52">
        <v>0</v>
      </c>
      <c r="AI466" s="48"/>
      <c r="AJ466" s="48">
        <v>0</v>
      </c>
      <c r="AK466" s="52">
        <v>0</v>
      </c>
      <c r="AL466" s="52">
        <v>0</v>
      </c>
      <c r="AM466" s="48">
        <v>0</v>
      </c>
      <c r="AN466" s="52">
        <v>0</v>
      </c>
      <c r="AO466" s="52">
        <v>0</v>
      </c>
      <c r="AP466" s="48">
        <v>0</v>
      </c>
      <c r="AQ466" s="88">
        <v>0</v>
      </c>
      <c r="AR466" s="52">
        <v>0</v>
      </c>
      <c r="AS466" s="52"/>
      <c r="AT466" s="52"/>
      <c r="AU466" s="48">
        <v>0</v>
      </c>
      <c r="AV466" s="48"/>
      <c r="AW466" s="52"/>
      <c r="AX466" s="52">
        <v>0</v>
      </c>
      <c r="AY466" s="48"/>
      <c r="AZ466" s="52">
        <v>0</v>
      </c>
      <c r="BA466" s="52">
        <v>0</v>
      </c>
      <c r="BB466" s="48"/>
      <c r="BC466" s="45">
        <v>0</v>
      </c>
      <c r="BD466" s="45">
        <v>0</v>
      </c>
      <c r="BE466" s="45">
        <v>0</v>
      </c>
      <c r="BF466" s="45">
        <v>0</v>
      </c>
      <c r="BG466" s="45"/>
      <c r="BH466" s="46"/>
      <c r="BI466" s="45">
        <v>0</v>
      </c>
      <c r="BJ466" s="45">
        <v>0</v>
      </c>
      <c r="BK466" s="45"/>
      <c r="BL466" s="45"/>
      <c r="BM466" s="45">
        <v>0</v>
      </c>
      <c r="BN466" s="45"/>
      <c r="BO466" s="45"/>
      <c r="BP466" s="46"/>
      <c r="BQ466" s="48"/>
      <c r="BR466" s="52">
        <v>0</v>
      </c>
      <c r="BS466" s="52">
        <v>0</v>
      </c>
    </row>
    <row r="467" spans="2:71" x14ac:dyDescent="0.2">
      <c r="B467" s="56" t="s">
        <v>64</v>
      </c>
      <c r="C467" s="45"/>
      <c r="D467" s="45">
        <v>0</v>
      </c>
      <c r="E467" s="52">
        <v>0</v>
      </c>
      <c r="F467" s="52">
        <v>0</v>
      </c>
      <c r="G467" s="48"/>
      <c r="H467" s="45">
        <v>0</v>
      </c>
      <c r="I467" s="45">
        <v>0</v>
      </c>
      <c r="J467" s="45">
        <v>0</v>
      </c>
      <c r="K467" s="45"/>
      <c r="L467" s="45"/>
      <c r="M467" s="52">
        <v>0</v>
      </c>
      <c r="N467" s="52">
        <v>0</v>
      </c>
      <c r="O467" s="45">
        <v>0</v>
      </c>
      <c r="P467" s="45"/>
      <c r="Q467" s="52"/>
      <c r="R467" s="52">
        <v>0</v>
      </c>
      <c r="S467" s="61">
        <v>0</v>
      </c>
      <c r="T467" s="49"/>
      <c r="U467" s="49"/>
      <c r="V467" s="45"/>
      <c r="W467" s="45"/>
      <c r="X467" s="45"/>
      <c r="Y467" s="45">
        <v>0</v>
      </c>
      <c r="Z467" s="45">
        <v>0</v>
      </c>
      <c r="AA467" s="45"/>
      <c r="AB467" s="45"/>
      <c r="AC467" s="45"/>
      <c r="AD467" s="52"/>
      <c r="AE467" s="52">
        <v>0</v>
      </c>
      <c r="AF467" s="48">
        <v>0</v>
      </c>
      <c r="AG467" s="52">
        <v>0</v>
      </c>
      <c r="AH467" s="52">
        <v>0</v>
      </c>
      <c r="AI467" s="48"/>
      <c r="AJ467" s="48">
        <v>0</v>
      </c>
      <c r="AK467" s="52">
        <v>0</v>
      </c>
      <c r="AL467" s="52">
        <v>0</v>
      </c>
      <c r="AM467" s="48">
        <v>0</v>
      </c>
      <c r="AN467" s="52">
        <v>0</v>
      </c>
      <c r="AO467" s="52">
        <v>0</v>
      </c>
      <c r="AP467" s="48">
        <v>0</v>
      </c>
      <c r="AQ467" s="88">
        <v>0</v>
      </c>
      <c r="AR467" s="52">
        <v>0</v>
      </c>
      <c r="AS467" s="52"/>
      <c r="AT467" s="52"/>
      <c r="AU467" s="48">
        <v>0</v>
      </c>
      <c r="AV467" s="48"/>
      <c r="AW467" s="52"/>
      <c r="AX467" s="52">
        <v>0</v>
      </c>
      <c r="AY467" s="48"/>
      <c r="AZ467" s="52">
        <v>0</v>
      </c>
      <c r="BA467" s="52">
        <v>0</v>
      </c>
      <c r="BB467" s="48"/>
      <c r="BC467" s="45">
        <v>0</v>
      </c>
      <c r="BD467" s="45">
        <v>0</v>
      </c>
      <c r="BE467" s="45">
        <v>0</v>
      </c>
      <c r="BF467" s="45">
        <v>0</v>
      </c>
      <c r="BG467" s="45"/>
      <c r="BH467" s="46"/>
      <c r="BI467" s="45">
        <v>0</v>
      </c>
      <c r="BJ467" s="45">
        <v>0</v>
      </c>
      <c r="BK467" s="45"/>
      <c r="BL467" s="45"/>
      <c r="BM467" s="45">
        <v>0</v>
      </c>
      <c r="BN467" s="45"/>
      <c r="BO467" s="45"/>
      <c r="BP467" s="46"/>
      <c r="BQ467" s="48"/>
      <c r="BR467" s="52">
        <v>0</v>
      </c>
      <c r="BS467" s="52">
        <v>0</v>
      </c>
    </row>
    <row r="468" spans="2:71" x14ac:dyDescent="0.2">
      <c r="B468" s="56" t="s">
        <v>64</v>
      </c>
      <c r="C468" s="45"/>
      <c r="D468" s="45">
        <v>0</v>
      </c>
      <c r="E468" s="52">
        <v>0</v>
      </c>
      <c r="F468" s="52">
        <v>0</v>
      </c>
      <c r="G468" s="48"/>
      <c r="H468" s="45">
        <v>0</v>
      </c>
      <c r="I468" s="45">
        <v>0</v>
      </c>
      <c r="J468" s="45">
        <v>0</v>
      </c>
      <c r="K468" s="45"/>
      <c r="L468" s="45"/>
      <c r="M468" s="52">
        <v>0</v>
      </c>
      <c r="N468" s="52">
        <v>0</v>
      </c>
      <c r="O468" s="45">
        <v>0</v>
      </c>
      <c r="P468" s="45"/>
      <c r="Q468" s="52"/>
      <c r="R468" s="52">
        <v>0</v>
      </c>
      <c r="S468" s="61">
        <v>0</v>
      </c>
      <c r="T468" s="49"/>
      <c r="U468" s="49"/>
      <c r="V468" s="45"/>
      <c r="W468" s="45"/>
      <c r="X468" s="45"/>
      <c r="Y468" s="45">
        <v>0</v>
      </c>
      <c r="Z468" s="45">
        <v>0</v>
      </c>
      <c r="AA468" s="45"/>
      <c r="AB468" s="45"/>
      <c r="AC468" s="45"/>
      <c r="AD468" s="52"/>
      <c r="AE468" s="52">
        <v>0</v>
      </c>
      <c r="AF468" s="48">
        <v>0</v>
      </c>
      <c r="AG468" s="52">
        <v>0</v>
      </c>
      <c r="AH468" s="52">
        <v>0</v>
      </c>
      <c r="AI468" s="48"/>
      <c r="AJ468" s="48">
        <v>0</v>
      </c>
      <c r="AK468" s="52">
        <v>0</v>
      </c>
      <c r="AL468" s="52">
        <v>0</v>
      </c>
      <c r="AM468" s="48">
        <v>0</v>
      </c>
      <c r="AN468" s="52">
        <v>0</v>
      </c>
      <c r="AO468" s="52">
        <v>0</v>
      </c>
      <c r="AP468" s="48">
        <v>0</v>
      </c>
      <c r="AQ468" s="88">
        <v>0</v>
      </c>
      <c r="AR468" s="52">
        <v>0</v>
      </c>
      <c r="AS468" s="52"/>
      <c r="AT468" s="52"/>
      <c r="AU468" s="48">
        <v>0</v>
      </c>
      <c r="AV468" s="48"/>
      <c r="AW468" s="52"/>
      <c r="AX468" s="52">
        <v>0</v>
      </c>
      <c r="AY468" s="48"/>
      <c r="AZ468" s="52">
        <v>0</v>
      </c>
      <c r="BA468" s="52">
        <v>0</v>
      </c>
      <c r="BB468" s="48"/>
      <c r="BC468" s="45">
        <v>0</v>
      </c>
      <c r="BD468" s="45">
        <v>0</v>
      </c>
      <c r="BE468" s="45">
        <v>0</v>
      </c>
      <c r="BF468" s="45">
        <v>0</v>
      </c>
      <c r="BG468" s="45"/>
      <c r="BH468" s="46"/>
      <c r="BI468" s="45">
        <v>0</v>
      </c>
      <c r="BJ468" s="45">
        <v>0</v>
      </c>
      <c r="BK468" s="45"/>
      <c r="BL468" s="45"/>
      <c r="BM468" s="45">
        <v>0</v>
      </c>
      <c r="BN468" s="45"/>
      <c r="BO468" s="45"/>
      <c r="BP468" s="46"/>
      <c r="BQ468" s="48"/>
      <c r="BR468" s="52">
        <v>0</v>
      </c>
      <c r="BS468" s="52">
        <v>0</v>
      </c>
    </row>
    <row r="469" spans="2:71" x14ac:dyDescent="0.2">
      <c r="B469" s="56" t="s">
        <v>64</v>
      </c>
      <c r="C469" s="45"/>
      <c r="D469" s="45">
        <v>0</v>
      </c>
      <c r="E469" s="52">
        <v>0</v>
      </c>
      <c r="F469" s="52">
        <v>0</v>
      </c>
      <c r="G469" s="48"/>
      <c r="H469" s="45">
        <v>0</v>
      </c>
      <c r="I469" s="45">
        <v>0</v>
      </c>
      <c r="J469" s="45">
        <v>0</v>
      </c>
      <c r="K469" s="45"/>
      <c r="L469" s="45"/>
      <c r="M469" s="52">
        <v>0</v>
      </c>
      <c r="N469" s="52">
        <v>0</v>
      </c>
      <c r="O469" s="45">
        <v>0</v>
      </c>
      <c r="P469" s="45"/>
      <c r="Q469" s="52"/>
      <c r="R469" s="52">
        <v>0</v>
      </c>
      <c r="S469" s="61">
        <v>0</v>
      </c>
      <c r="T469" s="49"/>
      <c r="U469" s="49"/>
      <c r="V469" s="45"/>
      <c r="W469" s="45"/>
      <c r="X469" s="45"/>
      <c r="Y469" s="45">
        <v>0</v>
      </c>
      <c r="Z469" s="45">
        <v>0</v>
      </c>
      <c r="AA469" s="45"/>
      <c r="AB469" s="45"/>
      <c r="AC469" s="45"/>
      <c r="AD469" s="52"/>
      <c r="AE469" s="52">
        <v>0</v>
      </c>
      <c r="AF469" s="48">
        <v>0</v>
      </c>
      <c r="AG469" s="52">
        <v>0</v>
      </c>
      <c r="AH469" s="52">
        <v>0</v>
      </c>
      <c r="AI469" s="48"/>
      <c r="AJ469" s="48">
        <v>0</v>
      </c>
      <c r="AK469" s="52">
        <v>0</v>
      </c>
      <c r="AL469" s="52">
        <v>0</v>
      </c>
      <c r="AM469" s="48">
        <v>0</v>
      </c>
      <c r="AN469" s="52">
        <v>0</v>
      </c>
      <c r="AO469" s="52">
        <v>0</v>
      </c>
      <c r="AP469" s="48">
        <v>0</v>
      </c>
      <c r="AQ469" s="88">
        <v>0</v>
      </c>
      <c r="AR469" s="52">
        <v>0</v>
      </c>
      <c r="AS469" s="52"/>
      <c r="AT469" s="52"/>
      <c r="AU469" s="48">
        <v>0</v>
      </c>
      <c r="AV469" s="48"/>
      <c r="AW469" s="52"/>
      <c r="AX469" s="52">
        <v>0</v>
      </c>
      <c r="AY469" s="48"/>
      <c r="AZ469" s="52">
        <v>0</v>
      </c>
      <c r="BA469" s="52">
        <v>0</v>
      </c>
      <c r="BB469" s="48"/>
      <c r="BC469" s="45">
        <v>0</v>
      </c>
      <c r="BD469" s="45">
        <v>0</v>
      </c>
      <c r="BE469" s="45">
        <v>0</v>
      </c>
      <c r="BF469" s="45">
        <v>0</v>
      </c>
      <c r="BG469" s="45"/>
      <c r="BH469" s="46"/>
      <c r="BI469" s="45">
        <v>0</v>
      </c>
      <c r="BJ469" s="45">
        <v>0</v>
      </c>
      <c r="BK469" s="45"/>
      <c r="BL469" s="45"/>
      <c r="BM469" s="45">
        <v>0</v>
      </c>
      <c r="BN469" s="45"/>
      <c r="BO469" s="45"/>
      <c r="BP469" s="46"/>
      <c r="BQ469" s="48"/>
      <c r="BR469" s="52">
        <v>0</v>
      </c>
      <c r="BS469" s="52">
        <v>0</v>
      </c>
    </row>
    <row r="470" spans="2:71" x14ac:dyDescent="0.2">
      <c r="B470" s="56" t="s">
        <v>64</v>
      </c>
      <c r="C470" s="45"/>
      <c r="D470" s="45">
        <v>0</v>
      </c>
      <c r="E470" s="52">
        <v>0</v>
      </c>
      <c r="F470" s="52">
        <v>0</v>
      </c>
      <c r="G470" s="48"/>
      <c r="H470" s="45">
        <v>0</v>
      </c>
      <c r="I470" s="45">
        <v>0</v>
      </c>
      <c r="J470" s="45">
        <v>0</v>
      </c>
      <c r="K470" s="45"/>
      <c r="L470" s="45"/>
      <c r="M470" s="52">
        <v>0</v>
      </c>
      <c r="N470" s="52">
        <v>0</v>
      </c>
      <c r="O470" s="45">
        <v>0</v>
      </c>
      <c r="P470" s="45"/>
      <c r="Q470" s="52"/>
      <c r="R470" s="52">
        <v>0</v>
      </c>
      <c r="S470" s="61">
        <v>0</v>
      </c>
      <c r="T470" s="49"/>
      <c r="U470" s="49"/>
      <c r="V470" s="45"/>
      <c r="W470" s="45"/>
      <c r="X470" s="45"/>
      <c r="Y470" s="45">
        <v>0</v>
      </c>
      <c r="Z470" s="45">
        <v>0</v>
      </c>
      <c r="AA470" s="45"/>
      <c r="AB470" s="45"/>
      <c r="AC470" s="45"/>
      <c r="AD470" s="52"/>
      <c r="AE470" s="52">
        <v>0</v>
      </c>
      <c r="AF470" s="48">
        <v>0</v>
      </c>
      <c r="AG470" s="52">
        <v>0</v>
      </c>
      <c r="AH470" s="52">
        <v>0</v>
      </c>
      <c r="AI470" s="48"/>
      <c r="AJ470" s="48">
        <v>0</v>
      </c>
      <c r="AK470" s="52">
        <v>0</v>
      </c>
      <c r="AL470" s="52">
        <v>0</v>
      </c>
      <c r="AM470" s="48">
        <v>0</v>
      </c>
      <c r="AN470" s="52">
        <v>0</v>
      </c>
      <c r="AO470" s="52">
        <v>0</v>
      </c>
      <c r="AP470" s="48">
        <v>0</v>
      </c>
      <c r="AQ470" s="88">
        <v>0</v>
      </c>
      <c r="AR470" s="52">
        <v>0</v>
      </c>
      <c r="AS470" s="52"/>
      <c r="AT470" s="52"/>
      <c r="AU470" s="48">
        <v>0</v>
      </c>
      <c r="AV470" s="48"/>
      <c r="AW470" s="52"/>
      <c r="AX470" s="52">
        <v>0</v>
      </c>
      <c r="AY470" s="48"/>
      <c r="AZ470" s="52">
        <v>0</v>
      </c>
      <c r="BA470" s="52">
        <v>0</v>
      </c>
      <c r="BB470" s="48"/>
      <c r="BC470" s="45">
        <v>0</v>
      </c>
      <c r="BD470" s="45">
        <v>0</v>
      </c>
      <c r="BE470" s="45">
        <v>0</v>
      </c>
      <c r="BF470" s="45">
        <v>0</v>
      </c>
      <c r="BG470" s="45"/>
      <c r="BH470" s="46"/>
      <c r="BI470" s="45">
        <v>0</v>
      </c>
      <c r="BJ470" s="45">
        <v>0</v>
      </c>
      <c r="BK470" s="45"/>
      <c r="BL470" s="45"/>
      <c r="BM470" s="45">
        <v>0</v>
      </c>
      <c r="BN470" s="45"/>
      <c r="BO470" s="45"/>
      <c r="BP470" s="46"/>
      <c r="BQ470" s="48"/>
      <c r="BR470" s="52">
        <v>0</v>
      </c>
      <c r="BS470" s="52">
        <v>0</v>
      </c>
    </row>
    <row r="471" spans="2:71" x14ac:dyDescent="0.2">
      <c r="B471" s="56" t="s">
        <v>64</v>
      </c>
      <c r="C471" s="45"/>
      <c r="D471" s="45">
        <v>0</v>
      </c>
      <c r="E471" s="52">
        <v>0</v>
      </c>
      <c r="F471" s="52">
        <v>0</v>
      </c>
      <c r="G471" s="48"/>
      <c r="H471" s="45">
        <v>0</v>
      </c>
      <c r="I471" s="45">
        <v>0</v>
      </c>
      <c r="J471" s="45">
        <v>0</v>
      </c>
      <c r="K471" s="45"/>
      <c r="L471" s="45"/>
      <c r="M471" s="52">
        <v>0</v>
      </c>
      <c r="N471" s="52">
        <v>0</v>
      </c>
      <c r="O471" s="45">
        <v>0</v>
      </c>
      <c r="P471" s="45"/>
      <c r="Q471" s="52"/>
      <c r="R471" s="52">
        <v>0</v>
      </c>
      <c r="S471" s="61">
        <v>0</v>
      </c>
      <c r="T471" s="49"/>
      <c r="U471" s="49"/>
      <c r="V471" s="45"/>
      <c r="W471" s="45"/>
      <c r="X471" s="45"/>
      <c r="Y471" s="45">
        <v>0</v>
      </c>
      <c r="Z471" s="45">
        <v>0</v>
      </c>
      <c r="AA471" s="45"/>
      <c r="AB471" s="45"/>
      <c r="AC471" s="45"/>
      <c r="AD471" s="52"/>
      <c r="AE471" s="52">
        <v>0</v>
      </c>
      <c r="AF471" s="48">
        <v>0</v>
      </c>
      <c r="AG471" s="52">
        <v>0</v>
      </c>
      <c r="AH471" s="52">
        <v>0</v>
      </c>
      <c r="AI471" s="48"/>
      <c r="AJ471" s="48">
        <v>0</v>
      </c>
      <c r="AK471" s="52">
        <v>0</v>
      </c>
      <c r="AL471" s="52">
        <v>0</v>
      </c>
      <c r="AM471" s="48">
        <v>0</v>
      </c>
      <c r="AN471" s="52">
        <v>0</v>
      </c>
      <c r="AO471" s="52">
        <v>0</v>
      </c>
      <c r="AP471" s="48">
        <v>0</v>
      </c>
      <c r="AQ471" s="88">
        <v>0</v>
      </c>
      <c r="AR471" s="52">
        <v>0</v>
      </c>
      <c r="AS471" s="52"/>
      <c r="AT471" s="52"/>
      <c r="AU471" s="48">
        <v>0</v>
      </c>
      <c r="AV471" s="48"/>
      <c r="AW471" s="52"/>
      <c r="AX471" s="52">
        <v>0</v>
      </c>
      <c r="AY471" s="48"/>
      <c r="AZ471" s="52">
        <v>0</v>
      </c>
      <c r="BA471" s="52">
        <v>0</v>
      </c>
      <c r="BB471" s="48"/>
      <c r="BC471" s="45">
        <v>0</v>
      </c>
      <c r="BD471" s="45">
        <v>0</v>
      </c>
      <c r="BE471" s="45">
        <v>0</v>
      </c>
      <c r="BF471" s="45">
        <v>0</v>
      </c>
      <c r="BG471" s="45"/>
      <c r="BH471" s="46"/>
      <c r="BI471" s="45">
        <v>0</v>
      </c>
      <c r="BJ471" s="45">
        <v>0</v>
      </c>
      <c r="BK471" s="45"/>
      <c r="BL471" s="45"/>
      <c r="BM471" s="45">
        <v>0</v>
      </c>
      <c r="BN471" s="45"/>
      <c r="BO471" s="45"/>
      <c r="BP471" s="46"/>
      <c r="BQ471" s="48"/>
      <c r="BR471" s="52">
        <v>0</v>
      </c>
      <c r="BS471" s="52">
        <v>0</v>
      </c>
    </row>
    <row r="472" spans="2:71" x14ac:dyDescent="0.2">
      <c r="B472" s="56" t="s">
        <v>64</v>
      </c>
      <c r="C472" s="45"/>
      <c r="D472" s="45">
        <v>0</v>
      </c>
      <c r="E472" s="52">
        <v>0</v>
      </c>
      <c r="F472" s="52">
        <v>0</v>
      </c>
      <c r="G472" s="48"/>
      <c r="H472" s="45">
        <v>0</v>
      </c>
      <c r="I472" s="45">
        <v>0</v>
      </c>
      <c r="J472" s="45">
        <v>0</v>
      </c>
      <c r="K472" s="45"/>
      <c r="L472" s="45"/>
      <c r="M472" s="52">
        <v>0</v>
      </c>
      <c r="N472" s="52">
        <v>0</v>
      </c>
      <c r="O472" s="45">
        <v>0</v>
      </c>
      <c r="P472" s="45"/>
      <c r="Q472" s="52"/>
      <c r="R472" s="52">
        <v>0</v>
      </c>
      <c r="S472" s="61">
        <v>0</v>
      </c>
      <c r="T472" s="49"/>
      <c r="U472" s="49"/>
      <c r="V472" s="45"/>
      <c r="W472" s="45"/>
      <c r="X472" s="45"/>
      <c r="Y472" s="45">
        <v>0</v>
      </c>
      <c r="Z472" s="45">
        <v>0</v>
      </c>
      <c r="AA472" s="45"/>
      <c r="AB472" s="45"/>
      <c r="AC472" s="45"/>
      <c r="AD472" s="52"/>
      <c r="AE472" s="52">
        <v>0</v>
      </c>
      <c r="AF472" s="48">
        <v>0</v>
      </c>
      <c r="AG472" s="52">
        <v>0</v>
      </c>
      <c r="AH472" s="52">
        <v>0</v>
      </c>
      <c r="AI472" s="48"/>
      <c r="AJ472" s="48">
        <v>0</v>
      </c>
      <c r="AK472" s="52">
        <v>0</v>
      </c>
      <c r="AL472" s="52">
        <v>0</v>
      </c>
      <c r="AM472" s="48">
        <v>0</v>
      </c>
      <c r="AN472" s="52">
        <v>0</v>
      </c>
      <c r="AO472" s="52">
        <v>0</v>
      </c>
      <c r="AP472" s="48">
        <v>0</v>
      </c>
      <c r="AQ472" s="88">
        <v>0</v>
      </c>
      <c r="AR472" s="52">
        <v>0</v>
      </c>
      <c r="AS472" s="52"/>
      <c r="AT472" s="52"/>
      <c r="AU472" s="48">
        <v>0</v>
      </c>
      <c r="AV472" s="48"/>
      <c r="AW472" s="52"/>
      <c r="AX472" s="52">
        <v>0</v>
      </c>
      <c r="AY472" s="48"/>
      <c r="AZ472" s="52">
        <v>0</v>
      </c>
      <c r="BA472" s="52">
        <v>0</v>
      </c>
      <c r="BB472" s="48"/>
      <c r="BC472" s="45">
        <v>0</v>
      </c>
      <c r="BD472" s="45">
        <v>0</v>
      </c>
      <c r="BE472" s="45">
        <v>0</v>
      </c>
      <c r="BF472" s="45">
        <v>0</v>
      </c>
      <c r="BG472" s="45"/>
      <c r="BH472" s="46"/>
      <c r="BI472" s="45">
        <v>0</v>
      </c>
      <c r="BJ472" s="45">
        <v>0</v>
      </c>
      <c r="BK472" s="45"/>
      <c r="BL472" s="45"/>
      <c r="BM472" s="45">
        <v>0</v>
      </c>
      <c r="BN472" s="45"/>
      <c r="BO472" s="45"/>
      <c r="BP472" s="46"/>
      <c r="BQ472" s="48"/>
      <c r="BR472" s="52">
        <v>0</v>
      </c>
      <c r="BS472" s="52">
        <v>0</v>
      </c>
    </row>
    <row r="473" spans="2:71" x14ac:dyDescent="0.2">
      <c r="B473" s="56" t="s">
        <v>64</v>
      </c>
      <c r="C473" s="45"/>
      <c r="D473" s="45">
        <v>0</v>
      </c>
      <c r="E473" s="52">
        <v>0</v>
      </c>
      <c r="F473" s="52">
        <v>0</v>
      </c>
      <c r="G473" s="48"/>
      <c r="H473" s="45">
        <v>0</v>
      </c>
      <c r="I473" s="45">
        <v>0</v>
      </c>
      <c r="J473" s="45">
        <v>0</v>
      </c>
      <c r="K473" s="45"/>
      <c r="L473" s="45"/>
      <c r="M473" s="52">
        <v>0</v>
      </c>
      <c r="N473" s="52">
        <v>0</v>
      </c>
      <c r="O473" s="45">
        <v>0</v>
      </c>
      <c r="P473" s="45"/>
      <c r="Q473" s="52"/>
      <c r="R473" s="52">
        <v>0</v>
      </c>
      <c r="S473" s="61">
        <v>0</v>
      </c>
      <c r="T473" s="49"/>
      <c r="U473" s="49"/>
      <c r="V473" s="45"/>
      <c r="W473" s="45"/>
      <c r="X473" s="45"/>
      <c r="Y473" s="45">
        <v>0</v>
      </c>
      <c r="Z473" s="45">
        <v>0</v>
      </c>
      <c r="AA473" s="45"/>
      <c r="AB473" s="45"/>
      <c r="AC473" s="45"/>
      <c r="AD473" s="52"/>
      <c r="AE473" s="52">
        <v>0</v>
      </c>
      <c r="AF473" s="48">
        <v>0</v>
      </c>
      <c r="AG473" s="52">
        <v>0</v>
      </c>
      <c r="AH473" s="52">
        <v>0</v>
      </c>
      <c r="AI473" s="48"/>
      <c r="AJ473" s="48">
        <v>0</v>
      </c>
      <c r="AK473" s="52">
        <v>0</v>
      </c>
      <c r="AL473" s="52">
        <v>0</v>
      </c>
      <c r="AM473" s="48">
        <v>0</v>
      </c>
      <c r="AN473" s="52">
        <v>0</v>
      </c>
      <c r="AO473" s="52">
        <v>0</v>
      </c>
      <c r="AP473" s="48">
        <v>0</v>
      </c>
      <c r="AQ473" s="88">
        <v>0</v>
      </c>
      <c r="AR473" s="52">
        <v>0</v>
      </c>
      <c r="AS473" s="52"/>
      <c r="AT473" s="52"/>
      <c r="AU473" s="48">
        <v>0</v>
      </c>
      <c r="AV473" s="48"/>
      <c r="AW473" s="52"/>
      <c r="AX473" s="52">
        <v>0</v>
      </c>
      <c r="AY473" s="48"/>
      <c r="AZ473" s="52">
        <v>0</v>
      </c>
      <c r="BA473" s="52">
        <v>0</v>
      </c>
      <c r="BB473" s="48"/>
      <c r="BC473" s="45">
        <v>0</v>
      </c>
      <c r="BD473" s="45">
        <v>0</v>
      </c>
      <c r="BE473" s="45">
        <v>0</v>
      </c>
      <c r="BF473" s="45">
        <v>0</v>
      </c>
      <c r="BG473" s="45"/>
      <c r="BH473" s="46"/>
      <c r="BI473" s="45">
        <v>0</v>
      </c>
      <c r="BJ473" s="45">
        <v>0</v>
      </c>
      <c r="BK473" s="45"/>
      <c r="BL473" s="45"/>
      <c r="BM473" s="45">
        <v>0</v>
      </c>
      <c r="BN473" s="45"/>
      <c r="BO473" s="45"/>
      <c r="BP473" s="46"/>
      <c r="BQ473" s="48"/>
      <c r="BR473" s="52">
        <v>0</v>
      </c>
      <c r="BS473" s="52">
        <v>0</v>
      </c>
    </row>
    <row r="474" spans="2:71" x14ac:dyDescent="0.2">
      <c r="B474" s="56" t="s">
        <v>64</v>
      </c>
      <c r="C474" s="45"/>
      <c r="D474" s="45">
        <v>0</v>
      </c>
      <c r="E474" s="52">
        <v>0</v>
      </c>
      <c r="F474" s="52">
        <v>0</v>
      </c>
      <c r="G474" s="48"/>
      <c r="H474" s="45">
        <v>0</v>
      </c>
      <c r="I474" s="45">
        <v>0</v>
      </c>
      <c r="J474" s="45">
        <v>0</v>
      </c>
      <c r="K474" s="45"/>
      <c r="L474" s="45"/>
      <c r="M474" s="52">
        <v>0</v>
      </c>
      <c r="N474" s="52">
        <v>0</v>
      </c>
      <c r="O474" s="45">
        <v>0</v>
      </c>
      <c r="P474" s="45"/>
      <c r="Q474" s="52"/>
      <c r="R474" s="52">
        <v>0</v>
      </c>
      <c r="S474" s="61">
        <v>0</v>
      </c>
      <c r="T474" s="49"/>
      <c r="U474" s="49"/>
      <c r="V474" s="45"/>
      <c r="W474" s="45"/>
      <c r="X474" s="45"/>
      <c r="Y474" s="45">
        <v>0</v>
      </c>
      <c r="Z474" s="45">
        <v>0</v>
      </c>
      <c r="AA474" s="45"/>
      <c r="AB474" s="45"/>
      <c r="AC474" s="45"/>
      <c r="AD474" s="52"/>
      <c r="AE474" s="52">
        <v>0</v>
      </c>
      <c r="AF474" s="48">
        <v>0</v>
      </c>
      <c r="AG474" s="52">
        <v>0</v>
      </c>
      <c r="AH474" s="52">
        <v>0</v>
      </c>
      <c r="AI474" s="48"/>
      <c r="AJ474" s="48">
        <v>0</v>
      </c>
      <c r="AK474" s="52">
        <v>0</v>
      </c>
      <c r="AL474" s="52">
        <v>0</v>
      </c>
      <c r="AM474" s="48">
        <v>0</v>
      </c>
      <c r="AN474" s="52">
        <v>0</v>
      </c>
      <c r="AO474" s="52">
        <v>0</v>
      </c>
      <c r="AP474" s="48">
        <v>0</v>
      </c>
      <c r="AQ474" s="88">
        <v>0</v>
      </c>
      <c r="AR474" s="52">
        <v>0</v>
      </c>
      <c r="AS474" s="52"/>
      <c r="AT474" s="52"/>
      <c r="AU474" s="48">
        <v>0</v>
      </c>
      <c r="AV474" s="48"/>
      <c r="AW474" s="52"/>
      <c r="AX474" s="52">
        <v>0</v>
      </c>
      <c r="AY474" s="48"/>
      <c r="AZ474" s="52">
        <v>0</v>
      </c>
      <c r="BA474" s="52">
        <v>0</v>
      </c>
      <c r="BB474" s="48"/>
      <c r="BC474" s="45">
        <v>0</v>
      </c>
      <c r="BD474" s="45">
        <v>0</v>
      </c>
      <c r="BE474" s="45">
        <v>0</v>
      </c>
      <c r="BF474" s="45">
        <v>0</v>
      </c>
      <c r="BG474" s="45"/>
      <c r="BH474" s="46"/>
      <c r="BI474" s="45">
        <v>0</v>
      </c>
      <c r="BJ474" s="45">
        <v>0</v>
      </c>
      <c r="BK474" s="45"/>
      <c r="BL474" s="45"/>
      <c r="BM474" s="45">
        <v>0</v>
      </c>
      <c r="BN474" s="45"/>
      <c r="BO474" s="45"/>
      <c r="BP474" s="46"/>
      <c r="BQ474" s="48"/>
      <c r="BR474" s="52">
        <v>0</v>
      </c>
      <c r="BS474" s="52">
        <v>0</v>
      </c>
    </row>
    <row r="475" spans="2:71" x14ac:dyDescent="0.2">
      <c r="B475" s="56" t="s">
        <v>64</v>
      </c>
      <c r="C475" s="45"/>
      <c r="D475" s="45">
        <v>0</v>
      </c>
      <c r="E475" s="52">
        <v>0</v>
      </c>
      <c r="F475" s="52">
        <v>0</v>
      </c>
      <c r="G475" s="48"/>
      <c r="H475" s="45">
        <v>0</v>
      </c>
      <c r="I475" s="45">
        <v>0</v>
      </c>
      <c r="J475" s="45">
        <v>0</v>
      </c>
      <c r="K475" s="45"/>
      <c r="L475" s="45"/>
      <c r="M475" s="52">
        <v>0</v>
      </c>
      <c r="N475" s="52">
        <v>0</v>
      </c>
      <c r="O475" s="45">
        <v>0</v>
      </c>
      <c r="P475" s="45"/>
      <c r="Q475" s="52"/>
      <c r="R475" s="52">
        <v>0</v>
      </c>
      <c r="S475" s="61">
        <v>0</v>
      </c>
      <c r="T475" s="49"/>
      <c r="U475" s="49"/>
      <c r="V475" s="45"/>
      <c r="W475" s="45"/>
      <c r="X475" s="45"/>
      <c r="Y475" s="45">
        <v>0</v>
      </c>
      <c r="Z475" s="45">
        <v>0</v>
      </c>
      <c r="AA475" s="45"/>
      <c r="AB475" s="45"/>
      <c r="AC475" s="45"/>
      <c r="AD475" s="52"/>
      <c r="AE475" s="52">
        <v>0</v>
      </c>
      <c r="AF475" s="48">
        <v>0</v>
      </c>
      <c r="AG475" s="52">
        <v>0</v>
      </c>
      <c r="AH475" s="52">
        <v>0</v>
      </c>
      <c r="AI475" s="48"/>
      <c r="AJ475" s="48">
        <v>0</v>
      </c>
      <c r="AK475" s="52">
        <v>0</v>
      </c>
      <c r="AL475" s="52">
        <v>0</v>
      </c>
      <c r="AM475" s="48">
        <v>0</v>
      </c>
      <c r="AN475" s="52">
        <v>0</v>
      </c>
      <c r="AO475" s="52">
        <v>0</v>
      </c>
      <c r="AP475" s="48">
        <v>0</v>
      </c>
      <c r="AQ475" s="88">
        <v>0</v>
      </c>
      <c r="AR475" s="52">
        <v>0</v>
      </c>
      <c r="AS475" s="52"/>
      <c r="AT475" s="52"/>
      <c r="AU475" s="48">
        <v>0</v>
      </c>
      <c r="AV475" s="48"/>
      <c r="AW475" s="52"/>
      <c r="AX475" s="52">
        <v>0</v>
      </c>
      <c r="AY475" s="48"/>
      <c r="AZ475" s="52">
        <v>0</v>
      </c>
      <c r="BA475" s="52">
        <v>0</v>
      </c>
      <c r="BB475" s="48"/>
      <c r="BC475" s="45">
        <v>0</v>
      </c>
      <c r="BD475" s="45">
        <v>0</v>
      </c>
      <c r="BE475" s="45">
        <v>0</v>
      </c>
      <c r="BF475" s="45">
        <v>0</v>
      </c>
      <c r="BG475" s="45"/>
      <c r="BH475" s="46"/>
      <c r="BI475" s="45">
        <v>0</v>
      </c>
      <c r="BJ475" s="45">
        <v>0</v>
      </c>
      <c r="BK475" s="45"/>
      <c r="BL475" s="45"/>
      <c r="BM475" s="45">
        <v>0</v>
      </c>
      <c r="BN475" s="45"/>
      <c r="BO475" s="45"/>
      <c r="BP475" s="46"/>
      <c r="BQ475" s="48"/>
      <c r="BR475" s="52">
        <v>0</v>
      </c>
      <c r="BS475" s="52">
        <v>0</v>
      </c>
    </row>
    <row r="476" spans="2:71" x14ac:dyDescent="0.2">
      <c r="B476" s="56" t="s">
        <v>64</v>
      </c>
      <c r="C476" s="45"/>
      <c r="D476" s="45">
        <v>0</v>
      </c>
      <c r="E476" s="52">
        <v>0</v>
      </c>
      <c r="F476" s="52">
        <v>0</v>
      </c>
      <c r="G476" s="48"/>
      <c r="H476" s="45">
        <v>0</v>
      </c>
      <c r="I476" s="45">
        <v>0</v>
      </c>
      <c r="J476" s="45">
        <v>0</v>
      </c>
      <c r="K476" s="45"/>
      <c r="L476" s="45"/>
      <c r="M476" s="52">
        <v>0</v>
      </c>
      <c r="N476" s="52">
        <v>0</v>
      </c>
      <c r="O476" s="45">
        <v>0</v>
      </c>
      <c r="P476" s="45"/>
      <c r="Q476" s="52"/>
      <c r="R476" s="52">
        <v>0</v>
      </c>
      <c r="S476" s="61">
        <v>0</v>
      </c>
      <c r="T476" s="49"/>
      <c r="U476" s="49"/>
      <c r="V476" s="45"/>
      <c r="W476" s="45"/>
      <c r="X476" s="45"/>
      <c r="Y476" s="45">
        <v>0</v>
      </c>
      <c r="Z476" s="45">
        <v>0</v>
      </c>
      <c r="AA476" s="45"/>
      <c r="AB476" s="45"/>
      <c r="AC476" s="45"/>
      <c r="AD476" s="52"/>
      <c r="AE476" s="52">
        <v>0</v>
      </c>
      <c r="AF476" s="48">
        <v>0</v>
      </c>
      <c r="AG476" s="52">
        <v>0</v>
      </c>
      <c r="AH476" s="52">
        <v>0</v>
      </c>
      <c r="AI476" s="48"/>
      <c r="AJ476" s="48">
        <v>0</v>
      </c>
      <c r="AK476" s="52">
        <v>0</v>
      </c>
      <c r="AL476" s="52">
        <v>0</v>
      </c>
      <c r="AM476" s="48">
        <v>0</v>
      </c>
      <c r="AN476" s="52">
        <v>0</v>
      </c>
      <c r="AO476" s="52">
        <v>0</v>
      </c>
      <c r="AP476" s="48">
        <v>0</v>
      </c>
      <c r="AQ476" s="88">
        <v>0</v>
      </c>
      <c r="AR476" s="52">
        <v>0</v>
      </c>
      <c r="AS476" s="52"/>
      <c r="AT476" s="52"/>
      <c r="AU476" s="48">
        <v>0</v>
      </c>
      <c r="AV476" s="48"/>
      <c r="AW476" s="52"/>
      <c r="AX476" s="52">
        <v>0</v>
      </c>
      <c r="AY476" s="48"/>
      <c r="AZ476" s="52">
        <v>0</v>
      </c>
      <c r="BA476" s="52">
        <v>0</v>
      </c>
      <c r="BB476" s="48"/>
      <c r="BC476" s="45">
        <v>0</v>
      </c>
      <c r="BD476" s="45">
        <v>0</v>
      </c>
      <c r="BE476" s="45">
        <v>0</v>
      </c>
      <c r="BF476" s="45">
        <v>0</v>
      </c>
      <c r="BG476" s="45"/>
      <c r="BH476" s="46"/>
      <c r="BI476" s="45">
        <v>0</v>
      </c>
      <c r="BJ476" s="45">
        <v>0</v>
      </c>
      <c r="BK476" s="45"/>
      <c r="BL476" s="45"/>
      <c r="BM476" s="45">
        <v>0</v>
      </c>
      <c r="BN476" s="45"/>
      <c r="BO476" s="45"/>
      <c r="BP476" s="46"/>
      <c r="BQ476" s="48"/>
      <c r="BR476" s="52">
        <v>0</v>
      </c>
      <c r="BS476" s="52">
        <v>0</v>
      </c>
    </row>
    <row r="477" spans="2:71" x14ac:dyDescent="0.2">
      <c r="B477" s="56" t="s">
        <v>64</v>
      </c>
      <c r="C477" s="45"/>
      <c r="D477" s="45">
        <v>0</v>
      </c>
      <c r="E477" s="52">
        <v>0</v>
      </c>
      <c r="F477" s="52">
        <v>0</v>
      </c>
      <c r="G477" s="48"/>
      <c r="H477" s="45">
        <v>0</v>
      </c>
      <c r="I477" s="45">
        <v>0</v>
      </c>
      <c r="J477" s="45">
        <v>0</v>
      </c>
      <c r="K477" s="45"/>
      <c r="L477" s="45"/>
      <c r="M477" s="52">
        <v>0</v>
      </c>
      <c r="N477" s="52">
        <v>0</v>
      </c>
      <c r="O477" s="45">
        <v>0</v>
      </c>
      <c r="P477" s="45"/>
      <c r="Q477" s="52"/>
      <c r="R477" s="52">
        <v>0</v>
      </c>
      <c r="S477" s="61">
        <v>0</v>
      </c>
      <c r="T477" s="49"/>
      <c r="U477" s="49"/>
      <c r="V477" s="45"/>
      <c r="W477" s="45"/>
      <c r="X477" s="45"/>
      <c r="Y477" s="45">
        <v>0</v>
      </c>
      <c r="Z477" s="45">
        <v>0</v>
      </c>
      <c r="AA477" s="45"/>
      <c r="AB477" s="45"/>
      <c r="AC477" s="45"/>
      <c r="AD477" s="52"/>
      <c r="AE477" s="52">
        <v>0</v>
      </c>
      <c r="AF477" s="48">
        <v>0</v>
      </c>
      <c r="AG477" s="52">
        <v>0</v>
      </c>
      <c r="AH477" s="52">
        <v>0</v>
      </c>
      <c r="AI477" s="48"/>
      <c r="AJ477" s="48">
        <v>0</v>
      </c>
      <c r="AK477" s="52">
        <v>0</v>
      </c>
      <c r="AL477" s="52">
        <v>0</v>
      </c>
      <c r="AM477" s="48">
        <v>0</v>
      </c>
      <c r="AN477" s="52">
        <v>0</v>
      </c>
      <c r="AO477" s="52">
        <v>0</v>
      </c>
      <c r="AP477" s="48">
        <v>0</v>
      </c>
      <c r="AQ477" s="88">
        <v>0</v>
      </c>
      <c r="AR477" s="52">
        <v>0</v>
      </c>
      <c r="AS477" s="52"/>
      <c r="AT477" s="52"/>
      <c r="AU477" s="48">
        <v>0</v>
      </c>
      <c r="AV477" s="48"/>
      <c r="AW477" s="52"/>
      <c r="AX477" s="52">
        <v>0</v>
      </c>
      <c r="AY477" s="48"/>
      <c r="AZ477" s="52">
        <v>0</v>
      </c>
      <c r="BA477" s="52">
        <v>0</v>
      </c>
      <c r="BB477" s="48"/>
      <c r="BC477" s="45">
        <v>0</v>
      </c>
      <c r="BD477" s="45">
        <v>0</v>
      </c>
      <c r="BE477" s="45">
        <v>0</v>
      </c>
      <c r="BF477" s="45">
        <v>0</v>
      </c>
      <c r="BG477" s="45"/>
      <c r="BH477" s="46"/>
      <c r="BI477" s="45">
        <v>0</v>
      </c>
      <c r="BJ477" s="45">
        <v>0</v>
      </c>
      <c r="BK477" s="45"/>
      <c r="BL477" s="45"/>
      <c r="BM477" s="45">
        <v>0</v>
      </c>
      <c r="BN477" s="45"/>
      <c r="BO477" s="45"/>
      <c r="BP477" s="46"/>
      <c r="BQ477" s="48"/>
      <c r="BR477" s="52">
        <v>0</v>
      </c>
      <c r="BS477" s="52">
        <v>0</v>
      </c>
    </row>
    <row r="478" spans="2:71" x14ac:dyDescent="0.2">
      <c r="B478" s="56" t="s">
        <v>64</v>
      </c>
      <c r="C478" s="45"/>
      <c r="D478" s="45">
        <v>0</v>
      </c>
      <c r="E478" s="52">
        <v>0</v>
      </c>
      <c r="F478" s="52">
        <v>0</v>
      </c>
      <c r="G478" s="48"/>
      <c r="H478" s="45">
        <v>0</v>
      </c>
      <c r="I478" s="45">
        <v>0</v>
      </c>
      <c r="J478" s="45">
        <v>0</v>
      </c>
      <c r="K478" s="45"/>
      <c r="L478" s="45"/>
      <c r="M478" s="52">
        <v>0</v>
      </c>
      <c r="N478" s="52">
        <v>0</v>
      </c>
      <c r="O478" s="45">
        <v>0</v>
      </c>
      <c r="P478" s="45"/>
      <c r="Q478" s="52"/>
      <c r="R478" s="52">
        <v>0</v>
      </c>
      <c r="S478" s="61">
        <v>0</v>
      </c>
      <c r="T478" s="49"/>
      <c r="U478" s="49"/>
      <c r="V478" s="45"/>
      <c r="W478" s="45"/>
      <c r="X478" s="45"/>
      <c r="Y478" s="45">
        <v>0</v>
      </c>
      <c r="Z478" s="45">
        <v>0</v>
      </c>
      <c r="AA478" s="45"/>
      <c r="AB478" s="45"/>
      <c r="AC478" s="45"/>
      <c r="AD478" s="52"/>
      <c r="AE478" s="52">
        <v>0</v>
      </c>
      <c r="AF478" s="48">
        <v>0</v>
      </c>
      <c r="AG478" s="52">
        <v>0</v>
      </c>
      <c r="AH478" s="52">
        <v>0</v>
      </c>
      <c r="AI478" s="48"/>
      <c r="AJ478" s="48">
        <v>0</v>
      </c>
      <c r="AK478" s="52">
        <v>0</v>
      </c>
      <c r="AL478" s="52">
        <v>0</v>
      </c>
      <c r="AM478" s="48">
        <v>0</v>
      </c>
      <c r="AN478" s="52">
        <v>0</v>
      </c>
      <c r="AO478" s="52">
        <v>0</v>
      </c>
      <c r="AP478" s="48">
        <v>0</v>
      </c>
      <c r="AQ478" s="88">
        <v>0</v>
      </c>
      <c r="AR478" s="52">
        <v>0</v>
      </c>
      <c r="AS478" s="52"/>
      <c r="AT478" s="52"/>
      <c r="AU478" s="48">
        <v>0</v>
      </c>
      <c r="AV478" s="48"/>
      <c r="AW478" s="52"/>
      <c r="AX478" s="52">
        <v>0</v>
      </c>
      <c r="AY478" s="48"/>
      <c r="AZ478" s="52">
        <v>0</v>
      </c>
      <c r="BA478" s="52">
        <v>0</v>
      </c>
      <c r="BB478" s="48"/>
      <c r="BC478" s="45">
        <v>0</v>
      </c>
      <c r="BD478" s="45">
        <v>0</v>
      </c>
      <c r="BE478" s="45">
        <v>0</v>
      </c>
      <c r="BF478" s="45">
        <v>0</v>
      </c>
      <c r="BG478" s="45"/>
      <c r="BH478" s="46"/>
      <c r="BI478" s="45">
        <v>0</v>
      </c>
      <c r="BJ478" s="45">
        <v>0</v>
      </c>
      <c r="BK478" s="45"/>
      <c r="BL478" s="45"/>
      <c r="BM478" s="45">
        <v>0</v>
      </c>
      <c r="BN478" s="45"/>
      <c r="BO478" s="45"/>
      <c r="BP478" s="46"/>
      <c r="BQ478" s="48"/>
      <c r="BR478" s="52">
        <v>0</v>
      </c>
      <c r="BS478" s="52">
        <v>0</v>
      </c>
    </row>
    <row r="479" spans="2:71" x14ac:dyDescent="0.2">
      <c r="B479" s="56" t="s">
        <v>64</v>
      </c>
      <c r="C479" s="45"/>
      <c r="D479" s="45">
        <v>0</v>
      </c>
      <c r="E479" s="52">
        <v>0</v>
      </c>
      <c r="F479" s="52">
        <v>0</v>
      </c>
      <c r="G479" s="48"/>
      <c r="H479" s="45">
        <v>0</v>
      </c>
      <c r="I479" s="45">
        <v>0</v>
      </c>
      <c r="J479" s="45">
        <v>0</v>
      </c>
      <c r="K479" s="45"/>
      <c r="L479" s="45"/>
      <c r="M479" s="52">
        <v>0</v>
      </c>
      <c r="N479" s="52">
        <v>0</v>
      </c>
      <c r="O479" s="45">
        <v>0</v>
      </c>
      <c r="P479" s="45"/>
      <c r="Q479" s="52"/>
      <c r="R479" s="52">
        <v>0</v>
      </c>
      <c r="S479" s="61">
        <v>0</v>
      </c>
      <c r="T479" s="49"/>
      <c r="U479" s="49"/>
      <c r="V479" s="45"/>
      <c r="W479" s="45"/>
      <c r="X479" s="45"/>
      <c r="Y479" s="45">
        <v>0</v>
      </c>
      <c r="Z479" s="45">
        <v>0</v>
      </c>
      <c r="AA479" s="45"/>
      <c r="AB479" s="45"/>
      <c r="AC479" s="45"/>
      <c r="AD479" s="52"/>
      <c r="AE479" s="52">
        <v>0</v>
      </c>
      <c r="AF479" s="48">
        <v>0</v>
      </c>
      <c r="AG479" s="52">
        <v>0</v>
      </c>
      <c r="AH479" s="52">
        <v>0</v>
      </c>
      <c r="AI479" s="48"/>
      <c r="AJ479" s="48">
        <v>0</v>
      </c>
      <c r="AK479" s="52">
        <v>0</v>
      </c>
      <c r="AL479" s="52">
        <v>0</v>
      </c>
      <c r="AM479" s="48">
        <v>0</v>
      </c>
      <c r="AN479" s="52">
        <v>0</v>
      </c>
      <c r="AO479" s="52">
        <v>0</v>
      </c>
      <c r="AP479" s="48">
        <v>0</v>
      </c>
      <c r="AQ479" s="88">
        <v>0</v>
      </c>
      <c r="AR479" s="52">
        <v>0</v>
      </c>
      <c r="AS479" s="52"/>
      <c r="AT479" s="52"/>
      <c r="AU479" s="48">
        <v>0</v>
      </c>
      <c r="AV479" s="48"/>
      <c r="AW479" s="52"/>
      <c r="AX479" s="52">
        <v>0</v>
      </c>
      <c r="AY479" s="48"/>
      <c r="AZ479" s="52">
        <v>0</v>
      </c>
      <c r="BA479" s="52">
        <v>0</v>
      </c>
      <c r="BB479" s="48"/>
      <c r="BC479" s="45">
        <v>0</v>
      </c>
      <c r="BD479" s="45">
        <v>0</v>
      </c>
      <c r="BE479" s="45">
        <v>0</v>
      </c>
      <c r="BF479" s="45">
        <v>0</v>
      </c>
      <c r="BG479" s="45"/>
      <c r="BH479" s="46"/>
      <c r="BI479" s="45">
        <v>0</v>
      </c>
      <c r="BJ479" s="45">
        <v>0</v>
      </c>
      <c r="BK479" s="45"/>
      <c r="BL479" s="45"/>
      <c r="BM479" s="45">
        <v>0</v>
      </c>
      <c r="BN479" s="45"/>
      <c r="BO479" s="45"/>
      <c r="BP479" s="46"/>
      <c r="BQ479" s="48"/>
      <c r="BR479" s="52">
        <v>0</v>
      </c>
      <c r="BS479" s="52">
        <v>0</v>
      </c>
    </row>
    <row r="480" spans="2:71" x14ac:dyDescent="0.2">
      <c r="B480" s="56" t="s">
        <v>64</v>
      </c>
      <c r="C480" s="45"/>
      <c r="D480" s="45">
        <v>0</v>
      </c>
      <c r="E480" s="52">
        <v>0</v>
      </c>
      <c r="F480" s="52">
        <v>0</v>
      </c>
      <c r="G480" s="48"/>
      <c r="H480" s="45">
        <v>0</v>
      </c>
      <c r="I480" s="45">
        <v>0</v>
      </c>
      <c r="J480" s="45">
        <v>0</v>
      </c>
      <c r="K480" s="45"/>
      <c r="L480" s="45"/>
      <c r="M480" s="52">
        <v>0</v>
      </c>
      <c r="N480" s="52">
        <v>0</v>
      </c>
      <c r="O480" s="45">
        <v>0</v>
      </c>
      <c r="P480" s="45"/>
      <c r="Q480" s="52"/>
      <c r="R480" s="52">
        <v>0</v>
      </c>
      <c r="S480" s="61">
        <v>0</v>
      </c>
      <c r="T480" s="49"/>
      <c r="U480" s="49"/>
      <c r="V480" s="45"/>
      <c r="W480" s="45"/>
      <c r="X480" s="45"/>
      <c r="Y480" s="45">
        <v>0</v>
      </c>
      <c r="Z480" s="45">
        <v>0</v>
      </c>
      <c r="AA480" s="45"/>
      <c r="AB480" s="45"/>
      <c r="AC480" s="45"/>
      <c r="AD480" s="52"/>
      <c r="AE480" s="52">
        <v>0</v>
      </c>
      <c r="AF480" s="48">
        <v>0</v>
      </c>
      <c r="AG480" s="52">
        <v>0</v>
      </c>
      <c r="AH480" s="52">
        <v>0</v>
      </c>
      <c r="AI480" s="48"/>
      <c r="AJ480" s="48">
        <v>0</v>
      </c>
      <c r="AK480" s="52">
        <v>0</v>
      </c>
      <c r="AL480" s="52">
        <v>0</v>
      </c>
      <c r="AM480" s="48">
        <v>0</v>
      </c>
      <c r="AN480" s="52">
        <v>0</v>
      </c>
      <c r="AO480" s="52">
        <v>0</v>
      </c>
      <c r="AP480" s="48">
        <v>0</v>
      </c>
      <c r="AQ480" s="88">
        <v>0</v>
      </c>
      <c r="AR480" s="52">
        <v>0</v>
      </c>
      <c r="AS480" s="52"/>
      <c r="AT480" s="52"/>
      <c r="AU480" s="48">
        <v>0</v>
      </c>
      <c r="AV480" s="48"/>
      <c r="AW480" s="52"/>
      <c r="AX480" s="52">
        <v>0</v>
      </c>
      <c r="AY480" s="48"/>
      <c r="AZ480" s="52">
        <v>0</v>
      </c>
      <c r="BA480" s="52">
        <v>0</v>
      </c>
      <c r="BB480" s="48"/>
      <c r="BC480" s="45">
        <v>0</v>
      </c>
      <c r="BD480" s="45">
        <v>0</v>
      </c>
      <c r="BE480" s="45">
        <v>0</v>
      </c>
      <c r="BF480" s="45">
        <v>0</v>
      </c>
      <c r="BG480" s="45"/>
      <c r="BH480" s="46"/>
      <c r="BI480" s="45">
        <v>0</v>
      </c>
      <c r="BJ480" s="45">
        <v>0</v>
      </c>
      <c r="BK480" s="45"/>
      <c r="BL480" s="45"/>
      <c r="BM480" s="45">
        <v>0</v>
      </c>
      <c r="BN480" s="45"/>
      <c r="BO480" s="45"/>
      <c r="BP480" s="46"/>
      <c r="BQ480" s="48"/>
      <c r="BR480" s="52">
        <v>0</v>
      </c>
      <c r="BS480" s="52">
        <v>0</v>
      </c>
    </row>
    <row r="481" spans="2:71" x14ac:dyDescent="0.2">
      <c r="B481" s="56" t="s">
        <v>64</v>
      </c>
      <c r="C481" s="45"/>
      <c r="D481" s="45">
        <v>0</v>
      </c>
      <c r="E481" s="52">
        <v>0</v>
      </c>
      <c r="F481" s="52">
        <v>0</v>
      </c>
      <c r="G481" s="48"/>
      <c r="H481" s="45">
        <v>0</v>
      </c>
      <c r="I481" s="45">
        <v>0</v>
      </c>
      <c r="J481" s="45">
        <v>0</v>
      </c>
      <c r="K481" s="45"/>
      <c r="L481" s="45"/>
      <c r="M481" s="52">
        <v>0</v>
      </c>
      <c r="N481" s="52">
        <v>0</v>
      </c>
      <c r="O481" s="45">
        <v>0</v>
      </c>
      <c r="P481" s="45"/>
      <c r="Q481" s="52"/>
      <c r="R481" s="52">
        <v>0</v>
      </c>
      <c r="S481" s="61">
        <v>0</v>
      </c>
      <c r="T481" s="49"/>
      <c r="U481" s="49"/>
      <c r="V481" s="45"/>
      <c r="W481" s="45"/>
      <c r="X481" s="45"/>
      <c r="Y481" s="45">
        <v>0</v>
      </c>
      <c r="Z481" s="45">
        <v>0</v>
      </c>
      <c r="AA481" s="45"/>
      <c r="AB481" s="45"/>
      <c r="AC481" s="45"/>
      <c r="AD481" s="52"/>
      <c r="AE481" s="52">
        <v>0</v>
      </c>
      <c r="AF481" s="48">
        <v>0</v>
      </c>
      <c r="AG481" s="52">
        <v>0</v>
      </c>
      <c r="AH481" s="52">
        <v>0</v>
      </c>
      <c r="AI481" s="48"/>
      <c r="AJ481" s="48">
        <v>0</v>
      </c>
      <c r="AK481" s="52">
        <v>0</v>
      </c>
      <c r="AL481" s="52">
        <v>0</v>
      </c>
      <c r="AM481" s="48">
        <v>0</v>
      </c>
      <c r="AN481" s="52">
        <v>0</v>
      </c>
      <c r="AO481" s="52">
        <v>0</v>
      </c>
      <c r="AP481" s="48">
        <v>0</v>
      </c>
      <c r="AQ481" s="88">
        <v>0</v>
      </c>
      <c r="AR481" s="52">
        <v>0</v>
      </c>
      <c r="AS481" s="52"/>
      <c r="AT481" s="52"/>
      <c r="AU481" s="48">
        <v>0</v>
      </c>
      <c r="AV481" s="48"/>
      <c r="AW481" s="52"/>
      <c r="AX481" s="52">
        <v>0</v>
      </c>
      <c r="AY481" s="48"/>
      <c r="AZ481" s="52">
        <v>0</v>
      </c>
      <c r="BA481" s="52">
        <v>0</v>
      </c>
      <c r="BB481" s="48"/>
      <c r="BC481" s="45">
        <v>0</v>
      </c>
      <c r="BD481" s="45">
        <v>0</v>
      </c>
      <c r="BE481" s="45">
        <v>0</v>
      </c>
      <c r="BF481" s="45">
        <v>0</v>
      </c>
      <c r="BG481" s="45"/>
      <c r="BH481" s="46"/>
      <c r="BI481" s="45">
        <v>0</v>
      </c>
      <c r="BJ481" s="45">
        <v>0</v>
      </c>
      <c r="BK481" s="45"/>
      <c r="BL481" s="45"/>
      <c r="BM481" s="45">
        <v>0</v>
      </c>
      <c r="BN481" s="45"/>
      <c r="BO481" s="45"/>
      <c r="BP481" s="46"/>
      <c r="BQ481" s="48"/>
      <c r="BR481" s="52">
        <v>0</v>
      </c>
      <c r="BS481" s="52">
        <v>0</v>
      </c>
    </row>
    <row r="482" spans="2:71" x14ac:dyDescent="0.2">
      <c r="B482" s="56" t="s">
        <v>64</v>
      </c>
      <c r="C482" s="45"/>
      <c r="D482" s="45">
        <v>0</v>
      </c>
      <c r="E482" s="52">
        <v>0</v>
      </c>
      <c r="F482" s="52">
        <v>0</v>
      </c>
      <c r="G482" s="48"/>
      <c r="H482" s="45">
        <v>0</v>
      </c>
      <c r="I482" s="45">
        <v>0</v>
      </c>
      <c r="J482" s="45">
        <v>0</v>
      </c>
      <c r="K482" s="45"/>
      <c r="L482" s="45"/>
      <c r="M482" s="52">
        <v>0</v>
      </c>
      <c r="N482" s="52">
        <v>0</v>
      </c>
      <c r="O482" s="45">
        <v>0</v>
      </c>
      <c r="P482" s="45"/>
      <c r="Q482" s="52"/>
      <c r="R482" s="52">
        <v>0</v>
      </c>
      <c r="S482" s="61">
        <v>0</v>
      </c>
      <c r="T482" s="49"/>
      <c r="U482" s="49"/>
      <c r="V482" s="45"/>
      <c r="W482" s="45"/>
      <c r="X482" s="45"/>
      <c r="Y482" s="45">
        <v>0</v>
      </c>
      <c r="Z482" s="45">
        <v>0</v>
      </c>
      <c r="AA482" s="45"/>
      <c r="AB482" s="45"/>
      <c r="AC482" s="45"/>
      <c r="AD482" s="52"/>
      <c r="AE482" s="52">
        <v>0</v>
      </c>
      <c r="AF482" s="48">
        <v>0</v>
      </c>
      <c r="AG482" s="52">
        <v>0</v>
      </c>
      <c r="AH482" s="52">
        <v>0</v>
      </c>
      <c r="AI482" s="48"/>
      <c r="AJ482" s="48">
        <v>0</v>
      </c>
      <c r="AK482" s="52">
        <v>0</v>
      </c>
      <c r="AL482" s="52">
        <v>0</v>
      </c>
      <c r="AM482" s="48">
        <v>0</v>
      </c>
      <c r="AN482" s="52">
        <v>0</v>
      </c>
      <c r="AO482" s="52">
        <v>0</v>
      </c>
      <c r="AP482" s="48">
        <v>0</v>
      </c>
      <c r="AQ482" s="88">
        <v>0</v>
      </c>
      <c r="AR482" s="52">
        <v>0</v>
      </c>
      <c r="AS482" s="52"/>
      <c r="AT482" s="52"/>
      <c r="AU482" s="48">
        <v>0</v>
      </c>
      <c r="AV482" s="48"/>
      <c r="AW482" s="52"/>
      <c r="AX482" s="52">
        <v>0</v>
      </c>
      <c r="AY482" s="48"/>
      <c r="AZ482" s="52">
        <v>0</v>
      </c>
      <c r="BA482" s="52">
        <v>0</v>
      </c>
      <c r="BB482" s="48"/>
      <c r="BC482" s="45">
        <v>0</v>
      </c>
      <c r="BD482" s="45">
        <v>0</v>
      </c>
      <c r="BE482" s="45">
        <v>0</v>
      </c>
      <c r="BF482" s="45">
        <v>0</v>
      </c>
      <c r="BG482" s="45"/>
      <c r="BH482" s="46"/>
      <c r="BI482" s="45">
        <v>0</v>
      </c>
      <c r="BJ482" s="45">
        <v>0</v>
      </c>
      <c r="BK482" s="45"/>
      <c r="BL482" s="45"/>
      <c r="BM482" s="45">
        <v>0</v>
      </c>
      <c r="BN482" s="45"/>
      <c r="BO482" s="45"/>
      <c r="BP482" s="46"/>
      <c r="BQ482" s="48"/>
      <c r="BR482" s="52">
        <v>0</v>
      </c>
      <c r="BS482" s="52">
        <v>0</v>
      </c>
    </row>
    <row r="483" spans="2:71" x14ac:dyDescent="0.2">
      <c r="B483" s="56" t="s">
        <v>64</v>
      </c>
      <c r="C483" s="45"/>
      <c r="D483" s="45">
        <v>0</v>
      </c>
      <c r="E483" s="52">
        <v>0</v>
      </c>
      <c r="F483" s="52">
        <v>0</v>
      </c>
      <c r="G483" s="48"/>
      <c r="H483" s="45">
        <v>0</v>
      </c>
      <c r="I483" s="45">
        <v>0</v>
      </c>
      <c r="J483" s="45">
        <v>0</v>
      </c>
      <c r="K483" s="45"/>
      <c r="L483" s="45"/>
      <c r="M483" s="52">
        <v>0</v>
      </c>
      <c r="N483" s="52">
        <v>0</v>
      </c>
      <c r="O483" s="45">
        <v>0</v>
      </c>
      <c r="P483" s="45"/>
      <c r="Q483" s="52"/>
      <c r="R483" s="52">
        <v>0</v>
      </c>
      <c r="S483" s="61">
        <v>0</v>
      </c>
      <c r="T483" s="49"/>
      <c r="U483" s="49"/>
      <c r="V483" s="45"/>
      <c r="W483" s="45"/>
      <c r="X483" s="45"/>
      <c r="Y483" s="45">
        <v>0</v>
      </c>
      <c r="Z483" s="45">
        <v>0</v>
      </c>
      <c r="AA483" s="45"/>
      <c r="AB483" s="45"/>
      <c r="AC483" s="45"/>
      <c r="AD483" s="52"/>
      <c r="AE483" s="52">
        <v>0</v>
      </c>
      <c r="AF483" s="48">
        <v>0</v>
      </c>
      <c r="AG483" s="52">
        <v>0</v>
      </c>
      <c r="AH483" s="52">
        <v>0</v>
      </c>
      <c r="AI483" s="48"/>
      <c r="AJ483" s="48">
        <v>0</v>
      </c>
      <c r="AK483" s="52">
        <v>0</v>
      </c>
      <c r="AL483" s="52">
        <v>0</v>
      </c>
      <c r="AM483" s="48">
        <v>0</v>
      </c>
      <c r="AN483" s="52">
        <v>0</v>
      </c>
      <c r="AO483" s="52">
        <v>0</v>
      </c>
      <c r="AP483" s="48">
        <v>0</v>
      </c>
      <c r="AQ483" s="88">
        <v>0</v>
      </c>
      <c r="AR483" s="52">
        <v>0</v>
      </c>
      <c r="AS483" s="52"/>
      <c r="AT483" s="52"/>
      <c r="AU483" s="48">
        <v>0</v>
      </c>
      <c r="AV483" s="48"/>
      <c r="AW483" s="52"/>
      <c r="AX483" s="52">
        <v>0</v>
      </c>
      <c r="AY483" s="48"/>
      <c r="AZ483" s="52">
        <v>0</v>
      </c>
      <c r="BA483" s="52">
        <v>0</v>
      </c>
      <c r="BB483" s="48"/>
      <c r="BC483" s="45">
        <v>0</v>
      </c>
      <c r="BD483" s="45">
        <v>0</v>
      </c>
      <c r="BE483" s="45">
        <v>0</v>
      </c>
      <c r="BF483" s="45">
        <v>0</v>
      </c>
      <c r="BG483" s="45"/>
      <c r="BH483" s="46"/>
      <c r="BI483" s="45">
        <v>0</v>
      </c>
      <c r="BJ483" s="45">
        <v>0</v>
      </c>
      <c r="BK483" s="45"/>
      <c r="BL483" s="45"/>
      <c r="BM483" s="45">
        <v>0</v>
      </c>
      <c r="BN483" s="45"/>
      <c r="BO483" s="45"/>
      <c r="BP483" s="46"/>
      <c r="BQ483" s="48"/>
      <c r="BR483" s="52">
        <v>0</v>
      </c>
      <c r="BS483" s="52">
        <v>0</v>
      </c>
    </row>
    <row r="484" spans="2:71" x14ac:dyDescent="0.2">
      <c r="B484" s="56" t="s">
        <v>64</v>
      </c>
      <c r="C484" s="45"/>
      <c r="D484" s="45">
        <v>0</v>
      </c>
      <c r="E484" s="52">
        <v>0</v>
      </c>
      <c r="F484" s="52">
        <v>0</v>
      </c>
      <c r="G484" s="48"/>
      <c r="H484" s="45">
        <v>0</v>
      </c>
      <c r="I484" s="45">
        <v>0</v>
      </c>
      <c r="J484" s="45">
        <v>0</v>
      </c>
      <c r="K484" s="45"/>
      <c r="L484" s="45"/>
      <c r="M484" s="52">
        <v>0</v>
      </c>
      <c r="N484" s="52">
        <v>0</v>
      </c>
      <c r="O484" s="45">
        <v>0</v>
      </c>
      <c r="P484" s="45"/>
      <c r="Q484" s="52"/>
      <c r="R484" s="52">
        <v>0</v>
      </c>
      <c r="S484" s="61">
        <v>0</v>
      </c>
      <c r="T484" s="49"/>
      <c r="U484" s="49"/>
      <c r="V484" s="45"/>
      <c r="W484" s="45"/>
      <c r="X484" s="45"/>
      <c r="Y484" s="45">
        <v>0</v>
      </c>
      <c r="Z484" s="45">
        <v>0</v>
      </c>
      <c r="AA484" s="45"/>
      <c r="AB484" s="45"/>
      <c r="AC484" s="45"/>
      <c r="AD484" s="52"/>
      <c r="AE484" s="52">
        <v>0</v>
      </c>
      <c r="AF484" s="48">
        <v>0</v>
      </c>
      <c r="AG484" s="52">
        <v>0</v>
      </c>
      <c r="AH484" s="52">
        <v>0</v>
      </c>
      <c r="AI484" s="48"/>
      <c r="AJ484" s="48">
        <v>0</v>
      </c>
      <c r="AK484" s="52">
        <v>0</v>
      </c>
      <c r="AL484" s="52">
        <v>0</v>
      </c>
      <c r="AM484" s="48">
        <v>0</v>
      </c>
      <c r="AN484" s="52">
        <v>0</v>
      </c>
      <c r="AO484" s="52">
        <v>0</v>
      </c>
      <c r="AP484" s="48">
        <v>0</v>
      </c>
      <c r="AQ484" s="88">
        <v>0</v>
      </c>
      <c r="AR484" s="52">
        <v>0</v>
      </c>
      <c r="AS484" s="52"/>
      <c r="AT484" s="52"/>
      <c r="AU484" s="48">
        <v>0</v>
      </c>
      <c r="AV484" s="48"/>
      <c r="AW484" s="52"/>
      <c r="AX484" s="52">
        <v>0</v>
      </c>
      <c r="AY484" s="48"/>
      <c r="AZ484" s="52">
        <v>0</v>
      </c>
      <c r="BA484" s="52">
        <v>0</v>
      </c>
      <c r="BB484" s="48"/>
      <c r="BC484" s="45">
        <v>0</v>
      </c>
      <c r="BD484" s="45">
        <v>0</v>
      </c>
      <c r="BE484" s="45">
        <v>0</v>
      </c>
      <c r="BF484" s="45">
        <v>0</v>
      </c>
      <c r="BG484" s="45"/>
      <c r="BH484" s="46"/>
      <c r="BI484" s="45">
        <v>0</v>
      </c>
      <c r="BJ484" s="45">
        <v>0</v>
      </c>
      <c r="BK484" s="45"/>
      <c r="BL484" s="45"/>
      <c r="BM484" s="45">
        <v>0</v>
      </c>
      <c r="BN484" s="45"/>
      <c r="BO484" s="45"/>
      <c r="BP484" s="46"/>
      <c r="BQ484" s="48"/>
      <c r="BR484" s="52">
        <v>0</v>
      </c>
      <c r="BS484" s="52">
        <v>0</v>
      </c>
    </row>
    <row r="485" spans="2:71" x14ac:dyDescent="0.2">
      <c r="B485" s="56" t="s">
        <v>64</v>
      </c>
      <c r="C485" s="45"/>
      <c r="D485" s="45">
        <v>0</v>
      </c>
      <c r="E485" s="52">
        <v>0</v>
      </c>
      <c r="F485" s="52">
        <v>0</v>
      </c>
      <c r="G485" s="48"/>
      <c r="H485" s="45">
        <v>0</v>
      </c>
      <c r="I485" s="45">
        <v>0</v>
      </c>
      <c r="J485" s="45">
        <v>0</v>
      </c>
      <c r="K485" s="45"/>
      <c r="L485" s="45"/>
      <c r="M485" s="52">
        <v>0</v>
      </c>
      <c r="N485" s="52">
        <v>0</v>
      </c>
      <c r="O485" s="45">
        <v>0</v>
      </c>
      <c r="P485" s="45"/>
      <c r="Q485" s="52"/>
      <c r="R485" s="52">
        <v>0</v>
      </c>
      <c r="S485" s="61">
        <v>0</v>
      </c>
      <c r="T485" s="49"/>
      <c r="U485" s="49"/>
      <c r="V485" s="45"/>
      <c r="W485" s="45"/>
      <c r="X485" s="45"/>
      <c r="Y485" s="45">
        <v>0</v>
      </c>
      <c r="Z485" s="45">
        <v>0</v>
      </c>
      <c r="AA485" s="45"/>
      <c r="AB485" s="45"/>
      <c r="AC485" s="45"/>
      <c r="AD485" s="52"/>
      <c r="AE485" s="52">
        <v>0</v>
      </c>
      <c r="AF485" s="48">
        <v>0</v>
      </c>
      <c r="AG485" s="52">
        <v>0</v>
      </c>
      <c r="AH485" s="52">
        <v>0</v>
      </c>
      <c r="AI485" s="48"/>
      <c r="AJ485" s="48">
        <v>0</v>
      </c>
      <c r="AK485" s="52">
        <v>0</v>
      </c>
      <c r="AL485" s="52">
        <v>0</v>
      </c>
      <c r="AM485" s="48">
        <v>0</v>
      </c>
      <c r="AN485" s="52">
        <v>0</v>
      </c>
      <c r="AO485" s="52">
        <v>0</v>
      </c>
      <c r="AP485" s="48">
        <v>0</v>
      </c>
      <c r="AQ485" s="88">
        <v>0</v>
      </c>
      <c r="AR485" s="52">
        <v>0</v>
      </c>
      <c r="AS485" s="52"/>
      <c r="AT485" s="52"/>
      <c r="AU485" s="48">
        <v>0</v>
      </c>
      <c r="AV485" s="48"/>
      <c r="AW485" s="52"/>
      <c r="AX485" s="52">
        <v>0</v>
      </c>
      <c r="AY485" s="48"/>
      <c r="AZ485" s="52">
        <v>0</v>
      </c>
      <c r="BA485" s="52">
        <v>0</v>
      </c>
      <c r="BB485" s="48"/>
      <c r="BC485" s="45">
        <v>0</v>
      </c>
      <c r="BD485" s="45">
        <v>0</v>
      </c>
      <c r="BE485" s="45">
        <v>0</v>
      </c>
      <c r="BF485" s="45">
        <v>0</v>
      </c>
      <c r="BG485" s="45"/>
      <c r="BH485" s="46"/>
      <c r="BI485" s="45">
        <v>0</v>
      </c>
      <c r="BJ485" s="45">
        <v>0</v>
      </c>
      <c r="BK485" s="45"/>
      <c r="BL485" s="45"/>
      <c r="BM485" s="45">
        <v>0</v>
      </c>
      <c r="BN485" s="45"/>
      <c r="BO485" s="45"/>
      <c r="BP485" s="46"/>
      <c r="BQ485" s="48"/>
      <c r="BR485" s="52">
        <v>0</v>
      </c>
      <c r="BS485" s="52">
        <v>0</v>
      </c>
    </row>
    <row r="486" spans="2:71" x14ac:dyDescent="0.2">
      <c r="B486" s="56" t="s">
        <v>64</v>
      </c>
      <c r="C486" s="45"/>
      <c r="D486" s="45">
        <v>0</v>
      </c>
      <c r="E486" s="52">
        <v>0</v>
      </c>
      <c r="F486" s="52">
        <v>0</v>
      </c>
      <c r="G486" s="48"/>
      <c r="H486" s="45">
        <v>0</v>
      </c>
      <c r="I486" s="45">
        <v>0</v>
      </c>
      <c r="J486" s="45">
        <v>0</v>
      </c>
      <c r="K486" s="45"/>
      <c r="L486" s="45"/>
      <c r="M486" s="52">
        <v>0</v>
      </c>
      <c r="N486" s="52">
        <v>0</v>
      </c>
      <c r="O486" s="45">
        <v>0</v>
      </c>
      <c r="P486" s="45"/>
      <c r="Q486" s="52"/>
      <c r="R486" s="52">
        <v>0</v>
      </c>
      <c r="S486" s="61">
        <v>0</v>
      </c>
      <c r="T486" s="49"/>
      <c r="U486" s="49"/>
      <c r="V486" s="45"/>
      <c r="W486" s="45"/>
      <c r="X486" s="45"/>
      <c r="Y486" s="45">
        <v>0</v>
      </c>
      <c r="Z486" s="45">
        <v>0</v>
      </c>
      <c r="AA486" s="45"/>
      <c r="AB486" s="45"/>
      <c r="AC486" s="45"/>
      <c r="AD486" s="52"/>
      <c r="AE486" s="52">
        <v>0</v>
      </c>
      <c r="AF486" s="48">
        <v>0</v>
      </c>
      <c r="AG486" s="52">
        <v>0</v>
      </c>
      <c r="AH486" s="52">
        <v>0</v>
      </c>
      <c r="AI486" s="48"/>
      <c r="AJ486" s="48">
        <v>0</v>
      </c>
      <c r="AK486" s="52">
        <v>0</v>
      </c>
      <c r="AL486" s="52">
        <v>0</v>
      </c>
      <c r="AM486" s="48">
        <v>0</v>
      </c>
      <c r="AN486" s="52">
        <v>0</v>
      </c>
      <c r="AO486" s="52">
        <v>0</v>
      </c>
      <c r="AP486" s="48">
        <v>0</v>
      </c>
      <c r="AQ486" s="88">
        <v>0</v>
      </c>
      <c r="AR486" s="52">
        <v>0</v>
      </c>
      <c r="AS486" s="52"/>
      <c r="AT486" s="52"/>
      <c r="AU486" s="48">
        <v>0</v>
      </c>
      <c r="AV486" s="48"/>
      <c r="AW486" s="52"/>
      <c r="AX486" s="52">
        <v>0</v>
      </c>
      <c r="AY486" s="48"/>
      <c r="AZ486" s="52">
        <v>0</v>
      </c>
      <c r="BA486" s="52">
        <v>0</v>
      </c>
      <c r="BB486" s="48"/>
      <c r="BC486" s="45">
        <v>0</v>
      </c>
      <c r="BD486" s="45">
        <v>0</v>
      </c>
      <c r="BE486" s="45">
        <v>0</v>
      </c>
      <c r="BF486" s="45">
        <v>0</v>
      </c>
      <c r="BG486" s="45"/>
      <c r="BH486" s="46"/>
      <c r="BI486" s="45">
        <v>0</v>
      </c>
      <c r="BJ486" s="45">
        <v>0</v>
      </c>
      <c r="BK486" s="45"/>
      <c r="BL486" s="45"/>
      <c r="BM486" s="45">
        <v>0</v>
      </c>
      <c r="BN486" s="45"/>
      <c r="BO486" s="45"/>
      <c r="BP486" s="46"/>
      <c r="BQ486" s="48"/>
      <c r="BR486" s="52">
        <v>0</v>
      </c>
      <c r="BS486" s="52">
        <v>0</v>
      </c>
    </row>
    <row r="487" spans="2:71" x14ac:dyDescent="0.2">
      <c r="B487" s="56" t="s">
        <v>64</v>
      </c>
      <c r="C487" s="45"/>
      <c r="D487" s="45">
        <v>0</v>
      </c>
      <c r="E487" s="52">
        <v>0</v>
      </c>
      <c r="F487" s="52">
        <v>0</v>
      </c>
      <c r="G487" s="48"/>
      <c r="H487" s="45">
        <v>0</v>
      </c>
      <c r="I487" s="45">
        <v>0</v>
      </c>
      <c r="J487" s="45">
        <v>0</v>
      </c>
      <c r="K487" s="45"/>
      <c r="L487" s="45"/>
      <c r="M487" s="52">
        <v>0</v>
      </c>
      <c r="N487" s="52">
        <v>0</v>
      </c>
      <c r="O487" s="45">
        <v>0</v>
      </c>
      <c r="P487" s="45"/>
      <c r="Q487" s="52"/>
      <c r="R487" s="52">
        <v>0</v>
      </c>
      <c r="S487" s="61">
        <v>0</v>
      </c>
      <c r="T487" s="49"/>
      <c r="U487" s="49"/>
      <c r="V487" s="45"/>
      <c r="W487" s="45"/>
      <c r="X487" s="45"/>
      <c r="Y487" s="45">
        <v>0</v>
      </c>
      <c r="Z487" s="45">
        <v>0</v>
      </c>
      <c r="AA487" s="45"/>
      <c r="AB487" s="45"/>
      <c r="AC487" s="45"/>
      <c r="AD487" s="52"/>
      <c r="AE487" s="52">
        <v>0</v>
      </c>
      <c r="AF487" s="48">
        <v>0</v>
      </c>
      <c r="AG487" s="52">
        <v>0</v>
      </c>
      <c r="AH487" s="52">
        <v>0</v>
      </c>
      <c r="AI487" s="48"/>
      <c r="AJ487" s="48">
        <v>0</v>
      </c>
      <c r="AK487" s="52">
        <v>0</v>
      </c>
      <c r="AL487" s="52">
        <v>0</v>
      </c>
      <c r="AM487" s="48">
        <v>0</v>
      </c>
      <c r="AN487" s="52">
        <v>0</v>
      </c>
      <c r="AO487" s="52">
        <v>0</v>
      </c>
      <c r="AP487" s="48">
        <v>0</v>
      </c>
      <c r="AQ487" s="88">
        <v>0</v>
      </c>
      <c r="AR487" s="52">
        <v>0</v>
      </c>
      <c r="AS487" s="52"/>
      <c r="AT487" s="52"/>
      <c r="AU487" s="48">
        <v>0</v>
      </c>
      <c r="AV487" s="48"/>
      <c r="AW487" s="52"/>
      <c r="AX487" s="52">
        <v>0</v>
      </c>
      <c r="AY487" s="48"/>
      <c r="AZ487" s="52">
        <v>0</v>
      </c>
      <c r="BA487" s="52">
        <v>0</v>
      </c>
      <c r="BB487" s="48"/>
      <c r="BC487" s="45">
        <v>0</v>
      </c>
      <c r="BD487" s="45">
        <v>0</v>
      </c>
      <c r="BE487" s="45">
        <v>0</v>
      </c>
      <c r="BF487" s="45">
        <v>0</v>
      </c>
      <c r="BG487" s="45"/>
      <c r="BH487" s="46"/>
      <c r="BI487" s="45">
        <v>0</v>
      </c>
      <c r="BJ487" s="45">
        <v>0</v>
      </c>
      <c r="BK487" s="45"/>
      <c r="BL487" s="45"/>
      <c r="BM487" s="45">
        <v>0</v>
      </c>
      <c r="BN487" s="45"/>
      <c r="BO487" s="45"/>
      <c r="BP487" s="46"/>
      <c r="BQ487" s="48"/>
      <c r="BR487" s="52">
        <v>0</v>
      </c>
      <c r="BS487" s="52">
        <v>0</v>
      </c>
    </row>
    <row r="488" spans="2:71" x14ac:dyDescent="0.2">
      <c r="B488" s="56" t="s">
        <v>64</v>
      </c>
      <c r="C488" s="45"/>
      <c r="D488" s="45">
        <v>0</v>
      </c>
      <c r="E488" s="52">
        <v>0</v>
      </c>
      <c r="F488" s="52">
        <v>0</v>
      </c>
      <c r="G488" s="48"/>
      <c r="H488" s="45">
        <v>0</v>
      </c>
      <c r="I488" s="45">
        <v>0</v>
      </c>
      <c r="J488" s="45">
        <v>0</v>
      </c>
      <c r="K488" s="45"/>
      <c r="L488" s="45"/>
      <c r="M488" s="52">
        <v>0</v>
      </c>
      <c r="N488" s="52">
        <v>0</v>
      </c>
      <c r="O488" s="45">
        <v>0</v>
      </c>
      <c r="P488" s="45"/>
      <c r="Q488" s="52"/>
      <c r="R488" s="52">
        <v>0</v>
      </c>
      <c r="S488" s="61">
        <v>0</v>
      </c>
      <c r="T488" s="49"/>
      <c r="U488" s="49"/>
      <c r="V488" s="45"/>
      <c r="W488" s="45"/>
      <c r="X488" s="45"/>
      <c r="Y488" s="45">
        <v>0</v>
      </c>
      <c r="Z488" s="45">
        <v>0</v>
      </c>
      <c r="AA488" s="45"/>
      <c r="AB488" s="45"/>
      <c r="AC488" s="45"/>
      <c r="AD488" s="52"/>
      <c r="AE488" s="52">
        <v>0</v>
      </c>
      <c r="AF488" s="48">
        <v>0</v>
      </c>
      <c r="AG488" s="52">
        <v>0</v>
      </c>
      <c r="AH488" s="52">
        <v>0</v>
      </c>
      <c r="AI488" s="48"/>
      <c r="AJ488" s="48">
        <v>0</v>
      </c>
      <c r="AK488" s="52">
        <v>0</v>
      </c>
      <c r="AL488" s="52">
        <v>0</v>
      </c>
      <c r="AM488" s="48">
        <v>0</v>
      </c>
      <c r="AN488" s="52">
        <v>0</v>
      </c>
      <c r="AO488" s="52">
        <v>0</v>
      </c>
      <c r="AP488" s="48">
        <v>0</v>
      </c>
      <c r="AQ488" s="88">
        <v>0</v>
      </c>
      <c r="AR488" s="52">
        <v>0</v>
      </c>
      <c r="AS488" s="52"/>
      <c r="AT488" s="52"/>
      <c r="AU488" s="48">
        <v>0</v>
      </c>
      <c r="AV488" s="48"/>
      <c r="AW488" s="52"/>
      <c r="AX488" s="52">
        <v>0</v>
      </c>
      <c r="AY488" s="48"/>
      <c r="AZ488" s="52">
        <v>0</v>
      </c>
      <c r="BA488" s="52">
        <v>0</v>
      </c>
      <c r="BB488" s="48"/>
      <c r="BC488" s="45">
        <v>0</v>
      </c>
      <c r="BD488" s="45">
        <v>0</v>
      </c>
      <c r="BE488" s="45">
        <v>0</v>
      </c>
      <c r="BF488" s="45">
        <v>0</v>
      </c>
      <c r="BG488" s="45"/>
      <c r="BH488" s="46"/>
      <c r="BI488" s="45">
        <v>0</v>
      </c>
      <c r="BJ488" s="45">
        <v>0</v>
      </c>
      <c r="BK488" s="45"/>
      <c r="BL488" s="45"/>
      <c r="BM488" s="45">
        <v>0</v>
      </c>
      <c r="BN488" s="45"/>
      <c r="BO488" s="45"/>
      <c r="BP488" s="46"/>
      <c r="BQ488" s="48"/>
      <c r="BR488" s="52">
        <v>0</v>
      </c>
      <c r="BS488" s="52">
        <v>0</v>
      </c>
    </row>
    <row r="489" spans="2:71" x14ac:dyDescent="0.2">
      <c r="B489" s="56" t="s">
        <v>64</v>
      </c>
      <c r="C489" s="45"/>
      <c r="D489" s="45">
        <v>0</v>
      </c>
      <c r="E489" s="52">
        <v>0</v>
      </c>
      <c r="F489" s="52">
        <v>0</v>
      </c>
      <c r="G489" s="48"/>
      <c r="H489" s="45">
        <v>0</v>
      </c>
      <c r="I489" s="45">
        <v>0</v>
      </c>
      <c r="J489" s="45">
        <v>0</v>
      </c>
      <c r="K489" s="45"/>
      <c r="L489" s="45"/>
      <c r="M489" s="52">
        <v>0</v>
      </c>
      <c r="N489" s="52">
        <v>0</v>
      </c>
      <c r="O489" s="45">
        <v>0</v>
      </c>
      <c r="P489" s="45"/>
      <c r="Q489" s="52"/>
      <c r="R489" s="52">
        <v>0</v>
      </c>
      <c r="S489" s="61">
        <v>0</v>
      </c>
      <c r="T489" s="49"/>
      <c r="U489" s="49"/>
      <c r="V489" s="45"/>
      <c r="W489" s="45"/>
      <c r="X489" s="45"/>
      <c r="Y489" s="45">
        <v>0</v>
      </c>
      <c r="Z489" s="45">
        <v>0</v>
      </c>
      <c r="AA489" s="45"/>
      <c r="AB489" s="45"/>
      <c r="AC489" s="45"/>
      <c r="AD489" s="52"/>
      <c r="AE489" s="52">
        <v>0</v>
      </c>
      <c r="AF489" s="48">
        <v>0</v>
      </c>
      <c r="AG489" s="52">
        <v>0</v>
      </c>
      <c r="AH489" s="52">
        <v>0</v>
      </c>
      <c r="AI489" s="48"/>
      <c r="AJ489" s="48">
        <v>0</v>
      </c>
      <c r="AK489" s="52">
        <v>0</v>
      </c>
      <c r="AL489" s="52">
        <v>0</v>
      </c>
      <c r="AM489" s="48">
        <v>0</v>
      </c>
      <c r="AN489" s="52">
        <v>0</v>
      </c>
      <c r="AO489" s="52">
        <v>0</v>
      </c>
      <c r="AP489" s="48">
        <v>0</v>
      </c>
      <c r="AQ489" s="88">
        <v>0</v>
      </c>
      <c r="AR489" s="52">
        <v>0</v>
      </c>
      <c r="AS489" s="52"/>
      <c r="AT489" s="52"/>
      <c r="AU489" s="48">
        <v>0</v>
      </c>
      <c r="AV489" s="48"/>
      <c r="AW489" s="52"/>
      <c r="AX489" s="52">
        <v>0</v>
      </c>
      <c r="AY489" s="48"/>
      <c r="AZ489" s="52">
        <v>0</v>
      </c>
      <c r="BA489" s="52">
        <v>0</v>
      </c>
      <c r="BB489" s="48"/>
      <c r="BC489" s="45">
        <v>0</v>
      </c>
      <c r="BD489" s="45">
        <v>0</v>
      </c>
      <c r="BE489" s="45">
        <v>0</v>
      </c>
      <c r="BF489" s="45">
        <v>0</v>
      </c>
      <c r="BG489" s="45"/>
      <c r="BH489" s="46"/>
      <c r="BI489" s="45">
        <v>0</v>
      </c>
      <c r="BJ489" s="45">
        <v>0</v>
      </c>
      <c r="BK489" s="45"/>
      <c r="BL489" s="45"/>
      <c r="BM489" s="45">
        <v>0</v>
      </c>
      <c r="BN489" s="45"/>
      <c r="BO489" s="45"/>
      <c r="BP489" s="46"/>
      <c r="BQ489" s="48"/>
      <c r="BR489" s="52">
        <v>0</v>
      </c>
      <c r="BS489" s="52">
        <v>0</v>
      </c>
    </row>
    <row r="490" spans="2:71" x14ac:dyDescent="0.2">
      <c r="B490" s="56" t="s">
        <v>64</v>
      </c>
      <c r="C490" s="45"/>
      <c r="D490" s="45">
        <v>0</v>
      </c>
      <c r="E490" s="52">
        <v>0</v>
      </c>
      <c r="F490" s="52">
        <v>0</v>
      </c>
      <c r="G490" s="48"/>
      <c r="H490" s="45">
        <v>0</v>
      </c>
      <c r="I490" s="45">
        <v>0</v>
      </c>
      <c r="J490" s="45">
        <v>0</v>
      </c>
      <c r="K490" s="45"/>
      <c r="L490" s="45"/>
      <c r="M490" s="52">
        <v>0</v>
      </c>
      <c r="N490" s="52">
        <v>0</v>
      </c>
      <c r="O490" s="45">
        <v>0</v>
      </c>
      <c r="P490" s="45"/>
      <c r="Q490" s="52"/>
      <c r="R490" s="52">
        <v>0</v>
      </c>
      <c r="S490" s="61">
        <v>0</v>
      </c>
      <c r="T490" s="49"/>
      <c r="U490" s="49"/>
      <c r="V490" s="45"/>
      <c r="W490" s="45"/>
      <c r="X490" s="45"/>
      <c r="Y490" s="45">
        <v>0</v>
      </c>
      <c r="Z490" s="45">
        <v>0</v>
      </c>
      <c r="AA490" s="45"/>
      <c r="AB490" s="45"/>
      <c r="AC490" s="45"/>
      <c r="AD490" s="52"/>
      <c r="AE490" s="52">
        <v>0</v>
      </c>
      <c r="AF490" s="48">
        <v>0</v>
      </c>
      <c r="AG490" s="52">
        <v>0</v>
      </c>
      <c r="AH490" s="52">
        <v>0</v>
      </c>
      <c r="AI490" s="48"/>
      <c r="AJ490" s="48">
        <v>0</v>
      </c>
      <c r="AK490" s="52">
        <v>0</v>
      </c>
      <c r="AL490" s="52">
        <v>0</v>
      </c>
      <c r="AM490" s="48">
        <v>0</v>
      </c>
      <c r="AN490" s="52">
        <v>0</v>
      </c>
      <c r="AO490" s="52">
        <v>0</v>
      </c>
      <c r="AP490" s="48">
        <v>0</v>
      </c>
      <c r="AQ490" s="88">
        <v>0</v>
      </c>
      <c r="AR490" s="52">
        <v>0</v>
      </c>
      <c r="AS490" s="52"/>
      <c r="AT490" s="52"/>
      <c r="AU490" s="48">
        <v>0</v>
      </c>
      <c r="AV490" s="48"/>
      <c r="AW490" s="52"/>
      <c r="AX490" s="52">
        <v>0</v>
      </c>
      <c r="AY490" s="48"/>
      <c r="AZ490" s="52">
        <v>0</v>
      </c>
      <c r="BA490" s="52">
        <v>0</v>
      </c>
      <c r="BB490" s="48"/>
      <c r="BC490" s="45">
        <v>0</v>
      </c>
      <c r="BD490" s="45">
        <v>0</v>
      </c>
      <c r="BE490" s="45">
        <v>0</v>
      </c>
      <c r="BF490" s="45">
        <v>0</v>
      </c>
      <c r="BG490" s="45"/>
      <c r="BH490" s="46"/>
      <c r="BI490" s="45">
        <v>0</v>
      </c>
      <c r="BJ490" s="45">
        <v>0</v>
      </c>
      <c r="BK490" s="45"/>
      <c r="BL490" s="45"/>
      <c r="BM490" s="45">
        <v>0</v>
      </c>
      <c r="BN490" s="45"/>
      <c r="BO490" s="45"/>
      <c r="BP490" s="46"/>
      <c r="BQ490" s="48"/>
      <c r="BR490" s="52">
        <v>0</v>
      </c>
      <c r="BS490" s="52">
        <v>0</v>
      </c>
    </row>
    <row r="491" spans="2:71" x14ac:dyDescent="0.2">
      <c r="B491" s="56" t="s">
        <v>64</v>
      </c>
      <c r="C491" s="45"/>
      <c r="D491" s="45">
        <v>0</v>
      </c>
      <c r="E491" s="52">
        <v>0</v>
      </c>
      <c r="F491" s="52">
        <v>0</v>
      </c>
      <c r="G491" s="48"/>
      <c r="H491" s="45">
        <v>0</v>
      </c>
      <c r="I491" s="45">
        <v>0</v>
      </c>
      <c r="J491" s="45">
        <v>0</v>
      </c>
      <c r="K491" s="45"/>
      <c r="L491" s="45"/>
      <c r="M491" s="52">
        <v>0</v>
      </c>
      <c r="N491" s="52">
        <v>0</v>
      </c>
      <c r="O491" s="45">
        <v>0</v>
      </c>
      <c r="P491" s="45"/>
      <c r="Q491" s="52"/>
      <c r="R491" s="52">
        <v>0</v>
      </c>
      <c r="S491" s="61">
        <v>0</v>
      </c>
      <c r="T491" s="49"/>
      <c r="U491" s="49"/>
      <c r="V491" s="45"/>
      <c r="W491" s="45"/>
      <c r="X491" s="45"/>
      <c r="Y491" s="45">
        <v>0</v>
      </c>
      <c r="Z491" s="45">
        <v>0</v>
      </c>
      <c r="AA491" s="45"/>
      <c r="AB491" s="45"/>
      <c r="AC491" s="45"/>
      <c r="AD491" s="52"/>
      <c r="AE491" s="52">
        <v>0</v>
      </c>
      <c r="AF491" s="48">
        <v>0</v>
      </c>
      <c r="AG491" s="52">
        <v>0</v>
      </c>
      <c r="AH491" s="52">
        <v>0</v>
      </c>
      <c r="AI491" s="48"/>
      <c r="AJ491" s="48">
        <v>0</v>
      </c>
      <c r="AK491" s="52">
        <v>0</v>
      </c>
      <c r="AL491" s="52">
        <v>0</v>
      </c>
      <c r="AM491" s="48">
        <v>0</v>
      </c>
      <c r="AN491" s="52">
        <v>0</v>
      </c>
      <c r="AO491" s="52">
        <v>0</v>
      </c>
      <c r="AP491" s="48">
        <v>0</v>
      </c>
      <c r="AQ491" s="88">
        <v>0</v>
      </c>
      <c r="AR491" s="52">
        <v>0</v>
      </c>
      <c r="AS491" s="52"/>
      <c r="AT491" s="52"/>
      <c r="AU491" s="48">
        <v>0</v>
      </c>
      <c r="AV491" s="48"/>
      <c r="AW491" s="52"/>
      <c r="AX491" s="52">
        <v>0</v>
      </c>
      <c r="AY491" s="48"/>
      <c r="AZ491" s="52">
        <v>0</v>
      </c>
      <c r="BA491" s="52">
        <v>0</v>
      </c>
      <c r="BB491" s="48"/>
      <c r="BC491" s="45">
        <v>0</v>
      </c>
      <c r="BD491" s="45">
        <v>0</v>
      </c>
      <c r="BE491" s="45">
        <v>0</v>
      </c>
      <c r="BF491" s="45">
        <v>0</v>
      </c>
      <c r="BG491" s="45"/>
      <c r="BH491" s="46"/>
      <c r="BI491" s="45">
        <v>0</v>
      </c>
      <c r="BJ491" s="45">
        <v>0</v>
      </c>
      <c r="BK491" s="45"/>
      <c r="BL491" s="45"/>
      <c r="BM491" s="45">
        <v>0</v>
      </c>
      <c r="BN491" s="45"/>
      <c r="BO491" s="45"/>
      <c r="BP491" s="46"/>
      <c r="BQ491" s="48"/>
      <c r="BR491" s="52">
        <v>0</v>
      </c>
      <c r="BS491" s="52">
        <v>0</v>
      </c>
    </row>
    <row r="492" spans="2:71" x14ac:dyDescent="0.2">
      <c r="B492" s="56" t="s">
        <v>64</v>
      </c>
      <c r="C492" s="45"/>
      <c r="D492" s="45">
        <v>0</v>
      </c>
      <c r="E492" s="52">
        <v>0</v>
      </c>
      <c r="F492" s="52">
        <v>0</v>
      </c>
      <c r="G492" s="48"/>
      <c r="H492" s="45">
        <v>0</v>
      </c>
      <c r="I492" s="45">
        <v>0</v>
      </c>
      <c r="J492" s="45">
        <v>0</v>
      </c>
      <c r="K492" s="45"/>
      <c r="L492" s="45"/>
      <c r="M492" s="52">
        <v>0</v>
      </c>
      <c r="N492" s="52">
        <v>0</v>
      </c>
      <c r="O492" s="45">
        <v>0</v>
      </c>
      <c r="P492" s="45"/>
      <c r="Q492" s="52"/>
      <c r="R492" s="52">
        <v>0</v>
      </c>
      <c r="S492" s="61">
        <v>0</v>
      </c>
      <c r="T492" s="49"/>
      <c r="U492" s="49"/>
      <c r="V492" s="45"/>
      <c r="W492" s="45"/>
      <c r="X492" s="45"/>
      <c r="Y492" s="45">
        <v>0</v>
      </c>
      <c r="Z492" s="45">
        <v>0</v>
      </c>
      <c r="AA492" s="45"/>
      <c r="AB492" s="45"/>
      <c r="AC492" s="45"/>
      <c r="AD492" s="52"/>
      <c r="AE492" s="52">
        <v>0</v>
      </c>
      <c r="AF492" s="48">
        <v>0</v>
      </c>
      <c r="AG492" s="52">
        <v>0</v>
      </c>
      <c r="AH492" s="52">
        <v>0</v>
      </c>
      <c r="AI492" s="48"/>
      <c r="AJ492" s="48">
        <v>0</v>
      </c>
      <c r="AK492" s="52">
        <v>0</v>
      </c>
      <c r="AL492" s="52">
        <v>0</v>
      </c>
      <c r="AM492" s="48">
        <v>0</v>
      </c>
      <c r="AN492" s="52">
        <v>0</v>
      </c>
      <c r="AO492" s="52">
        <v>0</v>
      </c>
      <c r="AP492" s="48">
        <v>0</v>
      </c>
      <c r="AQ492" s="88">
        <v>0</v>
      </c>
      <c r="AR492" s="52">
        <v>0</v>
      </c>
      <c r="AS492" s="52"/>
      <c r="AT492" s="52"/>
      <c r="AU492" s="48">
        <v>0</v>
      </c>
      <c r="AV492" s="48"/>
      <c r="AW492" s="52"/>
      <c r="AX492" s="52">
        <v>0</v>
      </c>
      <c r="AY492" s="48"/>
      <c r="AZ492" s="52">
        <v>0</v>
      </c>
      <c r="BA492" s="52">
        <v>0</v>
      </c>
      <c r="BB492" s="48"/>
      <c r="BC492" s="45">
        <v>0</v>
      </c>
      <c r="BD492" s="45">
        <v>0</v>
      </c>
      <c r="BE492" s="45">
        <v>0</v>
      </c>
      <c r="BF492" s="45">
        <v>0</v>
      </c>
      <c r="BG492" s="45"/>
      <c r="BH492" s="46"/>
      <c r="BI492" s="45">
        <v>0</v>
      </c>
      <c r="BJ492" s="45">
        <v>0</v>
      </c>
      <c r="BK492" s="45"/>
      <c r="BL492" s="45"/>
      <c r="BM492" s="45">
        <v>0</v>
      </c>
      <c r="BN492" s="45"/>
      <c r="BO492" s="45"/>
      <c r="BP492" s="46"/>
      <c r="BQ492" s="48"/>
      <c r="BR492" s="52">
        <v>0</v>
      </c>
      <c r="BS492" s="52">
        <v>0</v>
      </c>
    </row>
    <row r="493" spans="2:71" x14ac:dyDescent="0.2">
      <c r="B493" s="56" t="s">
        <v>64</v>
      </c>
      <c r="C493" s="45"/>
      <c r="D493" s="45">
        <v>0</v>
      </c>
      <c r="E493" s="52">
        <v>0</v>
      </c>
      <c r="F493" s="52">
        <v>0</v>
      </c>
      <c r="G493" s="48"/>
      <c r="H493" s="45">
        <v>0</v>
      </c>
      <c r="I493" s="45">
        <v>0</v>
      </c>
      <c r="J493" s="45">
        <v>0</v>
      </c>
      <c r="K493" s="45"/>
      <c r="L493" s="45"/>
      <c r="M493" s="52">
        <v>0</v>
      </c>
      <c r="N493" s="52">
        <v>0</v>
      </c>
      <c r="O493" s="45">
        <v>0</v>
      </c>
      <c r="P493" s="45"/>
      <c r="Q493" s="52"/>
      <c r="R493" s="52">
        <v>0</v>
      </c>
      <c r="S493" s="61">
        <v>0</v>
      </c>
      <c r="T493" s="49"/>
      <c r="U493" s="49"/>
      <c r="V493" s="45"/>
      <c r="W493" s="45"/>
      <c r="X493" s="45"/>
      <c r="Y493" s="45">
        <v>0</v>
      </c>
      <c r="Z493" s="45">
        <v>0</v>
      </c>
      <c r="AA493" s="45"/>
      <c r="AB493" s="45"/>
      <c r="AC493" s="45"/>
      <c r="AD493" s="52"/>
      <c r="AE493" s="52">
        <v>0</v>
      </c>
      <c r="AF493" s="48">
        <v>0</v>
      </c>
      <c r="AG493" s="52">
        <v>0</v>
      </c>
      <c r="AH493" s="52">
        <v>0</v>
      </c>
      <c r="AI493" s="48"/>
      <c r="AJ493" s="48">
        <v>0</v>
      </c>
      <c r="AK493" s="52">
        <v>0</v>
      </c>
      <c r="AL493" s="52">
        <v>0</v>
      </c>
      <c r="AM493" s="48">
        <v>0</v>
      </c>
      <c r="AN493" s="52">
        <v>0</v>
      </c>
      <c r="AO493" s="52">
        <v>0</v>
      </c>
      <c r="AP493" s="48">
        <v>0</v>
      </c>
      <c r="AQ493" s="88">
        <v>0</v>
      </c>
      <c r="AR493" s="52">
        <v>0</v>
      </c>
      <c r="AS493" s="52"/>
      <c r="AT493" s="52"/>
      <c r="AU493" s="48">
        <v>0</v>
      </c>
      <c r="AV493" s="48"/>
      <c r="AW493" s="52"/>
      <c r="AX493" s="52">
        <v>0</v>
      </c>
      <c r="AY493" s="48"/>
      <c r="AZ493" s="52">
        <v>0</v>
      </c>
      <c r="BA493" s="52">
        <v>0</v>
      </c>
      <c r="BB493" s="48"/>
      <c r="BC493" s="45">
        <v>0</v>
      </c>
      <c r="BD493" s="45">
        <v>0</v>
      </c>
      <c r="BE493" s="45">
        <v>0</v>
      </c>
      <c r="BF493" s="45">
        <v>0</v>
      </c>
      <c r="BG493" s="45"/>
      <c r="BH493" s="46"/>
      <c r="BI493" s="45">
        <v>0</v>
      </c>
      <c r="BJ493" s="45">
        <v>0</v>
      </c>
      <c r="BK493" s="45"/>
      <c r="BL493" s="45"/>
      <c r="BM493" s="45">
        <v>0</v>
      </c>
      <c r="BN493" s="45"/>
      <c r="BO493" s="45"/>
      <c r="BP493" s="46"/>
      <c r="BQ493" s="48"/>
      <c r="BR493" s="52">
        <v>0</v>
      </c>
      <c r="BS493" s="52">
        <v>0</v>
      </c>
    </row>
    <row r="494" spans="2:71" x14ac:dyDescent="0.2">
      <c r="B494" s="56" t="s">
        <v>64</v>
      </c>
      <c r="C494" s="45"/>
      <c r="D494" s="45">
        <v>0</v>
      </c>
      <c r="E494" s="52">
        <v>0</v>
      </c>
      <c r="F494" s="52">
        <v>0</v>
      </c>
      <c r="G494" s="48"/>
      <c r="H494" s="45">
        <v>0</v>
      </c>
      <c r="I494" s="45">
        <v>0</v>
      </c>
      <c r="J494" s="45">
        <v>0</v>
      </c>
      <c r="K494" s="45"/>
      <c r="L494" s="45"/>
      <c r="M494" s="52">
        <v>0</v>
      </c>
      <c r="N494" s="52">
        <v>0</v>
      </c>
      <c r="O494" s="45">
        <v>0</v>
      </c>
      <c r="P494" s="45"/>
      <c r="Q494" s="52"/>
      <c r="R494" s="52">
        <v>0</v>
      </c>
      <c r="S494" s="61">
        <v>0</v>
      </c>
      <c r="T494" s="49"/>
      <c r="U494" s="49"/>
      <c r="V494" s="45"/>
      <c r="W494" s="45"/>
      <c r="X494" s="45"/>
      <c r="Y494" s="45">
        <v>0</v>
      </c>
      <c r="Z494" s="45">
        <v>0</v>
      </c>
      <c r="AA494" s="45"/>
      <c r="AB494" s="45"/>
      <c r="AC494" s="45"/>
      <c r="AD494" s="52"/>
      <c r="AE494" s="52">
        <v>0</v>
      </c>
      <c r="AF494" s="48">
        <v>0</v>
      </c>
      <c r="AG494" s="52">
        <v>0</v>
      </c>
      <c r="AH494" s="52">
        <v>0</v>
      </c>
      <c r="AI494" s="48"/>
      <c r="AJ494" s="48">
        <v>0</v>
      </c>
      <c r="AK494" s="52">
        <v>0</v>
      </c>
      <c r="AL494" s="52">
        <v>0</v>
      </c>
      <c r="AM494" s="48">
        <v>0</v>
      </c>
      <c r="AN494" s="52">
        <v>0</v>
      </c>
      <c r="AO494" s="52">
        <v>0</v>
      </c>
      <c r="AP494" s="48">
        <v>0</v>
      </c>
      <c r="AQ494" s="88">
        <v>0</v>
      </c>
      <c r="AR494" s="52">
        <v>0</v>
      </c>
      <c r="AS494" s="52"/>
      <c r="AT494" s="52"/>
      <c r="AU494" s="48">
        <v>0</v>
      </c>
      <c r="AV494" s="48"/>
      <c r="AW494" s="52"/>
      <c r="AX494" s="52">
        <v>0</v>
      </c>
      <c r="AY494" s="48"/>
      <c r="AZ494" s="52">
        <v>0</v>
      </c>
      <c r="BA494" s="52">
        <v>0</v>
      </c>
      <c r="BB494" s="48"/>
      <c r="BC494" s="45">
        <v>0</v>
      </c>
      <c r="BD494" s="45">
        <v>0</v>
      </c>
      <c r="BE494" s="45">
        <v>0</v>
      </c>
      <c r="BF494" s="45">
        <v>0</v>
      </c>
      <c r="BG494" s="45"/>
      <c r="BH494" s="46"/>
      <c r="BI494" s="45">
        <v>0</v>
      </c>
      <c r="BJ494" s="45">
        <v>0</v>
      </c>
      <c r="BK494" s="45"/>
      <c r="BL494" s="45"/>
      <c r="BM494" s="45">
        <v>0</v>
      </c>
      <c r="BN494" s="45"/>
      <c r="BO494" s="45"/>
      <c r="BP494" s="46"/>
      <c r="BQ494" s="48"/>
      <c r="BR494" s="52">
        <v>0</v>
      </c>
      <c r="BS494" s="52">
        <v>0</v>
      </c>
    </row>
    <row r="495" spans="2:71" x14ac:dyDescent="0.2">
      <c r="B495" s="56" t="s">
        <v>64</v>
      </c>
      <c r="C495" s="45"/>
      <c r="D495" s="45">
        <v>0</v>
      </c>
      <c r="E495" s="52">
        <v>0</v>
      </c>
      <c r="F495" s="52">
        <v>0</v>
      </c>
      <c r="G495" s="48"/>
      <c r="H495" s="45">
        <v>0</v>
      </c>
      <c r="I495" s="45">
        <v>0</v>
      </c>
      <c r="J495" s="45">
        <v>0</v>
      </c>
      <c r="K495" s="45"/>
      <c r="L495" s="45"/>
      <c r="M495" s="52">
        <v>0</v>
      </c>
      <c r="N495" s="52">
        <v>0</v>
      </c>
      <c r="O495" s="45">
        <v>0</v>
      </c>
      <c r="P495" s="45"/>
      <c r="Q495" s="52"/>
      <c r="R495" s="52">
        <v>0</v>
      </c>
      <c r="S495" s="61">
        <v>0</v>
      </c>
      <c r="T495" s="49"/>
      <c r="U495" s="49"/>
      <c r="V495" s="45"/>
      <c r="W495" s="45"/>
      <c r="X495" s="45"/>
      <c r="Y495" s="45">
        <v>0</v>
      </c>
      <c r="Z495" s="45">
        <v>0</v>
      </c>
      <c r="AA495" s="45"/>
      <c r="AB495" s="45"/>
      <c r="AC495" s="45"/>
      <c r="AD495" s="52"/>
      <c r="AE495" s="52">
        <v>0</v>
      </c>
      <c r="AF495" s="48">
        <v>0</v>
      </c>
      <c r="AG495" s="52">
        <v>0</v>
      </c>
      <c r="AH495" s="52">
        <v>0</v>
      </c>
      <c r="AI495" s="48"/>
      <c r="AJ495" s="48">
        <v>0</v>
      </c>
      <c r="AK495" s="52">
        <v>0</v>
      </c>
      <c r="AL495" s="52">
        <v>0</v>
      </c>
      <c r="AM495" s="48">
        <v>0</v>
      </c>
      <c r="AN495" s="52">
        <v>0</v>
      </c>
      <c r="AO495" s="52">
        <v>0</v>
      </c>
      <c r="AP495" s="48">
        <v>0</v>
      </c>
      <c r="AQ495" s="88">
        <v>0</v>
      </c>
      <c r="AR495" s="52">
        <v>0</v>
      </c>
      <c r="AS495" s="52"/>
      <c r="AT495" s="52"/>
      <c r="AU495" s="48">
        <v>0</v>
      </c>
      <c r="AV495" s="48"/>
      <c r="AW495" s="52"/>
      <c r="AX495" s="52">
        <v>0</v>
      </c>
      <c r="AY495" s="48"/>
      <c r="AZ495" s="52">
        <v>0</v>
      </c>
      <c r="BA495" s="52">
        <v>0</v>
      </c>
      <c r="BB495" s="48"/>
      <c r="BC495" s="45">
        <v>0</v>
      </c>
      <c r="BD495" s="45">
        <v>0</v>
      </c>
      <c r="BE495" s="45">
        <v>0</v>
      </c>
      <c r="BF495" s="45">
        <v>0</v>
      </c>
      <c r="BG495" s="45"/>
      <c r="BH495" s="46"/>
      <c r="BI495" s="45">
        <v>0</v>
      </c>
      <c r="BJ495" s="45">
        <v>0</v>
      </c>
      <c r="BK495" s="45"/>
      <c r="BL495" s="45"/>
      <c r="BM495" s="45">
        <v>0</v>
      </c>
      <c r="BN495" s="45"/>
      <c r="BO495" s="45"/>
      <c r="BP495" s="46"/>
      <c r="BQ495" s="48"/>
      <c r="BR495" s="52">
        <v>0</v>
      </c>
      <c r="BS495" s="52">
        <v>0</v>
      </c>
    </row>
    <row r="496" spans="2:71" x14ac:dyDescent="0.2">
      <c r="B496" s="56" t="s">
        <v>64</v>
      </c>
      <c r="C496" s="45"/>
      <c r="D496" s="45">
        <v>0</v>
      </c>
      <c r="E496" s="52">
        <v>0</v>
      </c>
      <c r="F496" s="52">
        <v>0</v>
      </c>
      <c r="G496" s="48"/>
      <c r="H496" s="45">
        <v>0</v>
      </c>
      <c r="I496" s="45">
        <v>0</v>
      </c>
      <c r="J496" s="45">
        <v>0</v>
      </c>
      <c r="K496" s="45"/>
      <c r="L496" s="45"/>
      <c r="M496" s="52">
        <v>0</v>
      </c>
      <c r="N496" s="52">
        <v>0</v>
      </c>
      <c r="O496" s="45">
        <v>0</v>
      </c>
      <c r="P496" s="45"/>
      <c r="Q496" s="52"/>
      <c r="R496" s="52">
        <v>0</v>
      </c>
      <c r="S496" s="61">
        <v>0</v>
      </c>
      <c r="T496" s="49"/>
      <c r="U496" s="49"/>
      <c r="V496" s="45"/>
      <c r="W496" s="45"/>
      <c r="X496" s="45"/>
      <c r="Y496" s="45">
        <v>0</v>
      </c>
      <c r="Z496" s="45">
        <v>0</v>
      </c>
      <c r="AA496" s="45"/>
      <c r="AB496" s="45"/>
      <c r="AC496" s="45"/>
      <c r="AD496" s="52"/>
      <c r="AE496" s="52">
        <v>0</v>
      </c>
      <c r="AF496" s="48">
        <v>0</v>
      </c>
      <c r="AG496" s="52">
        <v>0</v>
      </c>
      <c r="AH496" s="52">
        <v>0</v>
      </c>
      <c r="AI496" s="48"/>
      <c r="AJ496" s="48">
        <v>0</v>
      </c>
      <c r="AK496" s="52">
        <v>0</v>
      </c>
      <c r="AL496" s="52">
        <v>0</v>
      </c>
      <c r="AM496" s="48">
        <v>0</v>
      </c>
      <c r="AN496" s="52">
        <v>0</v>
      </c>
      <c r="AO496" s="52">
        <v>0</v>
      </c>
      <c r="AP496" s="48">
        <v>0</v>
      </c>
      <c r="AQ496" s="88">
        <v>0</v>
      </c>
      <c r="AR496" s="52">
        <v>0</v>
      </c>
      <c r="AS496" s="52"/>
      <c r="AT496" s="52"/>
      <c r="AU496" s="48">
        <v>0</v>
      </c>
      <c r="AV496" s="48"/>
      <c r="AW496" s="52"/>
      <c r="AX496" s="52">
        <v>0</v>
      </c>
      <c r="AY496" s="48"/>
      <c r="AZ496" s="52">
        <v>0</v>
      </c>
      <c r="BA496" s="52">
        <v>0</v>
      </c>
      <c r="BB496" s="48"/>
      <c r="BC496" s="45">
        <v>0</v>
      </c>
      <c r="BD496" s="45">
        <v>0</v>
      </c>
      <c r="BE496" s="45">
        <v>0</v>
      </c>
      <c r="BF496" s="45">
        <v>0</v>
      </c>
      <c r="BG496" s="45"/>
      <c r="BH496" s="46"/>
      <c r="BI496" s="45">
        <v>0</v>
      </c>
      <c r="BJ496" s="45">
        <v>0</v>
      </c>
      <c r="BK496" s="45"/>
      <c r="BL496" s="45"/>
      <c r="BM496" s="45">
        <v>0</v>
      </c>
      <c r="BN496" s="45"/>
      <c r="BO496" s="45"/>
      <c r="BP496" s="46"/>
      <c r="BQ496" s="48"/>
      <c r="BR496" s="52">
        <v>0</v>
      </c>
      <c r="BS496" s="52">
        <v>0</v>
      </c>
    </row>
    <row r="497" spans="2:71" x14ac:dyDescent="0.2">
      <c r="B497" s="56" t="s">
        <v>64</v>
      </c>
      <c r="C497" s="45"/>
      <c r="D497" s="45">
        <v>0</v>
      </c>
      <c r="E497" s="52">
        <v>0</v>
      </c>
      <c r="F497" s="52">
        <v>0</v>
      </c>
      <c r="G497" s="48"/>
      <c r="H497" s="45">
        <v>0</v>
      </c>
      <c r="I497" s="45">
        <v>0</v>
      </c>
      <c r="J497" s="45">
        <v>0</v>
      </c>
      <c r="K497" s="45"/>
      <c r="L497" s="45"/>
      <c r="M497" s="52">
        <v>0</v>
      </c>
      <c r="N497" s="52">
        <v>0</v>
      </c>
      <c r="O497" s="45">
        <v>0</v>
      </c>
      <c r="P497" s="45"/>
      <c r="Q497" s="52"/>
      <c r="R497" s="52">
        <v>0</v>
      </c>
      <c r="S497" s="61">
        <v>0</v>
      </c>
      <c r="T497" s="49"/>
      <c r="U497" s="49"/>
      <c r="V497" s="45"/>
      <c r="W497" s="45"/>
      <c r="X497" s="45"/>
      <c r="Y497" s="45">
        <v>0</v>
      </c>
      <c r="Z497" s="45">
        <v>0</v>
      </c>
      <c r="AA497" s="45"/>
      <c r="AB497" s="45"/>
      <c r="AC497" s="45"/>
      <c r="AD497" s="52"/>
      <c r="AE497" s="52">
        <v>0</v>
      </c>
      <c r="AF497" s="48">
        <v>0</v>
      </c>
      <c r="AG497" s="52">
        <v>0</v>
      </c>
      <c r="AH497" s="52">
        <v>0</v>
      </c>
      <c r="AI497" s="48"/>
      <c r="AJ497" s="48">
        <v>0</v>
      </c>
      <c r="AK497" s="52">
        <v>0</v>
      </c>
      <c r="AL497" s="52">
        <v>0</v>
      </c>
      <c r="AM497" s="48">
        <v>0</v>
      </c>
      <c r="AN497" s="52">
        <v>0</v>
      </c>
      <c r="AO497" s="52">
        <v>0</v>
      </c>
      <c r="AP497" s="48">
        <v>0</v>
      </c>
      <c r="AQ497" s="88">
        <v>0</v>
      </c>
      <c r="AR497" s="52">
        <v>0</v>
      </c>
      <c r="AS497" s="52"/>
      <c r="AT497" s="52"/>
      <c r="AU497" s="48">
        <v>0</v>
      </c>
      <c r="AV497" s="48"/>
      <c r="AW497" s="52"/>
      <c r="AX497" s="52">
        <v>0</v>
      </c>
      <c r="AY497" s="48"/>
      <c r="AZ497" s="52">
        <v>0</v>
      </c>
      <c r="BA497" s="52">
        <v>0</v>
      </c>
      <c r="BB497" s="48"/>
      <c r="BC497" s="45">
        <v>0</v>
      </c>
      <c r="BD497" s="45">
        <v>0</v>
      </c>
      <c r="BE497" s="45">
        <v>0</v>
      </c>
      <c r="BF497" s="45">
        <v>0</v>
      </c>
      <c r="BG497" s="45"/>
      <c r="BH497" s="46"/>
      <c r="BI497" s="45">
        <v>0</v>
      </c>
      <c r="BJ497" s="45">
        <v>0</v>
      </c>
      <c r="BK497" s="45"/>
      <c r="BL497" s="45"/>
      <c r="BM497" s="45">
        <v>0</v>
      </c>
      <c r="BN497" s="45"/>
      <c r="BO497" s="45"/>
      <c r="BP497" s="46"/>
      <c r="BQ497" s="48"/>
      <c r="BR497" s="52">
        <v>0</v>
      </c>
      <c r="BS497" s="52">
        <v>0</v>
      </c>
    </row>
    <row r="498" spans="2:71" x14ac:dyDescent="0.2">
      <c r="B498" s="56" t="s">
        <v>64</v>
      </c>
      <c r="C498" s="45"/>
      <c r="D498" s="45">
        <v>0</v>
      </c>
      <c r="E498" s="52">
        <v>0</v>
      </c>
      <c r="F498" s="52">
        <v>0</v>
      </c>
      <c r="G498" s="48"/>
      <c r="H498" s="45">
        <v>0</v>
      </c>
      <c r="I498" s="45">
        <v>0</v>
      </c>
      <c r="J498" s="45">
        <v>0</v>
      </c>
      <c r="K498" s="45"/>
      <c r="L498" s="45"/>
      <c r="M498" s="52">
        <v>0</v>
      </c>
      <c r="N498" s="52">
        <v>0</v>
      </c>
      <c r="O498" s="45">
        <v>0</v>
      </c>
      <c r="P498" s="45"/>
      <c r="Q498" s="52"/>
      <c r="R498" s="52">
        <v>0</v>
      </c>
      <c r="S498" s="61">
        <v>0</v>
      </c>
      <c r="T498" s="49"/>
      <c r="U498" s="49"/>
      <c r="V498" s="45"/>
      <c r="W498" s="45"/>
      <c r="X498" s="45"/>
      <c r="Y498" s="45">
        <v>0</v>
      </c>
      <c r="Z498" s="45">
        <v>0</v>
      </c>
      <c r="AA498" s="45"/>
      <c r="AB498" s="45"/>
      <c r="AC498" s="45"/>
      <c r="AD498" s="52"/>
      <c r="AE498" s="52">
        <v>0</v>
      </c>
      <c r="AF498" s="48">
        <v>0</v>
      </c>
      <c r="AG498" s="52">
        <v>0</v>
      </c>
      <c r="AH498" s="52">
        <v>0</v>
      </c>
      <c r="AI498" s="48"/>
      <c r="AJ498" s="48">
        <v>0</v>
      </c>
      <c r="AK498" s="52">
        <v>0</v>
      </c>
      <c r="AL498" s="52">
        <v>0</v>
      </c>
      <c r="AM498" s="48">
        <v>0</v>
      </c>
      <c r="AN498" s="52">
        <v>0</v>
      </c>
      <c r="AO498" s="52">
        <v>0</v>
      </c>
      <c r="AP498" s="48">
        <v>0</v>
      </c>
      <c r="AQ498" s="88">
        <v>0</v>
      </c>
      <c r="AR498" s="52">
        <v>0</v>
      </c>
      <c r="AS498" s="52"/>
      <c r="AT498" s="52"/>
      <c r="AU498" s="48">
        <v>0</v>
      </c>
      <c r="AV498" s="48"/>
      <c r="AW498" s="52"/>
      <c r="AX498" s="52">
        <v>0</v>
      </c>
      <c r="AY498" s="48"/>
      <c r="AZ498" s="52">
        <v>0</v>
      </c>
      <c r="BA498" s="52">
        <v>0</v>
      </c>
      <c r="BB498" s="48"/>
      <c r="BC498" s="45">
        <v>0</v>
      </c>
      <c r="BD498" s="45">
        <v>0</v>
      </c>
      <c r="BE498" s="45">
        <v>0</v>
      </c>
      <c r="BF498" s="45">
        <v>0</v>
      </c>
      <c r="BG498" s="45"/>
      <c r="BH498" s="46"/>
      <c r="BI498" s="45">
        <v>0</v>
      </c>
      <c r="BJ498" s="45">
        <v>0</v>
      </c>
      <c r="BK498" s="45"/>
      <c r="BL498" s="45"/>
      <c r="BM498" s="45">
        <v>0</v>
      </c>
      <c r="BN498" s="45"/>
      <c r="BO498" s="45"/>
      <c r="BP498" s="46"/>
      <c r="BQ498" s="48"/>
      <c r="BR498" s="52">
        <v>0</v>
      </c>
      <c r="BS498" s="52">
        <v>0</v>
      </c>
    </row>
    <row r="499" spans="2:71" x14ac:dyDescent="0.2">
      <c r="B499" s="56" t="s">
        <v>64</v>
      </c>
      <c r="C499" s="45"/>
      <c r="D499" s="45">
        <v>0</v>
      </c>
      <c r="E499" s="52">
        <v>0</v>
      </c>
      <c r="F499" s="52">
        <v>0</v>
      </c>
      <c r="G499" s="48"/>
      <c r="H499" s="45">
        <v>0</v>
      </c>
      <c r="I499" s="45">
        <v>0</v>
      </c>
      <c r="J499" s="45">
        <v>0</v>
      </c>
      <c r="K499" s="45"/>
      <c r="L499" s="45"/>
      <c r="M499" s="52">
        <v>0</v>
      </c>
      <c r="N499" s="52">
        <v>0</v>
      </c>
      <c r="O499" s="45">
        <v>0</v>
      </c>
      <c r="P499" s="45"/>
      <c r="Q499" s="52"/>
      <c r="R499" s="52">
        <v>0</v>
      </c>
      <c r="S499" s="61">
        <v>0</v>
      </c>
      <c r="T499" s="49"/>
      <c r="U499" s="49"/>
      <c r="V499" s="45"/>
      <c r="W499" s="45"/>
      <c r="X499" s="45"/>
      <c r="Y499" s="45">
        <v>0</v>
      </c>
      <c r="Z499" s="45">
        <v>0</v>
      </c>
      <c r="AA499" s="45"/>
      <c r="AB499" s="45"/>
      <c r="AC499" s="45"/>
      <c r="AD499" s="52"/>
      <c r="AE499" s="52">
        <v>0</v>
      </c>
      <c r="AF499" s="48">
        <v>0</v>
      </c>
      <c r="AG499" s="52">
        <v>0</v>
      </c>
      <c r="AH499" s="52">
        <v>0</v>
      </c>
      <c r="AI499" s="48"/>
      <c r="AJ499" s="48">
        <v>0</v>
      </c>
      <c r="AK499" s="52">
        <v>0</v>
      </c>
      <c r="AL499" s="52">
        <v>0</v>
      </c>
      <c r="AM499" s="48">
        <v>0</v>
      </c>
      <c r="AN499" s="52">
        <v>0</v>
      </c>
      <c r="AO499" s="52">
        <v>0</v>
      </c>
      <c r="AP499" s="48">
        <v>0</v>
      </c>
      <c r="AQ499" s="88">
        <v>0</v>
      </c>
      <c r="AR499" s="52">
        <v>0</v>
      </c>
      <c r="AS499" s="52"/>
      <c r="AT499" s="52"/>
      <c r="AU499" s="48">
        <v>0</v>
      </c>
      <c r="AV499" s="48"/>
      <c r="AW499" s="52"/>
      <c r="AX499" s="52">
        <v>0</v>
      </c>
      <c r="AY499" s="48"/>
      <c r="AZ499" s="52">
        <v>0</v>
      </c>
      <c r="BA499" s="52">
        <v>0</v>
      </c>
      <c r="BB499" s="48"/>
      <c r="BC499" s="45">
        <v>0</v>
      </c>
      <c r="BD499" s="45">
        <v>0</v>
      </c>
      <c r="BE499" s="45">
        <v>0</v>
      </c>
      <c r="BF499" s="45">
        <v>0</v>
      </c>
      <c r="BG499" s="45"/>
      <c r="BH499" s="46"/>
      <c r="BI499" s="45">
        <v>0</v>
      </c>
      <c r="BJ499" s="45">
        <v>0</v>
      </c>
      <c r="BK499" s="45"/>
      <c r="BL499" s="45"/>
      <c r="BM499" s="45">
        <v>0</v>
      </c>
      <c r="BN499" s="45"/>
      <c r="BO499" s="45"/>
      <c r="BP499" s="46"/>
      <c r="BQ499" s="48"/>
      <c r="BR499" s="52">
        <v>0</v>
      </c>
      <c r="BS499" s="52">
        <v>0</v>
      </c>
    </row>
    <row r="500" spans="2:71" x14ac:dyDescent="0.2">
      <c r="B500" s="56" t="s">
        <v>64</v>
      </c>
      <c r="C500" s="45"/>
      <c r="D500" s="45">
        <v>0</v>
      </c>
      <c r="E500" s="52">
        <v>0</v>
      </c>
      <c r="F500" s="52">
        <v>0</v>
      </c>
      <c r="G500" s="48"/>
      <c r="H500" s="45">
        <v>0</v>
      </c>
      <c r="I500" s="45">
        <v>0</v>
      </c>
      <c r="J500" s="45">
        <v>0</v>
      </c>
      <c r="K500" s="45"/>
      <c r="L500" s="45"/>
      <c r="M500" s="52">
        <v>0</v>
      </c>
      <c r="N500" s="52">
        <v>0</v>
      </c>
      <c r="O500" s="45">
        <v>0</v>
      </c>
      <c r="P500" s="45"/>
      <c r="Q500" s="52"/>
      <c r="R500" s="52">
        <v>0</v>
      </c>
      <c r="S500" s="61">
        <v>0</v>
      </c>
      <c r="T500" s="49"/>
      <c r="U500" s="49"/>
      <c r="V500" s="45"/>
      <c r="W500" s="45"/>
      <c r="X500" s="45"/>
      <c r="Y500" s="45">
        <v>0</v>
      </c>
      <c r="Z500" s="45">
        <v>0</v>
      </c>
      <c r="AA500" s="45"/>
      <c r="AB500" s="45"/>
      <c r="AC500" s="45"/>
      <c r="AD500" s="52"/>
      <c r="AE500" s="52">
        <v>0</v>
      </c>
      <c r="AF500" s="48">
        <v>0</v>
      </c>
      <c r="AG500" s="52">
        <v>0</v>
      </c>
      <c r="AH500" s="52">
        <v>0</v>
      </c>
      <c r="AI500" s="48"/>
      <c r="AJ500" s="48">
        <v>0</v>
      </c>
      <c r="AK500" s="52">
        <v>0</v>
      </c>
      <c r="AL500" s="52">
        <v>0</v>
      </c>
      <c r="AM500" s="48">
        <v>0</v>
      </c>
      <c r="AN500" s="52">
        <v>0</v>
      </c>
      <c r="AO500" s="52">
        <v>0</v>
      </c>
      <c r="AP500" s="48">
        <v>0</v>
      </c>
      <c r="AQ500" s="88">
        <v>0</v>
      </c>
      <c r="AR500" s="52">
        <v>0</v>
      </c>
      <c r="AS500" s="52"/>
      <c r="AT500" s="52"/>
      <c r="AU500" s="48">
        <v>0</v>
      </c>
      <c r="AV500" s="48"/>
      <c r="AW500" s="52"/>
      <c r="AX500" s="52">
        <v>0</v>
      </c>
      <c r="AY500" s="48"/>
      <c r="AZ500" s="52">
        <v>0</v>
      </c>
      <c r="BA500" s="52">
        <v>0</v>
      </c>
      <c r="BB500" s="48"/>
      <c r="BC500" s="45">
        <v>0</v>
      </c>
      <c r="BD500" s="45">
        <v>0</v>
      </c>
      <c r="BE500" s="45">
        <v>0</v>
      </c>
      <c r="BF500" s="45">
        <v>0</v>
      </c>
      <c r="BG500" s="45"/>
      <c r="BH500" s="46"/>
      <c r="BI500" s="45">
        <v>0</v>
      </c>
      <c r="BJ500" s="45">
        <v>0</v>
      </c>
      <c r="BK500" s="45"/>
      <c r="BL500" s="45"/>
      <c r="BM500" s="45">
        <v>0</v>
      </c>
      <c r="BN500" s="45"/>
      <c r="BO500" s="45"/>
      <c r="BP500" s="46"/>
      <c r="BQ500" s="48"/>
      <c r="BR500" s="52">
        <v>0</v>
      </c>
      <c r="BS500" s="52">
        <v>0</v>
      </c>
    </row>
    <row r="501" spans="2:71" x14ac:dyDescent="0.2">
      <c r="B501" s="56" t="s">
        <v>64</v>
      </c>
      <c r="C501" s="45"/>
      <c r="D501" s="45">
        <v>0</v>
      </c>
      <c r="E501" s="52">
        <v>0</v>
      </c>
      <c r="F501" s="52">
        <v>0</v>
      </c>
      <c r="G501" s="48"/>
      <c r="H501" s="45">
        <v>0</v>
      </c>
      <c r="I501" s="45">
        <v>0</v>
      </c>
      <c r="J501" s="45">
        <v>0</v>
      </c>
      <c r="K501" s="45"/>
      <c r="L501" s="45"/>
      <c r="M501" s="52">
        <v>0</v>
      </c>
      <c r="N501" s="52">
        <v>0</v>
      </c>
      <c r="O501" s="45">
        <v>0</v>
      </c>
      <c r="P501" s="45"/>
      <c r="Q501" s="52"/>
      <c r="R501" s="52">
        <v>0</v>
      </c>
      <c r="S501" s="61">
        <v>0</v>
      </c>
      <c r="T501" s="49"/>
      <c r="U501" s="49"/>
      <c r="V501" s="45"/>
      <c r="W501" s="45"/>
      <c r="X501" s="45"/>
      <c r="Y501" s="45">
        <v>0</v>
      </c>
      <c r="Z501" s="45">
        <v>0</v>
      </c>
      <c r="AA501" s="45"/>
      <c r="AB501" s="45"/>
      <c r="AC501" s="45"/>
      <c r="AD501" s="52"/>
      <c r="AE501" s="52">
        <v>0</v>
      </c>
      <c r="AF501" s="48">
        <v>0</v>
      </c>
      <c r="AG501" s="52">
        <v>0</v>
      </c>
      <c r="AH501" s="52">
        <v>0</v>
      </c>
      <c r="AI501" s="48"/>
      <c r="AJ501" s="48">
        <v>0</v>
      </c>
      <c r="AK501" s="52">
        <v>0</v>
      </c>
      <c r="AL501" s="52">
        <v>0</v>
      </c>
      <c r="AM501" s="48">
        <v>0</v>
      </c>
      <c r="AN501" s="52">
        <v>0</v>
      </c>
      <c r="AO501" s="52">
        <v>0</v>
      </c>
      <c r="AP501" s="48">
        <v>0</v>
      </c>
      <c r="AQ501" s="88">
        <v>0</v>
      </c>
      <c r="AR501" s="52">
        <v>0</v>
      </c>
      <c r="AS501" s="52"/>
      <c r="AT501" s="52"/>
      <c r="AU501" s="48">
        <v>0</v>
      </c>
      <c r="AV501" s="48"/>
      <c r="AW501" s="52"/>
      <c r="AX501" s="52">
        <v>0</v>
      </c>
      <c r="AY501" s="48"/>
      <c r="AZ501" s="52">
        <v>0</v>
      </c>
      <c r="BA501" s="52">
        <v>0</v>
      </c>
      <c r="BB501" s="48"/>
      <c r="BC501" s="45">
        <v>0</v>
      </c>
      <c r="BD501" s="45">
        <v>0</v>
      </c>
      <c r="BE501" s="45">
        <v>0</v>
      </c>
      <c r="BF501" s="45">
        <v>0</v>
      </c>
      <c r="BG501" s="45"/>
      <c r="BH501" s="46"/>
      <c r="BI501" s="45">
        <v>0</v>
      </c>
      <c r="BJ501" s="45">
        <v>0</v>
      </c>
      <c r="BK501" s="45"/>
      <c r="BL501" s="45"/>
      <c r="BM501" s="45">
        <v>0</v>
      </c>
      <c r="BN501" s="45"/>
      <c r="BO501" s="45"/>
      <c r="BP501" s="46"/>
      <c r="BQ501" s="48"/>
      <c r="BR501" s="52">
        <v>0</v>
      </c>
      <c r="BS501" s="52">
        <v>0</v>
      </c>
    </row>
    <row r="502" spans="2:71" x14ac:dyDescent="0.2">
      <c r="B502" s="56" t="s">
        <v>64</v>
      </c>
      <c r="C502" s="45"/>
      <c r="D502" s="45">
        <v>0</v>
      </c>
      <c r="E502" s="52">
        <v>0</v>
      </c>
      <c r="F502" s="52">
        <v>0</v>
      </c>
      <c r="G502" s="48"/>
      <c r="H502" s="45">
        <v>0</v>
      </c>
      <c r="I502" s="45">
        <v>0</v>
      </c>
      <c r="J502" s="45">
        <v>0</v>
      </c>
      <c r="K502" s="45"/>
      <c r="L502" s="45"/>
      <c r="M502" s="52">
        <v>0</v>
      </c>
      <c r="N502" s="52">
        <v>0</v>
      </c>
      <c r="O502" s="45">
        <v>0</v>
      </c>
      <c r="P502" s="45"/>
      <c r="Q502" s="52"/>
      <c r="R502" s="52">
        <v>0</v>
      </c>
      <c r="S502" s="61">
        <v>0</v>
      </c>
      <c r="T502" s="49"/>
      <c r="U502" s="49"/>
      <c r="V502" s="45"/>
      <c r="W502" s="45"/>
      <c r="X502" s="45"/>
      <c r="Y502" s="45">
        <v>0</v>
      </c>
      <c r="Z502" s="45">
        <v>0</v>
      </c>
      <c r="AA502" s="45"/>
      <c r="AB502" s="45"/>
      <c r="AC502" s="45"/>
      <c r="AD502" s="52"/>
      <c r="AE502" s="52">
        <v>0</v>
      </c>
      <c r="AF502" s="48">
        <v>0</v>
      </c>
      <c r="AG502" s="52">
        <v>0</v>
      </c>
      <c r="AH502" s="52">
        <v>0</v>
      </c>
      <c r="AI502" s="48"/>
      <c r="AJ502" s="48">
        <v>0</v>
      </c>
      <c r="AK502" s="52">
        <v>0</v>
      </c>
      <c r="AL502" s="52">
        <v>0</v>
      </c>
      <c r="AM502" s="48">
        <v>0</v>
      </c>
      <c r="AN502" s="52">
        <v>0</v>
      </c>
      <c r="AO502" s="52">
        <v>0</v>
      </c>
      <c r="AP502" s="48">
        <v>0</v>
      </c>
      <c r="AQ502" s="88">
        <v>0</v>
      </c>
      <c r="AR502" s="52">
        <v>0</v>
      </c>
      <c r="AS502" s="52"/>
      <c r="AT502" s="52"/>
      <c r="AU502" s="48">
        <v>0</v>
      </c>
      <c r="AV502" s="48"/>
      <c r="AW502" s="52"/>
      <c r="AX502" s="52">
        <v>0</v>
      </c>
      <c r="AY502" s="48"/>
      <c r="AZ502" s="52">
        <v>0</v>
      </c>
      <c r="BA502" s="52">
        <v>0</v>
      </c>
      <c r="BB502" s="48"/>
      <c r="BC502" s="45">
        <v>0</v>
      </c>
      <c r="BD502" s="45">
        <v>0</v>
      </c>
      <c r="BE502" s="45">
        <v>0</v>
      </c>
      <c r="BF502" s="45">
        <v>0</v>
      </c>
      <c r="BG502" s="45"/>
      <c r="BH502" s="46"/>
      <c r="BI502" s="45">
        <v>0</v>
      </c>
      <c r="BJ502" s="45">
        <v>0</v>
      </c>
      <c r="BK502" s="45"/>
      <c r="BL502" s="45"/>
      <c r="BM502" s="45">
        <v>0</v>
      </c>
      <c r="BN502" s="45"/>
      <c r="BO502" s="45"/>
      <c r="BP502" s="46"/>
      <c r="BQ502" s="48"/>
      <c r="BR502" s="52">
        <v>0</v>
      </c>
      <c r="BS502" s="52">
        <v>0</v>
      </c>
    </row>
    <row r="503" spans="2:71" x14ac:dyDescent="0.2">
      <c r="B503" s="56" t="s">
        <v>64</v>
      </c>
      <c r="C503" s="45"/>
      <c r="D503" s="45">
        <v>0</v>
      </c>
      <c r="E503" s="52">
        <v>0</v>
      </c>
      <c r="F503" s="52">
        <v>0</v>
      </c>
      <c r="G503" s="48"/>
      <c r="H503" s="45">
        <v>0</v>
      </c>
      <c r="I503" s="45">
        <v>0</v>
      </c>
      <c r="J503" s="45">
        <v>0</v>
      </c>
      <c r="K503" s="45"/>
      <c r="L503" s="45"/>
      <c r="M503" s="52">
        <v>0</v>
      </c>
      <c r="N503" s="52">
        <v>0</v>
      </c>
      <c r="O503" s="45">
        <v>0</v>
      </c>
      <c r="P503" s="45"/>
      <c r="Q503" s="52"/>
      <c r="R503" s="52">
        <v>0</v>
      </c>
      <c r="S503" s="61">
        <v>0</v>
      </c>
      <c r="T503" s="49"/>
      <c r="U503" s="49"/>
      <c r="V503" s="45"/>
      <c r="W503" s="45"/>
      <c r="X503" s="45"/>
      <c r="Y503" s="45">
        <v>0</v>
      </c>
      <c r="Z503" s="45">
        <v>0</v>
      </c>
      <c r="AA503" s="45"/>
      <c r="AB503" s="45"/>
      <c r="AC503" s="45"/>
      <c r="AD503" s="52"/>
      <c r="AE503" s="52">
        <v>0</v>
      </c>
      <c r="AF503" s="48">
        <v>0</v>
      </c>
      <c r="AG503" s="52">
        <v>0</v>
      </c>
      <c r="AH503" s="52">
        <v>0</v>
      </c>
      <c r="AI503" s="48"/>
      <c r="AJ503" s="48">
        <v>0</v>
      </c>
      <c r="AK503" s="52">
        <v>0</v>
      </c>
      <c r="AL503" s="52">
        <v>0</v>
      </c>
      <c r="AM503" s="48">
        <v>0</v>
      </c>
      <c r="AN503" s="52">
        <v>0</v>
      </c>
      <c r="AO503" s="52">
        <v>0</v>
      </c>
      <c r="AP503" s="48">
        <v>0</v>
      </c>
      <c r="AQ503" s="88">
        <v>0</v>
      </c>
      <c r="AR503" s="52">
        <v>0</v>
      </c>
      <c r="AS503" s="52"/>
      <c r="AT503" s="52"/>
      <c r="AU503" s="48">
        <v>0</v>
      </c>
      <c r="AV503" s="48"/>
      <c r="AW503" s="52"/>
      <c r="AX503" s="52">
        <v>0</v>
      </c>
      <c r="AY503" s="48"/>
      <c r="AZ503" s="52">
        <v>0</v>
      </c>
      <c r="BA503" s="52">
        <v>0</v>
      </c>
      <c r="BB503" s="48"/>
      <c r="BC503" s="45">
        <v>0</v>
      </c>
      <c r="BD503" s="45">
        <v>0</v>
      </c>
      <c r="BE503" s="45">
        <v>0</v>
      </c>
      <c r="BF503" s="45">
        <v>0</v>
      </c>
      <c r="BG503" s="45"/>
      <c r="BH503" s="46"/>
      <c r="BI503" s="45">
        <v>0</v>
      </c>
      <c r="BJ503" s="45">
        <v>0</v>
      </c>
      <c r="BK503" s="45"/>
      <c r="BL503" s="45"/>
      <c r="BM503" s="45">
        <v>0</v>
      </c>
      <c r="BN503" s="45"/>
      <c r="BO503" s="45"/>
      <c r="BP503" s="46"/>
      <c r="BQ503" s="48"/>
      <c r="BR503" s="52">
        <v>0</v>
      </c>
      <c r="BS503" s="52">
        <v>0</v>
      </c>
    </row>
    <row r="504" spans="2:71" x14ac:dyDescent="0.2">
      <c r="B504" s="56" t="s">
        <v>64</v>
      </c>
      <c r="C504" s="45"/>
      <c r="D504" s="45">
        <v>0</v>
      </c>
      <c r="E504" s="52">
        <v>0</v>
      </c>
      <c r="F504" s="52">
        <v>0</v>
      </c>
      <c r="G504" s="48"/>
      <c r="H504" s="45">
        <v>0</v>
      </c>
      <c r="I504" s="45">
        <v>0</v>
      </c>
      <c r="J504" s="45">
        <v>0</v>
      </c>
      <c r="K504" s="45"/>
      <c r="L504" s="45"/>
      <c r="M504" s="52">
        <v>0</v>
      </c>
      <c r="N504" s="52">
        <v>0</v>
      </c>
      <c r="O504" s="45">
        <v>0</v>
      </c>
      <c r="P504" s="45"/>
      <c r="Q504" s="52"/>
      <c r="R504" s="52">
        <v>0</v>
      </c>
      <c r="S504" s="61">
        <v>0</v>
      </c>
      <c r="T504" s="49"/>
      <c r="U504" s="49"/>
      <c r="V504" s="45"/>
      <c r="W504" s="45"/>
      <c r="X504" s="45"/>
      <c r="Y504" s="45">
        <v>0</v>
      </c>
      <c r="Z504" s="45">
        <v>0</v>
      </c>
      <c r="AA504" s="45"/>
      <c r="AB504" s="45"/>
      <c r="AC504" s="45"/>
      <c r="AD504" s="52"/>
      <c r="AE504" s="52">
        <v>0</v>
      </c>
      <c r="AF504" s="48">
        <v>0</v>
      </c>
      <c r="AG504" s="52">
        <v>0</v>
      </c>
      <c r="AH504" s="52">
        <v>0</v>
      </c>
      <c r="AI504" s="48"/>
      <c r="AJ504" s="48">
        <v>0</v>
      </c>
      <c r="AK504" s="52">
        <v>0</v>
      </c>
      <c r="AL504" s="52">
        <v>0</v>
      </c>
      <c r="AM504" s="48">
        <v>0</v>
      </c>
      <c r="AN504" s="52">
        <v>0</v>
      </c>
      <c r="AO504" s="52">
        <v>0</v>
      </c>
      <c r="AP504" s="48">
        <v>0</v>
      </c>
      <c r="AQ504" s="88">
        <v>0</v>
      </c>
      <c r="AR504" s="52">
        <v>0</v>
      </c>
      <c r="AS504" s="52"/>
      <c r="AT504" s="52"/>
      <c r="AU504" s="48">
        <v>0</v>
      </c>
      <c r="AV504" s="48"/>
      <c r="AW504" s="52"/>
      <c r="AX504" s="52">
        <v>0</v>
      </c>
      <c r="AY504" s="48"/>
      <c r="AZ504" s="52">
        <v>0</v>
      </c>
      <c r="BA504" s="52">
        <v>0</v>
      </c>
      <c r="BB504" s="48"/>
      <c r="BC504" s="45">
        <v>0</v>
      </c>
      <c r="BD504" s="45">
        <v>0</v>
      </c>
      <c r="BE504" s="45">
        <v>0</v>
      </c>
      <c r="BF504" s="45">
        <v>0</v>
      </c>
      <c r="BG504" s="45"/>
      <c r="BH504" s="46"/>
      <c r="BI504" s="45">
        <v>0</v>
      </c>
      <c r="BJ504" s="45">
        <v>0</v>
      </c>
      <c r="BK504" s="45"/>
      <c r="BL504" s="45"/>
      <c r="BM504" s="45">
        <v>0</v>
      </c>
      <c r="BN504" s="45"/>
      <c r="BO504" s="45"/>
      <c r="BP504" s="46"/>
      <c r="BQ504" s="48"/>
      <c r="BR504" s="52">
        <v>0</v>
      </c>
      <c r="BS504" s="52">
        <v>0</v>
      </c>
    </row>
    <row r="505" spans="2:71" x14ac:dyDescent="0.2">
      <c r="B505" s="56" t="s">
        <v>64</v>
      </c>
      <c r="C505" s="45"/>
      <c r="D505" s="45">
        <v>0</v>
      </c>
      <c r="E505" s="52">
        <v>0</v>
      </c>
      <c r="F505" s="52">
        <v>0</v>
      </c>
      <c r="G505" s="48"/>
      <c r="H505" s="45">
        <v>0</v>
      </c>
      <c r="I505" s="45">
        <v>0</v>
      </c>
      <c r="J505" s="45">
        <v>0</v>
      </c>
      <c r="K505" s="45"/>
      <c r="L505" s="45"/>
      <c r="M505" s="52">
        <v>0</v>
      </c>
      <c r="N505" s="52">
        <v>0</v>
      </c>
      <c r="O505" s="45">
        <v>0</v>
      </c>
      <c r="P505" s="45"/>
      <c r="Q505" s="52"/>
      <c r="R505" s="52">
        <v>0</v>
      </c>
      <c r="S505" s="61">
        <v>0</v>
      </c>
      <c r="T505" s="49"/>
      <c r="U505" s="49"/>
      <c r="V505" s="45"/>
      <c r="W505" s="45"/>
      <c r="X505" s="45"/>
      <c r="Y505" s="45">
        <v>0</v>
      </c>
      <c r="Z505" s="45">
        <v>0</v>
      </c>
      <c r="AA505" s="45"/>
      <c r="AB505" s="45"/>
      <c r="AC505" s="45"/>
      <c r="AD505" s="52"/>
      <c r="AE505" s="52">
        <v>0</v>
      </c>
      <c r="AF505" s="48">
        <v>0</v>
      </c>
      <c r="AG505" s="52">
        <v>0</v>
      </c>
      <c r="AH505" s="52">
        <v>0</v>
      </c>
      <c r="AI505" s="48"/>
      <c r="AJ505" s="48">
        <v>0</v>
      </c>
      <c r="AK505" s="52">
        <v>0</v>
      </c>
      <c r="AL505" s="52">
        <v>0</v>
      </c>
      <c r="AM505" s="48">
        <v>0</v>
      </c>
      <c r="AN505" s="52">
        <v>0</v>
      </c>
      <c r="AO505" s="52">
        <v>0</v>
      </c>
      <c r="AP505" s="48">
        <v>0</v>
      </c>
      <c r="AQ505" s="88">
        <v>0</v>
      </c>
      <c r="AR505" s="52">
        <v>0</v>
      </c>
      <c r="AS505" s="52"/>
      <c r="AT505" s="52"/>
      <c r="AU505" s="48">
        <v>0</v>
      </c>
      <c r="AV505" s="48"/>
      <c r="AW505" s="52"/>
      <c r="AX505" s="52">
        <v>0</v>
      </c>
      <c r="AY505" s="48"/>
      <c r="AZ505" s="52">
        <v>0</v>
      </c>
      <c r="BA505" s="52">
        <v>0</v>
      </c>
      <c r="BB505" s="48"/>
      <c r="BC505" s="45">
        <v>0</v>
      </c>
      <c r="BD505" s="45">
        <v>0</v>
      </c>
      <c r="BE505" s="45">
        <v>0</v>
      </c>
      <c r="BF505" s="45">
        <v>0</v>
      </c>
      <c r="BG505" s="45"/>
      <c r="BH505" s="46"/>
      <c r="BI505" s="45">
        <v>0</v>
      </c>
      <c r="BJ505" s="45">
        <v>0</v>
      </c>
      <c r="BK505" s="45"/>
      <c r="BL505" s="45"/>
      <c r="BM505" s="45">
        <v>0</v>
      </c>
      <c r="BN505" s="45"/>
      <c r="BO505" s="45"/>
      <c r="BP505" s="46"/>
      <c r="BQ505" s="48"/>
      <c r="BR505" s="52">
        <v>0</v>
      </c>
      <c r="BS505" s="52">
        <v>0</v>
      </c>
    </row>
    <row r="506" spans="2:71" x14ac:dyDescent="0.2">
      <c r="B506" s="56" t="s">
        <v>64</v>
      </c>
      <c r="C506" s="45"/>
      <c r="D506" s="45">
        <v>0</v>
      </c>
      <c r="E506" s="52">
        <v>0</v>
      </c>
      <c r="F506" s="52">
        <v>0</v>
      </c>
      <c r="G506" s="48"/>
      <c r="H506" s="45">
        <v>0</v>
      </c>
      <c r="I506" s="45">
        <v>0</v>
      </c>
      <c r="J506" s="45">
        <v>0</v>
      </c>
      <c r="K506" s="45"/>
      <c r="L506" s="45"/>
      <c r="M506" s="52">
        <v>0</v>
      </c>
      <c r="N506" s="52">
        <v>0</v>
      </c>
      <c r="O506" s="45">
        <v>0</v>
      </c>
      <c r="P506" s="45"/>
      <c r="Q506" s="52"/>
      <c r="R506" s="52">
        <v>0</v>
      </c>
      <c r="S506" s="61">
        <v>0</v>
      </c>
      <c r="T506" s="49"/>
      <c r="U506" s="49"/>
      <c r="V506" s="45"/>
      <c r="W506" s="45"/>
      <c r="X506" s="45"/>
      <c r="Y506" s="45">
        <v>0</v>
      </c>
      <c r="Z506" s="45">
        <v>0</v>
      </c>
      <c r="AA506" s="45"/>
      <c r="AB506" s="45"/>
      <c r="AC506" s="45"/>
      <c r="AD506" s="52"/>
      <c r="AE506" s="52">
        <v>0</v>
      </c>
      <c r="AF506" s="48">
        <v>0</v>
      </c>
      <c r="AG506" s="52">
        <v>0</v>
      </c>
      <c r="AH506" s="52">
        <v>0</v>
      </c>
      <c r="AI506" s="48"/>
      <c r="AJ506" s="48">
        <v>0</v>
      </c>
      <c r="AK506" s="52">
        <v>0</v>
      </c>
      <c r="AL506" s="52">
        <v>0</v>
      </c>
      <c r="AM506" s="48">
        <v>0</v>
      </c>
      <c r="AN506" s="52">
        <v>0</v>
      </c>
      <c r="AO506" s="52">
        <v>0</v>
      </c>
      <c r="AP506" s="48">
        <v>0</v>
      </c>
      <c r="AQ506" s="88">
        <v>0</v>
      </c>
      <c r="AR506" s="52">
        <v>0</v>
      </c>
      <c r="AS506" s="52"/>
      <c r="AT506" s="52"/>
      <c r="AU506" s="48">
        <v>0</v>
      </c>
      <c r="AV506" s="48"/>
      <c r="AW506" s="52"/>
      <c r="AX506" s="52">
        <v>0</v>
      </c>
      <c r="AY506" s="48"/>
      <c r="AZ506" s="52">
        <v>0</v>
      </c>
      <c r="BA506" s="52">
        <v>0</v>
      </c>
      <c r="BB506" s="48"/>
      <c r="BC506" s="45">
        <v>0</v>
      </c>
      <c r="BD506" s="45">
        <v>0</v>
      </c>
      <c r="BE506" s="45">
        <v>0</v>
      </c>
      <c r="BF506" s="45">
        <v>0</v>
      </c>
      <c r="BG506" s="45"/>
      <c r="BH506" s="46"/>
      <c r="BI506" s="45">
        <v>0</v>
      </c>
      <c r="BJ506" s="45">
        <v>0</v>
      </c>
      <c r="BK506" s="45"/>
      <c r="BL506" s="45"/>
      <c r="BM506" s="45">
        <v>0</v>
      </c>
      <c r="BN506" s="45"/>
      <c r="BO506" s="45"/>
      <c r="BP506" s="46"/>
      <c r="BQ506" s="48"/>
      <c r="BR506" s="52">
        <v>0</v>
      </c>
      <c r="BS506" s="52">
        <v>0</v>
      </c>
    </row>
    <row r="507" spans="2:71" x14ac:dyDescent="0.2">
      <c r="B507" s="56" t="s">
        <v>64</v>
      </c>
      <c r="C507" s="45"/>
      <c r="D507" s="45">
        <v>0</v>
      </c>
      <c r="E507" s="52">
        <v>0</v>
      </c>
      <c r="F507" s="52">
        <v>0</v>
      </c>
      <c r="G507" s="48"/>
      <c r="H507" s="45">
        <v>0</v>
      </c>
      <c r="I507" s="45">
        <v>0</v>
      </c>
      <c r="J507" s="45">
        <v>0</v>
      </c>
      <c r="K507" s="45"/>
      <c r="L507" s="45"/>
      <c r="M507" s="52">
        <v>0</v>
      </c>
      <c r="N507" s="52">
        <v>0</v>
      </c>
      <c r="O507" s="45">
        <v>0</v>
      </c>
      <c r="P507" s="45"/>
      <c r="Q507" s="52"/>
      <c r="R507" s="52">
        <v>0</v>
      </c>
      <c r="S507" s="61">
        <v>0</v>
      </c>
      <c r="T507" s="49"/>
      <c r="U507" s="49"/>
      <c r="V507" s="45"/>
      <c r="W507" s="45"/>
      <c r="X507" s="45"/>
      <c r="Y507" s="45">
        <v>0</v>
      </c>
      <c r="Z507" s="45">
        <v>0</v>
      </c>
      <c r="AA507" s="45"/>
      <c r="AB507" s="45"/>
      <c r="AC507" s="45"/>
      <c r="AD507" s="52"/>
      <c r="AE507" s="52">
        <v>0</v>
      </c>
      <c r="AF507" s="48">
        <v>0</v>
      </c>
      <c r="AG507" s="52">
        <v>0</v>
      </c>
      <c r="AH507" s="52">
        <v>0</v>
      </c>
      <c r="AI507" s="48"/>
      <c r="AJ507" s="48">
        <v>0</v>
      </c>
      <c r="AK507" s="52">
        <v>0</v>
      </c>
      <c r="AL507" s="52">
        <v>0</v>
      </c>
      <c r="AM507" s="48">
        <v>0</v>
      </c>
      <c r="AN507" s="52">
        <v>0</v>
      </c>
      <c r="AO507" s="52">
        <v>0</v>
      </c>
      <c r="AP507" s="48">
        <v>0</v>
      </c>
      <c r="AQ507" s="88">
        <v>0</v>
      </c>
      <c r="AR507" s="52">
        <v>0</v>
      </c>
      <c r="AS507" s="52"/>
      <c r="AT507" s="52"/>
      <c r="AU507" s="48">
        <v>0</v>
      </c>
      <c r="AV507" s="48"/>
      <c r="AW507" s="52"/>
      <c r="AX507" s="52">
        <v>0</v>
      </c>
      <c r="AY507" s="48"/>
      <c r="AZ507" s="52">
        <v>0</v>
      </c>
      <c r="BA507" s="52">
        <v>0</v>
      </c>
      <c r="BB507" s="48"/>
      <c r="BC507" s="45">
        <v>0</v>
      </c>
      <c r="BD507" s="45">
        <v>0</v>
      </c>
      <c r="BE507" s="45">
        <v>0</v>
      </c>
      <c r="BF507" s="45">
        <v>0</v>
      </c>
      <c r="BG507" s="45"/>
      <c r="BH507" s="46"/>
      <c r="BI507" s="45">
        <v>0</v>
      </c>
      <c r="BJ507" s="45">
        <v>0</v>
      </c>
      <c r="BK507" s="45"/>
      <c r="BL507" s="45"/>
      <c r="BM507" s="45">
        <v>0</v>
      </c>
      <c r="BN507" s="45"/>
      <c r="BO507" s="45"/>
      <c r="BP507" s="46"/>
      <c r="BQ507" s="48"/>
      <c r="BR507" s="52">
        <v>0</v>
      </c>
      <c r="BS507" s="52">
        <v>0</v>
      </c>
    </row>
    <row r="508" spans="2:71" x14ac:dyDescent="0.2">
      <c r="B508" s="56" t="s">
        <v>64</v>
      </c>
      <c r="C508" s="45"/>
      <c r="D508" s="45">
        <v>0</v>
      </c>
      <c r="E508" s="52">
        <v>0</v>
      </c>
      <c r="F508" s="52">
        <v>0</v>
      </c>
      <c r="G508" s="48"/>
      <c r="H508" s="45">
        <v>0</v>
      </c>
      <c r="I508" s="45">
        <v>0</v>
      </c>
      <c r="J508" s="45">
        <v>0</v>
      </c>
      <c r="K508" s="45"/>
      <c r="L508" s="45"/>
      <c r="M508" s="52">
        <v>0</v>
      </c>
      <c r="N508" s="52">
        <v>0</v>
      </c>
      <c r="O508" s="45">
        <v>0</v>
      </c>
      <c r="P508" s="45"/>
      <c r="Q508" s="52"/>
      <c r="R508" s="52">
        <v>0</v>
      </c>
      <c r="S508" s="61">
        <v>0</v>
      </c>
      <c r="T508" s="49"/>
      <c r="U508" s="49"/>
      <c r="V508" s="45"/>
      <c r="W508" s="45"/>
      <c r="X508" s="45"/>
      <c r="Y508" s="45">
        <v>0</v>
      </c>
      <c r="Z508" s="45">
        <v>0</v>
      </c>
      <c r="AA508" s="45"/>
      <c r="AB508" s="45"/>
      <c r="AC508" s="45"/>
      <c r="AD508" s="52"/>
      <c r="AE508" s="52">
        <v>0</v>
      </c>
      <c r="AF508" s="48">
        <v>0</v>
      </c>
      <c r="AG508" s="52">
        <v>0</v>
      </c>
      <c r="AH508" s="52">
        <v>0</v>
      </c>
      <c r="AI508" s="52"/>
      <c r="AJ508" s="48">
        <v>0</v>
      </c>
      <c r="AK508" s="52">
        <v>0</v>
      </c>
      <c r="AL508" s="52">
        <v>0</v>
      </c>
      <c r="AM508" s="48">
        <v>0</v>
      </c>
      <c r="AN508" s="52">
        <v>0</v>
      </c>
      <c r="AO508" s="52">
        <v>0</v>
      </c>
      <c r="AP508" s="48">
        <v>0</v>
      </c>
      <c r="AQ508" s="88">
        <v>0</v>
      </c>
      <c r="AR508" s="52">
        <v>0</v>
      </c>
      <c r="AS508" s="52"/>
      <c r="AT508" s="52"/>
      <c r="AU508" s="48">
        <v>0</v>
      </c>
      <c r="AV508" s="48"/>
      <c r="AW508" s="52"/>
      <c r="AX508" s="52">
        <v>0</v>
      </c>
      <c r="AY508" s="48"/>
      <c r="AZ508" s="52">
        <v>0</v>
      </c>
      <c r="BA508" s="52">
        <v>0</v>
      </c>
      <c r="BB508" s="48"/>
      <c r="BC508" s="45">
        <v>0</v>
      </c>
      <c r="BD508" s="45">
        <v>0</v>
      </c>
      <c r="BE508" s="45">
        <v>0</v>
      </c>
      <c r="BF508" s="45">
        <v>0</v>
      </c>
      <c r="BG508" s="45"/>
      <c r="BH508" s="46"/>
      <c r="BI508" s="45">
        <v>0</v>
      </c>
      <c r="BJ508" s="45">
        <v>0</v>
      </c>
      <c r="BK508" s="45"/>
      <c r="BL508" s="45"/>
      <c r="BM508" s="45">
        <v>0</v>
      </c>
      <c r="BN508" s="45"/>
      <c r="BO508" s="45"/>
      <c r="BP508" s="46"/>
      <c r="BQ508" s="48"/>
      <c r="BR508" s="52">
        <v>0</v>
      </c>
      <c r="BS508" s="52">
        <v>0</v>
      </c>
    </row>
    <row r="509" spans="2:71" x14ac:dyDescent="0.2">
      <c r="B509" s="56" t="s">
        <v>64</v>
      </c>
      <c r="C509" s="45"/>
      <c r="D509" s="45">
        <v>0</v>
      </c>
      <c r="E509" s="52">
        <v>0</v>
      </c>
      <c r="F509" s="52">
        <v>0</v>
      </c>
      <c r="G509" s="48"/>
      <c r="H509" s="45">
        <v>0</v>
      </c>
      <c r="I509" s="45">
        <v>0</v>
      </c>
      <c r="J509" s="45">
        <v>0</v>
      </c>
      <c r="K509" s="45"/>
      <c r="L509" s="45"/>
      <c r="M509" s="52">
        <v>0</v>
      </c>
      <c r="N509" s="52">
        <v>0</v>
      </c>
      <c r="O509" s="45">
        <v>0</v>
      </c>
      <c r="P509" s="45"/>
      <c r="Q509" s="52"/>
      <c r="R509" s="52">
        <v>0</v>
      </c>
      <c r="S509" s="61">
        <v>0</v>
      </c>
      <c r="T509" s="49"/>
      <c r="U509" s="49"/>
      <c r="V509" s="45"/>
      <c r="W509" s="45"/>
      <c r="X509" s="45"/>
      <c r="Y509" s="45">
        <v>0</v>
      </c>
      <c r="Z509" s="45">
        <v>0</v>
      </c>
      <c r="AA509" s="45"/>
      <c r="AB509" s="45"/>
      <c r="AC509" s="45"/>
      <c r="AD509" s="52"/>
      <c r="AE509" s="52">
        <v>0</v>
      </c>
      <c r="AF509" s="48">
        <v>0</v>
      </c>
      <c r="AG509" s="52">
        <v>0</v>
      </c>
      <c r="AH509" s="52">
        <v>0</v>
      </c>
      <c r="AI509" s="52"/>
      <c r="AJ509" s="48">
        <v>0</v>
      </c>
      <c r="AK509" s="52">
        <v>0</v>
      </c>
      <c r="AL509" s="52">
        <v>0</v>
      </c>
      <c r="AM509" s="48">
        <v>0</v>
      </c>
      <c r="AN509" s="52">
        <v>0</v>
      </c>
      <c r="AO509" s="52">
        <v>0</v>
      </c>
      <c r="AP509" s="48">
        <v>0</v>
      </c>
      <c r="AQ509" s="88">
        <v>0</v>
      </c>
      <c r="AR509" s="52">
        <v>0</v>
      </c>
      <c r="AS509" s="52"/>
      <c r="AT509" s="52"/>
      <c r="AU509" s="48">
        <v>0</v>
      </c>
      <c r="AV509" s="48"/>
      <c r="AW509" s="52"/>
      <c r="AX509" s="52">
        <v>0</v>
      </c>
      <c r="AY509" s="48"/>
      <c r="AZ509" s="52">
        <v>0</v>
      </c>
      <c r="BA509" s="52">
        <v>0</v>
      </c>
      <c r="BB509" s="48"/>
      <c r="BC509" s="45">
        <v>0</v>
      </c>
      <c r="BD509" s="45">
        <v>0</v>
      </c>
      <c r="BE509" s="45">
        <v>0</v>
      </c>
      <c r="BF509" s="45">
        <v>0</v>
      </c>
      <c r="BG509" s="45"/>
      <c r="BH509" s="46"/>
      <c r="BI509" s="45">
        <v>0</v>
      </c>
      <c r="BJ509" s="45">
        <v>0</v>
      </c>
      <c r="BK509" s="45"/>
      <c r="BL509" s="45"/>
      <c r="BM509" s="45">
        <v>0</v>
      </c>
      <c r="BN509" s="45"/>
      <c r="BO509" s="45"/>
      <c r="BP509" s="46"/>
      <c r="BQ509" s="48"/>
      <c r="BR509" s="52">
        <v>0</v>
      </c>
      <c r="BS509" s="52">
        <v>0</v>
      </c>
    </row>
    <row r="510" spans="2:71" x14ac:dyDescent="0.2">
      <c r="B510" s="56" t="s">
        <v>64</v>
      </c>
      <c r="C510" s="45"/>
      <c r="D510" s="45">
        <v>0</v>
      </c>
      <c r="E510" s="52">
        <v>0</v>
      </c>
      <c r="F510" s="52">
        <v>0</v>
      </c>
      <c r="G510" s="48"/>
      <c r="H510" s="45">
        <v>0</v>
      </c>
      <c r="I510" s="45">
        <v>0</v>
      </c>
      <c r="J510" s="45">
        <v>0</v>
      </c>
      <c r="K510" s="45"/>
      <c r="L510" s="45"/>
      <c r="M510" s="52">
        <v>0</v>
      </c>
      <c r="N510" s="52">
        <v>0</v>
      </c>
      <c r="O510" s="45">
        <v>0</v>
      </c>
      <c r="P510" s="45"/>
      <c r="Q510" s="52"/>
      <c r="R510" s="52">
        <v>0</v>
      </c>
      <c r="S510" s="61">
        <v>0</v>
      </c>
      <c r="T510" s="49"/>
      <c r="U510" s="49"/>
      <c r="V510" s="45"/>
      <c r="W510" s="45"/>
      <c r="X510" s="45"/>
      <c r="Y510" s="45">
        <v>0</v>
      </c>
      <c r="Z510" s="45">
        <v>0</v>
      </c>
      <c r="AA510" s="45"/>
      <c r="AB510" s="45"/>
      <c r="AC510" s="45"/>
      <c r="AD510" s="52"/>
      <c r="AE510" s="52">
        <v>0</v>
      </c>
      <c r="AF510" s="48">
        <v>0</v>
      </c>
      <c r="AG510" s="52">
        <v>0</v>
      </c>
      <c r="AH510" s="52">
        <v>0</v>
      </c>
      <c r="AI510" s="52"/>
      <c r="AJ510" s="48">
        <v>0</v>
      </c>
      <c r="AK510" s="52">
        <v>0</v>
      </c>
      <c r="AL510" s="52">
        <v>0</v>
      </c>
      <c r="AM510" s="48">
        <v>0</v>
      </c>
      <c r="AN510" s="52">
        <v>0</v>
      </c>
      <c r="AO510" s="52">
        <v>0</v>
      </c>
      <c r="AP510" s="48">
        <v>0</v>
      </c>
      <c r="AQ510" s="88">
        <v>0</v>
      </c>
      <c r="AR510" s="52">
        <v>0</v>
      </c>
      <c r="AS510" s="52"/>
      <c r="AT510" s="52"/>
      <c r="AU510" s="48">
        <v>0</v>
      </c>
      <c r="AV510" s="48"/>
      <c r="AW510" s="52"/>
      <c r="AX510" s="52">
        <v>0</v>
      </c>
      <c r="AY510" s="48"/>
      <c r="AZ510" s="52">
        <v>0</v>
      </c>
      <c r="BA510" s="52">
        <v>0</v>
      </c>
      <c r="BB510" s="48"/>
      <c r="BC510" s="45">
        <v>0</v>
      </c>
      <c r="BD510" s="45">
        <v>0</v>
      </c>
      <c r="BE510" s="45">
        <v>0</v>
      </c>
      <c r="BF510" s="45">
        <v>0</v>
      </c>
      <c r="BG510" s="45"/>
      <c r="BH510" s="46"/>
      <c r="BI510" s="45">
        <v>0</v>
      </c>
      <c r="BJ510" s="45">
        <v>0</v>
      </c>
      <c r="BK510" s="45"/>
      <c r="BL510" s="45"/>
      <c r="BM510" s="45">
        <v>0</v>
      </c>
      <c r="BN510" s="45"/>
      <c r="BO510" s="45"/>
      <c r="BP510" s="46"/>
      <c r="BQ510" s="48"/>
      <c r="BR510" s="52">
        <v>0</v>
      </c>
      <c r="BS510" s="52">
        <v>0</v>
      </c>
    </row>
    <row r="511" spans="2:71" x14ac:dyDescent="0.2">
      <c r="B511" s="56" t="s">
        <v>64</v>
      </c>
      <c r="C511" s="45"/>
      <c r="D511" s="45">
        <v>0</v>
      </c>
      <c r="E511" s="52">
        <v>0</v>
      </c>
      <c r="F511" s="52">
        <v>0</v>
      </c>
      <c r="G511" s="48"/>
      <c r="H511" s="45">
        <v>0</v>
      </c>
      <c r="I511" s="45">
        <v>0</v>
      </c>
      <c r="J511" s="45">
        <v>0</v>
      </c>
      <c r="K511" s="45"/>
      <c r="L511" s="45"/>
      <c r="M511" s="52">
        <v>0</v>
      </c>
      <c r="N511" s="52">
        <v>0</v>
      </c>
      <c r="O511" s="45">
        <v>0</v>
      </c>
      <c r="P511" s="45"/>
      <c r="Q511" s="52"/>
      <c r="R511" s="52">
        <v>0</v>
      </c>
      <c r="S511" s="61">
        <v>0</v>
      </c>
      <c r="T511" s="49"/>
      <c r="U511" s="49"/>
      <c r="V511" s="45"/>
      <c r="W511" s="45"/>
      <c r="X511" s="45"/>
      <c r="Y511" s="45">
        <v>0</v>
      </c>
      <c r="Z511" s="45">
        <v>0</v>
      </c>
      <c r="AA511" s="45"/>
      <c r="AB511" s="45"/>
      <c r="AC511" s="45"/>
      <c r="AD511" s="52"/>
      <c r="AE511" s="52">
        <v>0</v>
      </c>
      <c r="AF511" s="48">
        <v>0</v>
      </c>
      <c r="AG511" s="52">
        <v>0</v>
      </c>
      <c r="AH511" s="52">
        <v>0</v>
      </c>
      <c r="AI511" s="52"/>
      <c r="AJ511" s="48">
        <v>0</v>
      </c>
      <c r="AK511" s="52">
        <v>0</v>
      </c>
      <c r="AL511" s="52">
        <v>0</v>
      </c>
      <c r="AM511" s="48">
        <v>0</v>
      </c>
      <c r="AN511" s="52">
        <v>0</v>
      </c>
      <c r="AO511" s="52">
        <v>0</v>
      </c>
      <c r="AP511" s="48">
        <v>0</v>
      </c>
      <c r="AQ511" s="88">
        <v>0</v>
      </c>
      <c r="AR511" s="52">
        <v>0</v>
      </c>
      <c r="AS511" s="52"/>
      <c r="AT511" s="52"/>
      <c r="AU511" s="48">
        <v>0</v>
      </c>
      <c r="AV511" s="48"/>
      <c r="AW511" s="52"/>
      <c r="AX511" s="52">
        <v>0</v>
      </c>
      <c r="AY511" s="48"/>
      <c r="AZ511" s="52">
        <v>0</v>
      </c>
      <c r="BA511" s="52">
        <v>0</v>
      </c>
      <c r="BB511" s="48"/>
      <c r="BC511" s="45">
        <v>0</v>
      </c>
      <c r="BD511" s="45">
        <v>0</v>
      </c>
      <c r="BE511" s="45">
        <v>0</v>
      </c>
      <c r="BF511" s="45">
        <v>0</v>
      </c>
      <c r="BG511" s="45"/>
      <c r="BH511" s="46"/>
      <c r="BI511" s="45">
        <v>0</v>
      </c>
      <c r="BJ511" s="45">
        <v>0</v>
      </c>
      <c r="BK511" s="45"/>
      <c r="BL511" s="45"/>
      <c r="BM511" s="45">
        <v>0</v>
      </c>
      <c r="BN511" s="45"/>
      <c r="BO511" s="45"/>
      <c r="BP511" s="46"/>
      <c r="BQ511" s="48"/>
      <c r="BR511" s="52">
        <v>0</v>
      </c>
      <c r="BS511" s="52">
        <v>0</v>
      </c>
    </row>
    <row r="512" spans="2:71" x14ac:dyDescent="0.2">
      <c r="B512" s="56" t="s">
        <v>64</v>
      </c>
      <c r="C512" s="45"/>
      <c r="D512" s="45">
        <v>0</v>
      </c>
      <c r="E512" s="52">
        <v>0</v>
      </c>
      <c r="F512" s="52">
        <v>0</v>
      </c>
      <c r="G512" s="48"/>
      <c r="H512" s="45">
        <v>0</v>
      </c>
      <c r="I512" s="45">
        <v>0</v>
      </c>
      <c r="J512" s="45">
        <v>0</v>
      </c>
      <c r="K512" s="45"/>
      <c r="L512" s="45"/>
      <c r="M512" s="52">
        <v>0</v>
      </c>
      <c r="N512" s="52">
        <v>0</v>
      </c>
      <c r="O512" s="45">
        <v>0</v>
      </c>
      <c r="P512" s="45"/>
      <c r="Q512" s="52"/>
      <c r="R512" s="52">
        <v>0</v>
      </c>
      <c r="S512" s="61">
        <v>0</v>
      </c>
      <c r="T512" s="49"/>
      <c r="U512" s="49"/>
      <c r="V512" s="45"/>
      <c r="W512" s="45"/>
      <c r="X512" s="45"/>
      <c r="Y512" s="45">
        <v>0</v>
      </c>
      <c r="Z512" s="45">
        <v>0</v>
      </c>
      <c r="AA512" s="45"/>
      <c r="AB512" s="45"/>
      <c r="AC512" s="45"/>
      <c r="AD512" s="52"/>
      <c r="AE512" s="52">
        <v>0</v>
      </c>
      <c r="AF512" s="48">
        <v>0</v>
      </c>
      <c r="AG512" s="52">
        <v>0</v>
      </c>
      <c r="AH512" s="52">
        <v>0</v>
      </c>
      <c r="AI512" s="52"/>
      <c r="AJ512" s="48">
        <v>0</v>
      </c>
      <c r="AK512" s="52">
        <v>0</v>
      </c>
      <c r="AL512" s="52">
        <v>0</v>
      </c>
      <c r="AM512" s="48">
        <v>0</v>
      </c>
      <c r="AN512" s="52">
        <v>0</v>
      </c>
      <c r="AO512" s="52">
        <v>0</v>
      </c>
      <c r="AP512" s="48">
        <v>0</v>
      </c>
      <c r="AQ512" s="88">
        <v>0</v>
      </c>
      <c r="AR512" s="52">
        <v>0</v>
      </c>
      <c r="AS512" s="52"/>
      <c r="AT512" s="52"/>
      <c r="AU512" s="48">
        <v>0</v>
      </c>
      <c r="AV512" s="48"/>
      <c r="AW512" s="52"/>
      <c r="AX512" s="52">
        <v>0</v>
      </c>
      <c r="AY512" s="48"/>
      <c r="AZ512" s="52">
        <v>0</v>
      </c>
      <c r="BA512" s="52">
        <v>0</v>
      </c>
      <c r="BB512" s="48"/>
      <c r="BC512" s="45">
        <v>0</v>
      </c>
      <c r="BD512" s="45">
        <v>0</v>
      </c>
      <c r="BE512" s="45">
        <v>0</v>
      </c>
      <c r="BF512" s="45">
        <v>0</v>
      </c>
      <c r="BG512" s="45"/>
      <c r="BH512" s="46"/>
      <c r="BI512" s="45">
        <v>0</v>
      </c>
      <c r="BJ512" s="45">
        <v>0</v>
      </c>
      <c r="BK512" s="45"/>
      <c r="BL512" s="45"/>
      <c r="BM512" s="45">
        <v>0</v>
      </c>
      <c r="BN512" s="45"/>
      <c r="BO512" s="45"/>
      <c r="BP512" s="46"/>
      <c r="BQ512" s="48"/>
      <c r="BR512" s="52">
        <v>0</v>
      </c>
      <c r="BS512" s="52">
        <v>0</v>
      </c>
    </row>
    <row r="513" spans="2:71" x14ac:dyDescent="0.2">
      <c r="B513" s="56" t="s">
        <v>64</v>
      </c>
      <c r="C513" s="45"/>
      <c r="D513" s="45">
        <v>0</v>
      </c>
      <c r="E513" s="52">
        <v>0</v>
      </c>
      <c r="F513" s="52">
        <v>0</v>
      </c>
      <c r="G513" s="48"/>
      <c r="H513" s="45">
        <v>0</v>
      </c>
      <c r="I513" s="45">
        <v>0</v>
      </c>
      <c r="J513" s="45">
        <v>0</v>
      </c>
      <c r="K513" s="45"/>
      <c r="L513" s="45"/>
      <c r="M513" s="52">
        <v>0</v>
      </c>
      <c r="N513" s="52">
        <v>0</v>
      </c>
      <c r="O513" s="45">
        <v>0</v>
      </c>
      <c r="P513" s="45"/>
      <c r="Q513" s="52"/>
      <c r="R513" s="52">
        <v>0</v>
      </c>
      <c r="S513" s="61">
        <v>0</v>
      </c>
      <c r="T513" s="49"/>
      <c r="U513" s="49"/>
      <c r="V513" s="45"/>
      <c r="W513" s="45"/>
      <c r="X513" s="45"/>
      <c r="Y513" s="45">
        <v>0</v>
      </c>
      <c r="Z513" s="45">
        <v>0</v>
      </c>
      <c r="AA513" s="45"/>
      <c r="AB513" s="45"/>
      <c r="AC513" s="45"/>
      <c r="AD513" s="52"/>
      <c r="AE513" s="52">
        <v>0</v>
      </c>
      <c r="AF513" s="48">
        <v>0</v>
      </c>
      <c r="AG513" s="52">
        <v>0</v>
      </c>
      <c r="AH513" s="52">
        <v>0</v>
      </c>
      <c r="AI513" s="52"/>
      <c r="AJ513" s="48">
        <v>0</v>
      </c>
      <c r="AK513" s="52">
        <v>0</v>
      </c>
      <c r="AL513" s="52">
        <v>0</v>
      </c>
      <c r="AM513" s="48">
        <v>0</v>
      </c>
      <c r="AN513" s="52">
        <v>0</v>
      </c>
      <c r="AO513" s="52">
        <v>0</v>
      </c>
      <c r="AP513" s="48">
        <v>0</v>
      </c>
      <c r="AQ513" s="88">
        <v>0</v>
      </c>
      <c r="AR513" s="52">
        <v>0</v>
      </c>
      <c r="AS513" s="52"/>
      <c r="AT513" s="52"/>
      <c r="AU513" s="48">
        <v>0</v>
      </c>
      <c r="AV513" s="48"/>
      <c r="AW513" s="52"/>
      <c r="AX513" s="52">
        <v>0</v>
      </c>
      <c r="AY513" s="48"/>
      <c r="AZ513" s="52">
        <v>0</v>
      </c>
      <c r="BA513" s="52">
        <v>0</v>
      </c>
      <c r="BB513" s="48"/>
      <c r="BC513" s="45">
        <v>0</v>
      </c>
      <c r="BD513" s="45">
        <v>0</v>
      </c>
      <c r="BE513" s="45">
        <v>0</v>
      </c>
      <c r="BF513" s="45">
        <v>0</v>
      </c>
      <c r="BG513" s="45"/>
      <c r="BH513" s="46"/>
      <c r="BI513" s="45">
        <v>0</v>
      </c>
      <c r="BJ513" s="45">
        <v>0</v>
      </c>
      <c r="BK513" s="45"/>
      <c r="BL513" s="45"/>
      <c r="BM513" s="45">
        <v>0</v>
      </c>
      <c r="BN513" s="45"/>
      <c r="BO513" s="45"/>
      <c r="BP513" s="46"/>
      <c r="BQ513" s="48"/>
      <c r="BR513" s="52">
        <v>0</v>
      </c>
      <c r="BS513" s="52">
        <v>0</v>
      </c>
    </row>
    <row r="514" spans="2:71" x14ac:dyDescent="0.2">
      <c r="B514" s="56" t="s">
        <v>64</v>
      </c>
      <c r="C514" s="45"/>
      <c r="D514" s="45">
        <v>0</v>
      </c>
      <c r="E514" s="52">
        <v>0</v>
      </c>
      <c r="F514" s="52">
        <v>0</v>
      </c>
      <c r="G514" s="48"/>
      <c r="H514" s="45">
        <v>0</v>
      </c>
      <c r="I514" s="45">
        <v>0</v>
      </c>
      <c r="J514" s="45">
        <v>0</v>
      </c>
      <c r="K514" s="45"/>
      <c r="L514" s="45"/>
      <c r="M514" s="52">
        <v>0</v>
      </c>
      <c r="N514" s="52">
        <v>0</v>
      </c>
      <c r="O514" s="45">
        <v>0</v>
      </c>
      <c r="P514" s="45"/>
      <c r="Q514" s="52"/>
      <c r="R514" s="52">
        <v>0</v>
      </c>
      <c r="S514" s="61">
        <v>0</v>
      </c>
      <c r="T514" s="49"/>
      <c r="U514" s="49"/>
      <c r="V514" s="45"/>
      <c r="W514" s="45"/>
      <c r="X514" s="45"/>
      <c r="Y514" s="45">
        <v>0</v>
      </c>
      <c r="Z514" s="45">
        <v>0</v>
      </c>
      <c r="AA514" s="45"/>
      <c r="AB514" s="45"/>
      <c r="AC514" s="45"/>
      <c r="AD514" s="52"/>
      <c r="AE514" s="52">
        <v>0</v>
      </c>
      <c r="AF514" s="48">
        <v>0</v>
      </c>
      <c r="AG514" s="52">
        <v>0</v>
      </c>
      <c r="AH514" s="52">
        <v>0</v>
      </c>
      <c r="AI514" s="52"/>
      <c r="AJ514" s="48">
        <v>0</v>
      </c>
      <c r="AK514" s="52">
        <v>0</v>
      </c>
      <c r="AL514" s="52">
        <v>0</v>
      </c>
      <c r="AM514" s="48">
        <v>0</v>
      </c>
      <c r="AN514" s="52">
        <v>0</v>
      </c>
      <c r="AO514" s="52">
        <v>0</v>
      </c>
      <c r="AP514" s="48">
        <v>0</v>
      </c>
      <c r="AQ514" s="88">
        <v>0</v>
      </c>
      <c r="AR514" s="52">
        <v>0</v>
      </c>
      <c r="AS514" s="52"/>
      <c r="AT514" s="52"/>
      <c r="AU514" s="48">
        <v>0</v>
      </c>
      <c r="AV514" s="48"/>
      <c r="AW514" s="52"/>
      <c r="AX514" s="52">
        <v>0</v>
      </c>
      <c r="AY514" s="48"/>
      <c r="AZ514" s="52">
        <v>0</v>
      </c>
      <c r="BA514" s="52">
        <v>0</v>
      </c>
      <c r="BB514" s="48"/>
      <c r="BC514" s="45">
        <v>0</v>
      </c>
      <c r="BD514" s="45">
        <v>0</v>
      </c>
      <c r="BE514" s="45">
        <v>0</v>
      </c>
      <c r="BF514" s="45">
        <v>0</v>
      </c>
      <c r="BG514" s="45"/>
      <c r="BH514" s="46"/>
      <c r="BI514" s="45">
        <v>0</v>
      </c>
      <c r="BJ514" s="45">
        <v>0</v>
      </c>
      <c r="BK514" s="45"/>
      <c r="BL514" s="45"/>
      <c r="BM514" s="45">
        <v>0</v>
      </c>
      <c r="BN514" s="45"/>
      <c r="BO514" s="45"/>
      <c r="BP514" s="46"/>
      <c r="BQ514" s="48"/>
      <c r="BR514" s="52">
        <v>0</v>
      </c>
      <c r="BS514" s="52">
        <v>0</v>
      </c>
    </row>
    <row r="515" spans="2:71" x14ac:dyDescent="0.2">
      <c r="B515" s="56" t="s">
        <v>64</v>
      </c>
      <c r="C515" s="45"/>
      <c r="D515" s="45">
        <v>0</v>
      </c>
      <c r="E515" s="52">
        <v>0</v>
      </c>
      <c r="F515" s="52">
        <v>0</v>
      </c>
      <c r="G515" s="48"/>
      <c r="H515" s="45">
        <v>0</v>
      </c>
      <c r="I515" s="45">
        <v>0</v>
      </c>
      <c r="J515" s="45">
        <v>0</v>
      </c>
      <c r="K515" s="45"/>
      <c r="L515" s="45"/>
      <c r="M515" s="52">
        <v>0</v>
      </c>
      <c r="N515" s="52">
        <v>0</v>
      </c>
      <c r="O515" s="45">
        <v>0</v>
      </c>
      <c r="P515" s="45"/>
      <c r="Q515" s="52"/>
      <c r="R515" s="52">
        <v>0</v>
      </c>
      <c r="S515" s="61">
        <v>0</v>
      </c>
      <c r="T515" s="49"/>
      <c r="U515" s="49"/>
      <c r="V515" s="45"/>
      <c r="W515" s="45"/>
      <c r="X515" s="45"/>
      <c r="Y515" s="45">
        <v>0</v>
      </c>
      <c r="Z515" s="45">
        <v>0</v>
      </c>
      <c r="AA515" s="45"/>
      <c r="AB515" s="45"/>
      <c r="AC515" s="45"/>
      <c r="AD515" s="52"/>
      <c r="AE515" s="52">
        <v>0</v>
      </c>
      <c r="AF515" s="48">
        <v>0</v>
      </c>
      <c r="AG515" s="52">
        <v>0</v>
      </c>
      <c r="AH515" s="52">
        <v>0</v>
      </c>
      <c r="AI515" s="88"/>
      <c r="AJ515" s="48">
        <v>0</v>
      </c>
      <c r="AK515" s="52">
        <v>0</v>
      </c>
      <c r="AL515" s="52">
        <v>0</v>
      </c>
      <c r="AM515" s="48">
        <v>0</v>
      </c>
      <c r="AN515" s="52">
        <v>0</v>
      </c>
      <c r="AO515" s="52">
        <v>0</v>
      </c>
      <c r="AP515" s="48">
        <v>0</v>
      </c>
      <c r="AQ515" s="88">
        <v>0</v>
      </c>
      <c r="AR515" s="88">
        <v>0</v>
      </c>
      <c r="AS515" s="88"/>
      <c r="AT515" s="88"/>
      <c r="AU515" s="29">
        <v>0</v>
      </c>
      <c r="AV515" s="29"/>
      <c r="AW515" s="88"/>
      <c r="AX515" s="88">
        <v>0</v>
      </c>
      <c r="AY515" s="29"/>
      <c r="AZ515" s="88">
        <v>0</v>
      </c>
      <c r="BA515" s="88">
        <v>0</v>
      </c>
      <c r="BB515" s="48"/>
      <c r="BC515" s="45">
        <v>0</v>
      </c>
      <c r="BD515" s="45">
        <v>0</v>
      </c>
      <c r="BE515" s="45">
        <v>0</v>
      </c>
      <c r="BF515" s="45">
        <v>0</v>
      </c>
      <c r="BG515" s="45"/>
      <c r="BH515" s="46"/>
      <c r="BI515" s="45">
        <v>0</v>
      </c>
      <c r="BJ515" s="45">
        <v>0</v>
      </c>
      <c r="BK515" s="45"/>
      <c r="BL515" s="45"/>
      <c r="BM515" s="45">
        <v>0</v>
      </c>
      <c r="BN515" s="45"/>
      <c r="BO515" s="45"/>
      <c r="BP515" s="46"/>
      <c r="BQ515" s="29"/>
      <c r="BR515" s="88">
        <v>0</v>
      </c>
      <c r="BS515" s="88">
        <v>0</v>
      </c>
    </row>
    <row r="516" spans="2:71" x14ac:dyDescent="0.2">
      <c r="B516" s="56" t="s">
        <v>64</v>
      </c>
      <c r="C516" s="45"/>
      <c r="D516" s="45">
        <v>0</v>
      </c>
      <c r="E516" s="52">
        <v>0</v>
      </c>
      <c r="F516" s="52">
        <v>0</v>
      </c>
      <c r="G516" s="48"/>
      <c r="H516" s="45">
        <v>0</v>
      </c>
      <c r="I516" s="45">
        <v>0</v>
      </c>
      <c r="J516" s="45">
        <v>0</v>
      </c>
      <c r="K516" s="45"/>
      <c r="L516" s="45"/>
      <c r="M516" s="52">
        <v>0</v>
      </c>
      <c r="N516" s="52">
        <v>0</v>
      </c>
      <c r="O516" s="45">
        <v>0</v>
      </c>
      <c r="P516" s="45"/>
      <c r="Q516" s="52"/>
      <c r="R516" s="52">
        <v>0</v>
      </c>
      <c r="S516" s="61">
        <v>0</v>
      </c>
      <c r="T516" s="49"/>
      <c r="U516" s="49"/>
      <c r="V516" s="45"/>
      <c r="W516" s="45"/>
      <c r="X516" s="45"/>
      <c r="Y516" s="45">
        <v>0</v>
      </c>
      <c r="Z516" s="45">
        <v>0</v>
      </c>
      <c r="AA516" s="45"/>
      <c r="AB516" s="45"/>
      <c r="AC516" s="45"/>
      <c r="AD516" s="52"/>
      <c r="AE516" s="52">
        <v>0</v>
      </c>
      <c r="AF516" s="48">
        <v>0</v>
      </c>
      <c r="AG516" s="52">
        <v>0</v>
      </c>
      <c r="AH516" s="52">
        <v>0</v>
      </c>
      <c r="AI516" s="88"/>
      <c r="AJ516" s="48">
        <v>0</v>
      </c>
      <c r="AK516" s="52">
        <v>0</v>
      </c>
      <c r="AL516" s="52">
        <v>0</v>
      </c>
      <c r="AM516" s="48">
        <v>0</v>
      </c>
      <c r="AN516" s="52">
        <v>0</v>
      </c>
      <c r="AO516" s="52">
        <v>0</v>
      </c>
      <c r="AP516" s="48">
        <v>0</v>
      </c>
      <c r="AQ516" s="88">
        <v>0</v>
      </c>
      <c r="AR516" s="88">
        <v>0</v>
      </c>
      <c r="AS516" s="88"/>
      <c r="AT516" s="88"/>
      <c r="AU516" s="29">
        <v>0</v>
      </c>
      <c r="AV516" s="29"/>
      <c r="AW516" s="88"/>
      <c r="AX516" s="88">
        <v>0</v>
      </c>
      <c r="AY516" s="29"/>
      <c r="AZ516" s="88">
        <v>0</v>
      </c>
      <c r="BA516" s="88">
        <v>0</v>
      </c>
      <c r="BB516" s="48"/>
      <c r="BC516" s="45">
        <v>0</v>
      </c>
      <c r="BD516" s="45">
        <v>0</v>
      </c>
      <c r="BE516" s="45">
        <v>0</v>
      </c>
      <c r="BF516" s="45">
        <v>0</v>
      </c>
      <c r="BG516" s="45"/>
      <c r="BH516" s="46"/>
      <c r="BI516" s="45">
        <v>0</v>
      </c>
      <c r="BJ516" s="45">
        <v>0</v>
      </c>
      <c r="BK516" s="45"/>
      <c r="BL516" s="45"/>
      <c r="BM516" s="45">
        <v>0</v>
      </c>
      <c r="BN516" s="45"/>
      <c r="BO516" s="45"/>
      <c r="BP516" s="46"/>
      <c r="BQ516" s="29"/>
      <c r="BR516" s="88">
        <v>0</v>
      </c>
      <c r="BS516" s="88">
        <v>0</v>
      </c>
    </row>
    <row r="517" spans="2:71" x14ac:dyDescent="0.2">
      <c r="B517" s="56" t="s">
        <v>64</v>
      </c>
      <c r="C517" s="45"/>
      <c r="D517" s="45">
        <v>0</v>
      </c>
      <c r="E517" s="52">
        <v>0</v>
      </c>
      <c r="F517" s="52">
        <v>0</v>
      </c>
      <c r="G517" s="48"/>
      <c r="H517" s="45">
        <v>0</v>
      </c>
      <c r="I517" s="45">
        <v>0</v>
      </c>
      <c r="J517" s="45">
        <v>0</v>
      </c>
      <c r="K517" s="45"/>
      <c r="L517" s="45"/>
      <c r="M517" s="52">
        <v>0</v>
      </c>
      <c r="N517" s="52">
        <v>0</v>
      </c>
      <c r="O517" s="45">
        <v>0</v>
      </c>
      <c r="P517" s="45"/>
      <c r="Q517" s="52"/>
      <c r="R517" s="52">
        <v>0</v>
      </c>
      <c r="S517" s="61">
        <v>0</v>
      </c>
      <c r="T517" s="49"/>
      <c r="U517" s="49"/>
      <c r="V517" s="45"/>
      <c r="W517" s="45"/>
      <c r="X517" s="45"/>
      <c r="Y517" s="45">
        <v>0</v>
      </c>
      <c r="Z517" s="45">
        <v>0</v>
      </c>
      <c r="AA517" s="45"/>
      <c r="AB517" s="45"/>
      <c r="AC517" s="45"/>
      <c r="AD517" s="52"/>
      <c r="AE517" s="52">
        <v>0</v>
      </c>
      <c r="AF517" s="48">
        <v>0</v>
      </c>
      <c r="AG517" s="52">
        <v>0</v>
      </c>
      <c r="AH517" s="52">
        <v>0</v>
      </c>
      <c r="AI517" s="88"/>
      <c r="AJ517" s="48">
        <v>0</v>
      </c>
      <c r="AK517" s="52">
        <v>0</v>
      </c>
      <c r="AL517" s="52">
        <v>0</v>
      </c>
      <c r="AM517" s="48">
        <v>0</v>
      </c>
      <c r="AN517" s="52">
        <v>0</v>
      </c>
      <c r="AO517" s="52">
        <v>0</v>
      </c>
      <c r="AP517" s="48">
        <v>0</v>
      </c>
      <c r="AQ517" s="88">
        <v>0</v>
      </c>
      <c r="AR517" s="88">
        <v>0</v>
      </c>
      <c r="AS517" s="88"/>
      <c r="AT517" s="88"/>
      <c r="AU517" s="29">
        <v>0</v>
      </c>
      <c r="AV517" s="29"/>
      <c r="AW517" s="88"/>
      <c r="AX517" s="88">
        <v>0</v>
      </c>
      <c r="AY517" s="29"/>
      <c r="AZ517" s="88">
        <v>0</v>
      </c>
      <c r="BA517" s="88">
        <v>0</v>
      </c>
      <c r="BB517" s="48"/>
      <c r="BC517" s="45">
        <v>0</v>
      </c>
      <c r="BD517" s="45">
        <v>0</v>
      </c>
      <c r="BE517" s="45">
        <v>0</v>
      </c>
      <c r="BF517" s="45">
        <v>0</v>
      </c>
      <c r="BG517" s="45"/>
      <c r="BH517" s="46"/>
      <c r="BI517" s="45">
        <v>0</v>
      </c>
      <c r="BJ517" s="45">
        <v>0</v>
      </c>
      <c r="BK517" s="45"/>
      <c r="BL517" s="45"/>
      <c r="BM517" s="45">
        <v>0</v>
      </c>
      <c r="BN517" s="45"/>
      <c r="BO517" s="45"/>
      <c r="BP517" s="46"/>
      <c r="BQ517" s="29"/>
      <c r="BR517" s="88">
        <v>0</v>
      </c>
      <c r="BS517" s="88">
        <v>0</v>
      </c>
    </row>
    <row r="518" spans="2:71" x14ac:dyDescent="0.2">
      <c r="B518" s="56" t="s">
        <v>64</v>
      </c>
      <c r="C518" s="45"/>
      <c r="D518" s="45">
        <v>0</v>
      </c>
      <c r="E518" s="52">
        <v>0</v>
      </c>
      <c r="F518" s="52">
        <v>0</v>
      </c>
      <c r="G518" s="48"/>
      <c r="H518" s="45">
        <v>0</v>
      </c>
      <c r="I518" s="45">
        <v>0</v>
      </c>
      <c r="J518" s="45">
        <v>0</v>
      </c>
      <c r="K518" s="45"/>
      <c r="L518" s="45"/>
      <c r="M518" s="52">
        <v>0</v>
      </c>
      <c r="N518" s="52">
        <v>0</v>
      </c>
      <c r="O518" s="45">
        <v>0</v>
      </c>
      <c r="P518" s="45"/>
      <c r="Q518" s="52"/>
      <c r="R518" s="52">
        <v>0</v>
      </c>
      <c r="S518" s="61">
        <v>0</v>
      </c>
      <c r="T518" s="49"/>
      <c r="U518" s="49"/>
      <c r="V518" s="45"/>
      <c r="W518" s="45"/>
      <c r="X518" s="45"/>
      <c r="Y518" s="45">
        <v>0</v>
      </c>
      <c r="Z518" s="45">
        <v>0</v>
      </c>
      <c r="AA518" s="45"/>
      <c r="AB518" s="45"/>
      <c r="AC518" s="45"/>
      <c r="AD518" s="52"/>
      <c r="AE518" s="52">
        <v>0</v>
      </c>
      <c r="AF518" s="48">
        <v>0</v>
      </c>
      <c r="AG518" s="52">
        <v>0</v>
      </c>
      <c r="AH518" s="52">
        <v>0</v>
      </c>
      <c r="AI518" s="88"/>
      <c r="AJ518" s="48">
        <v>0</v>
      </c>
      <c r="AK518" s="52">
        <v>0</v>
      </c>
      <c r="AL518" s="52">
        <v>0</v>
      </c>
      <c r="AM518" s="48">
        <v>0</v>
      </c>
      <c r="AN518" s="52">
        <v>0</v>
      </c>
      <c r="AO518" s="52">
        <v>0</v>
      </c>
      <c r="AP518" s="48">
        <v>0</v>
      </c>
      <c r="AQ518" s="88">
        <v>0</v>
      </c>
      <c r="AR518" s="88">
        <v>0</v>
      </c>
      <c r="AS518" s="88"/>
      <c r="AT518" s="88"/>
      <c r="AU518" s="29">
        <v>0</v>
      </c>
      <c r="AV518" s="29"/>
      <c r="AW518" s="88"/>
      <c r="AX518" s="88">
        <v>0</v>
      </c>
      <c r="AY518" s="29"/>
      <c r="AZ518" s="88">
        <v>0</v>
      </c>
      <c r="BA518" s="88">
        <v>0</v>
      </c>
      <c r="BB518" s="48"/>
      <c r="BC518" s="45">
        <v>0</v>
      </c>
      <c r="BD518" s="45">
        <v>0</v>
      </c>
      <c r="BE518" s="45">
        <v>0</v>
      </c>
      <c r="BF518" s="45">
        <v>0</v>
      </c>
      <c r="BG518" s="45"/>
      <c r="BH518" s="46"/>
      <c r="BI518" s="45">
        <v>0</v>
      </c>
      <c r="BJ518" s="45">
        <v>0</v>
      </c>
      <c r="BK518" s="45"/>
      <c r="BL518" s="45"/>
      <c r="BM518" s="45">
        <v>0</v>
      </c>
      <c r="BN518" s="45"/>
      <c r="BO518" s="45"/>
      <c r="BP518" s="46"/>
      <c r="BQ518" s="29"/>
      <c r="BR518" s="88">
        <v>0</v>
      </c>
      <c r="BS518" s="88">
        <v>0</v>
      </c>
    </row>
    <row r="519" spans="2:71" x14ac:dyDescent="0.2">
      <c r="B519" s="56" t="s">
        <v>64</v>
      </c>
      <c r="C519" s="45"/>
      <c r="D519" s="45">
        <v>0</v>
      </c>
      <c r="E519" s="52">
        <v>0</v>
      </c>
      <c r="F519" s="52">
        <v>0</v>
      </c>
      <c r="G519" s="48"/>
      <c r="H519" s="45">
        <v>0</v>
      </c>
      <c r="I519" s="45">
        <v>0</v>
      </c>
      <c r="J519" s="45">
        <v>0</v>
      </c>
      <c r="K519" s="45"/>
      <c r="L519" s="45"/>
      <c r="M519" s="52">
        <v>0</v>
      </c>
      <c r="N519" s="52">
        <v>0</v>
      </c>
      <c r="O519" s="45">
        <v>0</v>
      </c>
      <c r="P519" s="45"/>
      <c r="Q519" s="52"/>
      <c r="R519" s="52">
        <v>0</v>
      </c>
      <c r="S519" s="61">
        <v>0</v>
      </c>
      <c r="T519" s="49"/>
      <c r="U519" s="49"/>
      <c r="V519" s="45"/>
      <c r="W519" s="45"/>
      <c r="X519" s="45"/>
      <c r="Y519" s="45">
        <v>0</v>
      </c>
      <c r="Z519" s="45">
        <v>0</v>
      </c>
      <c r="AA519" s="45"/>
      <c r="AB519" s="45"/>
      <c r="AC519" s="45"/>
      <c r="AD519" s="52"/>
      <c r="AE519" s="52">
        <v>0</v>
      </c>
      <c r="AF519" s="48">
        <v>0</v>
      </c>
      <c r="AG519" s="52">
        <v>0</v>
      </c>
      <c r="AH519" s="52">
        <v>0</v>
      </c>
      <c r="AI519" s="88"/>
      <c r="AJ519" s="48">
        <v>0</v>
      </c>
      <c r="AK519" s="52">
        <v>0</v>
      </c>
      <c r="AL519" s="52">
        <v>0</v>
      </c>
      <c r="AM519" s="48">
        <v>0</v>
      </c>
      <c r="AN519" s="52">
        <v>0</v>
      </c>
      <c r="AO519" s="52">
        <v>0</v>
      </c>
      <c r="AP519" s="48">
        <v>0</v>
      </c>
      <c r="AQ519" s="88">
        <v>0</v>
      </c>
      <c r="AR519" s="88">
        <v>0</v>
      </c>
      <c r="AS519" s="88"/>
      <c r="AT519" s="88"/>
      <c r="AU519" s="29">
        <v>0</v>
      </c>
      <c r="AV519" s="29"/>
      <c r="AW519" s="88"/>
      <c r="AX519" s="88">
        <v>0</v>
      </c>
      <c r="AY519" s="29"/>
      <c r="AZ519" s="88">
        <v>0</v>
      </c>
      <c r="BA519" s="88">
        <v>0</v>
      </c>
      <c r="BB519" s="48"/>
      <c r="BC519" s="45">
        <v>0</v>
      </c>
      <c r="BD519" s="45">
        <v>0</v>
      </c>
      <c r="BE519" s="45">
        <v>0</v>
      </c>
      <c r="BF519" s="45">
        <v>0</v>
      </c>
      <c r="BG519" s="45"/>
      <c r="BH519" s="46"/>
      <c r="BI519" s="45">
        <v>0</v>
      </c>
      <c r="BJ519" s="45">
        <v>0</v>
      </c>
      <c r="BK519" s="45"/>
      <c r="BL519" s="45"/>
      <c r="BM519" s="45">
        <v>0</v>
      </c>
      <c r="BN519" s="45"/>
      <c r="BO519" s="45"/>
      <c r="BP519" s="46"/>
      <c r="BQ519" s="29"/>
      <c r="BR519" s="88">
        <v>0</v>
      </c>
      <c r="BS519" s="88">
        <v>0</v>
      </c>
    </row>
    <row r="520" spans="2:71" x14ac:dyDescent="0.2">
      <c r="B520" s="56" t="s">
        <v>64</v>
      </c>
      <c r="C520" s="45"/>
      <c r="D520" s="45">
        <v>0</v>
      </c>
      <c r="E520" s="52">
        <v>0</v>
      </c>
      <c r="F520" s="52">
        <v>0</v>
      </c>
      <c r="G520" s="48"/>
      <c r="H520" s="45">
        <v>0</v>
      </c>
      <c r="I520" s="45">
        <v>0</v>
      </c>
      <c r="J520" s="45">
        <v>0</v>
      </c>
      <c r="K520" s="45"/>
      <c r="L520" s="45"/>
      <c r="M520" s="52">
        <v>0</v>
      </c>
      <c r="N520" s="52">
        <v>0</v>
      </c>
      <c r="O520" s="45">
        <v>0</v>
      </c>
      <c r="P520" s="45"/>
      <c r="Q520" s="52"/>
      <c r="R520" s="52">
        <v>0</v>
      </c>
      <c r="S520" s="61">
        <v>0</v>
      </c>
      <c r="T520" s="49"/>
      <c r="U520" s="49"/>
      <c r="V520" s="45"/>
      <c r="W520" s="45"/>
      <c r="X520" s="45"/>
      <c r="Y520" s="45">
        <v>0</v>
      </c>
      <c r="Z520" s="45">
        <v>0</v>
      </c>
      <c r="AA520" s="45"/>
      <c r="AB520" s="45"/>
      <c r="AC520" s="45"/>
      <c r="AD520" s="52"/>
      <c r="AE520" s="52">
        <v>0</v>
      </c>
      <c r="AF520" s="48">
        <v>0</v>
      </c>
      <c r="AG520" s="52">
        <v>0</v>
      </c>
      <c r="AH520" s="52">
        <v>0</v>
      </c>
      <c r="AI520" s="88"/>
      <c r="AJ520" s="48">
        <v>0</v>
      </c>
      <c r="AK520" s="52">
        <v>0</v>
      </c>
      <c r="AL520" s="52">
        <v>0</v>
      </c>
      <c r="AM520" s="48">
        <v>0</v>
      </c>
      <c r="AN520" s="52">
        <v>0</v>
      </c>
      <c r="AO520" s="52">
        <v>0</v>
      </c>
      <c r="AP520" s="48">
        <v>0</v>
      </c>
      <c r="AQ520" s="88">
        <v>0</v>
      </c>
      <c r="AR520" s="88">
        <v>0</v>
      </c>
      <c r="AS520" s="88"/>
      <c r="AT520" s="88"/>
      <c r="AU520" s="29">
        <v>0</v>
      </c>
      <c r="AV520" s="29"/>
      <c r="AW520" s="88"/>
      <c r="AX520" s="88">
        <v>0</v>
      </c>
      <c r="AY520" s="29"/>
      <c r="AZ520" s="88">
        <v>0</v>
      </c>
      <c r="BA520" s="88">
        <v>0</v>
      </c>
      <c r="BB520" s="48"/>
      <c r="BC520" s="45">
        <v>0</v>
      </c>
      <c r="BD520" s="45">
        <v>0</v>
      </c>
      <c r="BE520" s="45">
        <v>0</v>
      </c>
      <c r="BF520" s="45">
        <v>0</v>
      </c>
      <c r="BG520" s="45"/>
      <c r="BH520" s="46"/>
      <c r="BI520" s="45">
        <v>0</v>
      </c>
      <c r="BJ520" s="45">
        <v>0</v>
      </c>
      <c r="BK520" s="45"/>
      <c r="BL520" s="45"/>
      <c r="BM520" s="45">
        <v>0</v>
      </c>
      <c r="BN520" s="45"/>
      <c r="BO520" s="45"/>
      <c r="BP520" s="46"/>
      <c r="BQ520" s="29"/>
      <c r="BR520" s="88">
        <v>0</v>
      </c>
      <c r="BS520" s="88">
        <v>0</v>
      </c>
    </row>
    <row r="521" spans="2:71" x14ac:dyDescent="0.2">
      <c r="B521" s="56" t="s">
        <v>64</v>
      </c>
      <c r="C521" s="45"/>
      <c r="D521" s="45">
        <v>0</v>
      </c>
      <c r="E521" s="52">
        <v>0</v>
      </c>
      <c r="F521" s="52">
        <v>0</v>
      </c>
      <c r="G521" s="48"/>
      <c r="H521" s="45">
        <v>0</v>
      </c>
      <c r="I521" s="45">
        <v>0</v>
      </c>
      <c r="J521" s="45">
        <v>0</v>
      </c>
      <c r="K521" s="45"/>
      <c r="L521" s="45"/>
      <c r="M521" s="52">
        <v>0</v>
      </c>
      <c r="N521" s="52">
        <v>0</v>
      </c>
      <c r="O521" s="45">
        <v>0</v>
      </c>
      <c r="P521" s="45"/>
      <c r="Q521" s="52"/>
      <c r="R521" s="52">
        <v>0</v>
      </c>
      <c r="S521" s="61">
        <v>0</v>
      </c>
      <c r="T521" s="49"/>
      <c r="U521" s="49"/>
      <c r="V521" s="45"/>
      <c r="W521" s="45"/>
      <c r="X521" s="45"/>
      <c r="Y521" s="45">
        <v>0</v>
      </c>
      <c r="Z521" s="45">
        <v>0</v>
      </c>
      <c r="AA521" s="45"/>
      <c r="AB521" s="45"/>
      <c r="AC521" s="45"/>
      <c r="AD521" s="52"/>
      <c r="AE521" s="52">
        <v>0</v>
      </c>
      <c r="AF521" s="48">
        <v>0</v>
      </c>
      <c r="AG521" s="52">
        <v>0</v>
      </c>
      <c r="AH521" s="52">
        <v>0</v>
      </c>
      <c r="AI521" s="88"/>
      <c r="AJ521" s="48">
        <v>0</v>
      </c>
      <c r="AK521" s="52">
        <v>0</v>
      </c>
      <c r="AL521" s="52">
        <v>0</v>
      </c>
      <c r="AM521" s="48">
        <v>0</v>
      </c>
      <c r="AN521" s="52">
        <v>0</v>
      </c>
      <c r="AO521" s="52">
        <v>0</v>
      </c>
      <c r="AP521" s="48">
        <v>0</v>
      </c>
      <c r="AQ521" s="88">
        <v>0</v>
      </c>
      <c r="AR521" s="88">
        <v>0</v>
      </c>
      <c r="AS521" s="88"/>
      <c r="AT521" s="88"/>
      <c r="AU521" s="29">
        <v>0</v>
      </c>
      <c r="AV521" s="29"/>
      <c r="AW521" s="88"/>
      <c r="AX521" s="88">
        <v>0</v>
      </c>
      <c r="AY521" s="29"/>
      <c r="AZ521" s="88">
        <v>0</v>
      </c>
      <c r="BA521" s="88">
        <v>0</v>
      </c>
      <c r="BB521" s="48"/>
      <c r="BC521" s="45">
        <v>0</v>
      </c>
      <c r="BD521" s="45">
        <v>0</v>
      </c>
      <c r="BE521" s="45">
        <v>0</v>
      </c>
      <c r="BF521" s="45">
        <v>0</v>
      </c>
      <c r="BG521" s="45"/>
      <c r="BH521" s="46"/>
      <c r="BI521" s="45">
        <v>0</v>
      </c>
      <c r="BJ521" s="45">
        <v>0</v>
      </c>
      <c r="BK521" s="45"/>
      <c r="BL521" s="45"/>
      <c r="BM521" s="45">
        <v>0</v>
      </c>
      <c r="BN521" s="45"/>
      <c r="BO521" s="45"/>
      <c r="BP521" s="46"/>
      <c r="BQ521" s="29"/>
      <c r="BR521" s="88">
        <v>0</v>
      </c>
      <c r="BS521" s="88">
        <v>0</v>
      </c>
    </row>
    <row r="522" spans="2:71" x14ac:dyDescent="0.2">
      <c r="B522" s="56" t="s">
        <v>64</v>
      </c>
      <c r="C522" s="45"/>
      <c r="D522" s="45">
        <v>0</v>
      </c>
      <c r="E522" s="52">
        <v>0</v>
      </c>
      <c r="F522" s="52">
        <v>0</v>
      </c>
      <c r="G522" s="48"/>
      <c r="H522" s="45">
        <v>0</v>
      </c>
      <c r="I522" s="45">
        <v>0</v>
      </c>
      <c r="J522" s="45">
        <v>0</v>
      </c>
      <c r="K522" s="45"/>
      <c r="L522" s="45"/>
      <c r="M522" s="52">
        <v>0</v>
      </c>
      <c r="N522" s="52">
        <v>0</v>
      </c>
      <c r="O522" s="45">
        <v>0</v>
      </c>
      <c r="P522" s="45"/>
      <c r="Q522" s="52"/>
      <c r="R522" s="52">
        <v>0</v>
      </c>
      <c r="S522" s="61">
        <v>0</v>
      </c>
      <c r="T522" s="49"/>
      <c r="U522" s="49"/>
      <c r="V522" s="45"/>
      <c r="W522" s="45"/>
      <c r="X522" s="45"/>
      <c r="Y522" s="45">
        <v>0</v>
      </c>
      <c r="Z522" s="45">
        <v>0</v>
      </c>
      <c r="AA522" s="45"/>
      <c r="AB522" s="45"/>
      <c r="AC522" s="45"/>
      <c r="AD522" s="52"/>
      <c r="AE522" s="52">
        <v>0</v>
      </c>
      <c r="AF522" s="48">
        <v>0</v>
      </c>
      <c r="AG522" s="52">
        <v>0</v>
      </c>
      <c r="AH522" s="52">
        <v>0</v>
      </c>
      <c r="AI522" s="88"/>
      <c r="AJ522" s="48">
        <v>0</v>
      </c>
      <c r="AK522" s="52">
        <v>0</v>
      </c>
      <c r="AL522" s="52">
        <v>0</v>
      </c>
      <c r="AM522" s="48">
        <v>0</v>
      </c>
      <c r="AN522" s="52">
        <v>0</v>
      </c>
      <c r="AO522" s="52">
        <v>0</v>
      </c>
      <c r="AP522" s="48">
        <v>0</v>
      </c>
      <c r="AQ522" s="88">
        <v>0</v>
      </c>
      <c r="AR522" s="88">
        <v>0</v>
      </c>
      <c r="AS522" s="88"/>
      <c r="AT522" s="88"/>
      <c r="AU522" s="29">
        <v>0</v>
      </c>
      <c r="AV522" s="29"/>
      <c r="AW522" s="88"/>
      <c r="AX522" s="88">
        <v>0</v>
      </c>
      <c r="AY522" s="29"/>
      <c r="AZ522" s="88">
        <v>0</v>
      </c>
      <c r="BA522" s="88">
        <v>0</v>
      </c>
      <c r="BB522" s="48"/>
      <c r="BC522" s="45">
        <v>0</v>
      </c>
      <c r="BD522" s="45">
        <v>0</v>
      </c>
      <c r="BE522" s="45">
        <v>0</v>
      </c>
      <c r="BF522" s="45">
        <v>0</v>
      </c>
      <c r="BG522" s="45"/>
      <c r="BH522" s="46"/>
      <c r="BI522" s="45">
        <v>0</v>
      </c>
      <c r="BJ522" s="45">
        <v>0</v>
      </c>
      <c r="BK522" s="45"/>
      <c r="BL522" s="45"/>
      <c r="BM522" s="45">
        <v>0</v>
      </c>
      <c r="BN522" s="45"/>
      <c r="BO522" s="45"/>
      <c r="BP522" s="46"/>
      <c r="BQ522" s="29"/>
      <c r="BR522" s="88">
        <v>0</v>
      </c>
      <c r="BS522" s="88">
        <v>0</v>
      </c>
    </row>
    <row r="523" spans="2:71" x14ac:dyDescent="0.2">
      <c r="B523" s="56" t="s">
        <v>64</v>
      </c>
      <c r="C523" s="45"/>
      <c r="D523" s="45">
        <v>0</v>
      </c>
      <c r="E523" s="52">
        <v>0</v>
      </c>
      <c r="F523" s="52">
        <v>0</v>
      </c>
      <c r="G523" s="48"/>
      <c r="H523" s="45">
        <v>0</v>
      </c>
      <c r="I523" s="45">
        <v>0</v>
      </c>
      <c r="J523" s="45">
        <v>0</v>
      </c>
      <c r="K523" s="45"/>
      <c r="L523" s="45"/>
      <c r="M523" s="52">
        <v>0</v>
      </c>
      <c r="N523" s="52">
        <v>0</v>
      </c>
      <c r="O523" s="45">
        <v>0</v>
      </c>
      <c r="P523" s="45"/>
      <c r="Q523" s="52"/>
      <c r="R523" s="52">
        <v>0</v>
      </c>
      <c r="S523" s="61">
        <v>0</v>
      </c>
      <c r="T523" s="49"/>
      <c r="U523" s="49"/>
      <c r="V523" s="45"/>
      <c r="W523" s="45"/>
      <c r="X523" s="45"/>
      <c r="Y523" s="45">
        <v>0</v>
      </c>
      <c r="Z523" s="45">
        <v>0</v>
      </c>
      <c r="AA523" s="45"/>
      <c r="AB523" s="45"/>
      <c r="AC523" s="45"/>
      <c r="AD523" s="52"/>
      <c r="AE523" s="52">
        <v>0</v>
      </c>
      <c r="AF523" s="48">
        <v>0</v>
      </c>
      <c r="AG523" s="52">
        <v>0</v>
      </c>
      <c r="AH523" s="52">
        <v>0</v>
      </c>
      <c r="AI523" s="88"/>
      <c r="AJ523" s="48">
        <v>0</v>
      </c>
      <c r="AK523" s="52">
        <v>0</v>
      </c>
      <c r="AL523" s="52">
        <v>0</v>
      </c>
      <c r="AM523" s="48">
        <v>0</v>
      </c>
      <c r="AN523" s="52">
        <v>0</v>
      </c>
      <c r="AO523" s="52">
        <v>0</v>
      </c>
      <c r="AP523" s="48">
        <v>0</v>
      </c>
      <c r="AQ523" s="88">
        <v>0</v>
      </c>
      <c r="AR523" s="88">
        <v>0</v>
      </c>
      <c r="AS523" s="88"/>
      <c r="AT523" s="88"/>
      <c r="AU523" s="29">
        <v>0</v>
      </c>
      <c r="AV523" s="29"/>
      <c r="AW523" s="88"/>
      <c r="AX523" s="88">
        <v>0</v>
      </c>
      <c r="AY523" s="29"/>
      <c r="AZ523" s="88">
        <v>0</v>
      </c>
      <c r="BA523" s="88">
        <v>0</v>
      </c>
      <c r="BB523" s="48"/>
      <c r="BC523" s="45">
        <v>0</v>
      </c>
      <c r="BD523" s="45">
        <v>0</v>
      </c>
      <c r="BE523" s="45">
        <v>0</v>
      </c>
      <c r="BF523" s="45">
        <v>0</v>
      </c>
      <c r="BG523" s="45"/>
      <c r="BH523" s="46"/>
      <c r="BI523" s="45">
        <v>0</v>
      </c>
      <c r="BJ523" s="45">
        <v>0</v>
      </c>
      <c r="BK523" s="45"/>
      <c r="BL523" s="45"/>
      <c r="BM523" s="45">
        <v>0</v>
      </c>
      <c r="BN523" s="45"/>
      <c r="BO523" s="45"/>
      <c r="BP523" s="46"/>
      <c r="BQ523" s="29"/>
      <c r="BR523" s="88">
        <v>0</v>
      </c>
      <c r="BS523" s="88">
        <v>0</v>
      </c>
    </row>
    <row r="524" spans="2:71" x14ac:dyDescent="0.2">
      <c r="B524" s="56" t="s">
        <v>64</v>
      </c>
      <c r="C524" s="45"/>
      <c r="D524" s="45">
        <v>0</v>
      </c>
      <c r="E524" s="52">
        <v>0</v>
      </c>
      <c r="F524" s="52">
        <v>0</v>
      </c>
      <c r="G524" s="48"/>
      <c r="H524" s="45">
        <v>0</v>
      </c>
      <c r="I524" s="45">
        <v>0</v>
      </c>
      <c r="J524" s="45">
        <v>0</v>
      </c>
      <c r="K524" s="45"/>
      <c r="L524" s="45"/>
      <c r="M524" s="52">
        <v>0</v>
      </c>
      <c r="N524" s="52">
        <v>0</v>
      </c>
      <c r="O524" s="45">
        <v>0</v>
      </c>
      <c r="P524" s="45"/>
      <c r="Q524" s="52"/>
      <c r="R524" s="52">
        <v>0</v>
      </c>
      <c r="S524" s="61">
        <v>0</v>
      </c>
      <c r="T524" s="49"/>
      <c r="U524" s="49"/>
      <c r="V524" s="45"/>
      <c r="W524" s="45"/>
      <c r="X524" s="45"/>
      <c r="Y524" s="45">
        <v>0</v>
      </c>
      <c r="Z524" s="45">
        <v>0</v>
      </c>
      <c r="AA524" s="45"/>
      <c r="AB524" s="45"/>
      <c r="AC524" s="45"/>
      <c r="AD524" s="52"/>
      <c r="AE524" s="52">
        <v>0</v>
      </c>
      <c r="AF524" s="48">
        <v>0</v>
      </c>
      <c r="AG524" s="52">
        <v>0</v>
      </c>
      <c r="AH524" s="52">
        <v>0</v>
      </c>
      <c r="AI524" s="88"/>
      <c r="AJ524" s="48">
        <v>0</v>
      </c>
      <c r="AK524" s="52">
        <v>0</v>
      </c>
      <c r="AL524" s="52">
        <v>0</v>
      </c>
      <c r="AM524" s="48">
        <v>0</v>
      </c>
      <c r="AN524" s="52">
        <v>0</v>
      </c>
      <c r="AO524" s="52">
        <v>0</v>
      </c>
      <c r="AP524" s="48">
        <v>0</v>
      </c>
      <c r="AQ524" s="88">
        <v>0</v>
      </c>
      <c r="AR524" s="88">
        <v>0</v>
      </c>
      <c r="AS524" s="88"/>
      <c r="AT524" s="88"/>
      <c r="AU524" s="29">
        <v>0</v>
      </c>
      <c r="AV524" s="29"/>
      <c r="AW524" s="88"/>
      <c r="AX524" s="88">
        <v>0</v>
      </c>
      <c r="AY524" s="29"/>
      <c r="AZ524" s="88">
        <v>0</v>
      </c>
      <c r="BA524" s="88">
        <v>0</v>
      </c>
      <c r="BB524" s="48"/>
      <c r="BC524" s="45">
        <v>0</v>
      </c>
      <c r="BD524" s="45">
        <v>0</v>
      </c>
      <c r="BE524" s="45">
        <v>0</v>
      </c>
      <c r="BF524" s="45">
        <v>0</v>
      </c>
      <c r="BG524" s="45"/>
      <c r="BH524" s="46"/>
      <c r="BI524" s="45">
        <v>0</v>
      </c>
      <c r="BJ524" s="45">
        <v>0</v>
      </c>
      <c r="BK524" s="45"/>
      <c r="BL524" s="45"/>
      <c r="BM524" s="45">
        <v>0</v>
      </c>
      <c r="BN524" s="45"/>
      <c r="BO524" s="45"/>
      <c r="BP524" s="46"/>
      <c r="BQ524" s="29"/>
      <c r="BR524" s="88">
        <v>0</v>
      </c>
      <c r="BS524" s="88">
        <v>0</v>
      </c>
    </row>
    <row r="525" spans="2:71" x14ac:dyDescent="0.2">
      <c r="B525" s="56" t="s">
        <v>64</v>
      </c>
      <c r="C525" s="45"/>
      <c r="D525" s="45">
        <v>0</v>
      </c>
      <c r="E525" s="52">
        <v>0</v>
      </c>
      <c r="F525" s="52">
        <v>0</v>
      </c>
      <c r="G525" s="48"/>
      <c r="H525" s="45">
        <v>0</v>
      </c>
      <c r="I525" s="45">
        <v>0</v>
      </c>
      <c r="J525" s="45">
        <v>0</v>
      </c>
      <c r="K525" s="45"/>
      <c r="L525" s="45"/>
      <c r="M525" s="52">
        <v>0</v>
      </c>
      <c r="N525" s="52">
        <v>0</v>
      </c>
      <c r="O525" s="45">
        <v>0</v>
      </c>
      <c r="P525" s="45"/>
      <c r="Q525" s="52"/>
      <c r="R525" s="52">
        <v>0</v>
      </c>
      <c r="S525" s="61">
        <v>0</v>
      </c>
      <c r="T525" s="49"/>
      <c r="U525" s="49"/>
      <c r="V525" s="45"/>
      <c r="W525" s="45"/>
      <c r="X525" s="45"/>
      <c r="Y525" s="45">
        <v>0</v>
      </c>
      <c r="Z525" s="45">
        <v>0</v>
      </c>
      <c r="AA525" s="45"/>
      <c r="AB525" s="45"/>
      <c r="AC525" s="45"/>
      <c r="AD525" s="52"/>
      <c r="AE525" s="52">
        <v>0</v>
      </c>
      <c r="AF525" s="48">
        <v>0</v>
      </c>
      <c r="AG525" s="52">
        <v>0</v>
      </c>
      <c r="AH525" s="52">
        <v>0</v>
      </c>
      <c r="AI525" s="88"/>
      <c r="AJ525" s="48">
        <v>0</v>
      </c>
      <c r="AK525" s="52">
        <v>0</v>
      </c>
      <c r="AL525" s="52">
        <v>0</v>
      </c>
      <c r="AM525" s="48">
        <v>0</v>
      </c>
      <c r="AN525" s="52">
        <v>0</v>
      </c>
      <c r="AO525" s="52">
        <v>0</v>
      </c>
      <c r="AP525" s="48">
        <v>0</v>
      </c>
      <c r="AQ525" s="88">
        <v>0</v>
      </c>
      <c r="AR525" s="88">
        <v>0</v>
      </c>
      <c r="AS525" s="88"/>
      <c r="AT525" s="88"/>
      <c r="AU525" s="29">
        <v>0</v>
      </c>
      <c r="AV525" s="29"/>
      <c r="AW525" s="88"/>
      <c r="AX525" s="88">
        <v>0</v>
      </c>
      <c r="AY525" s="29"/>
      <c r="AZ525" s="88">
        <v>0</v>
      </c>
      <c r="BA525" s="88">
        <v>0</v>
      </c>
      <c r="BB525" s="48"/>
      <c r="BC525" s="45">
        <v>0</v>
      </c>
      <c r="BD525" s="45">
        <v>0</v>
      </c>
      <c r="BE525" s="45">
        <v>0</v>
      </c>
      <c r="BF525" s="45">
        <v>0</v>
      </c>
      <c r="BG525" s="45"/>
      <c r="BH525" s="46"/>
      <c r="BI525" s="45">
        <v>0</v>
      </c>
      <c r="BJ525" s="45">
        <v>0</v>
      </c>
      <c r="BK525" s="45"/>
      <c r="BL525" s="45"/>
      <c r="BM525" s="45">
        <v>0</v>
      </c>
      <c r="BN525" s="45"/>
      <c r="BO525" s="45"/>
      <c r="BP525" s="46"/>
      <c r="BQ525" s="29"/>
      <c r="BR525" s="88">
        <v>0</v>
      </c>
      <c r="BS525" s="88">
        <v>0</v>
      </c>
    </row>
    <row r="526" spans="2:71" x14ac:dyDescent="0.2">
      <c r="B526" s="56" t="s">
        <v>64</v>
      </c>
      <c r="C526" s="45"/>
      <c r="D526" s="45">
        <v>0</v>
      </c>
      <c r="E526" s="52">
        <v>0</v>
      </c>
      <c r="F526" s="52">
        <v>0</v>
      </c>
      <c r="G526" s="48"/>
      <c r="H526" s="45">
        <v>0</v>
      </c>
      <c r="I526" s="45">
        <v>0</v>
      </c>
      <c r="J526" s="45">
        <v>0</v>
      </c>
      <c r="K526" s="45"/>
      <c r="L526" s="45"/>
      <c r="M526" s="52">
        <v>0</v>
      </c>
      <c r="N526" s="52">
        <v>0</v>
      </c>
      <c r="O526" s="45">
        <v>0</v>
      </c>
      <c r="P526" s="45"/>
      <c r="Q526" s="52"/>
      <c r="R526" s="52">
        <v>0</v>
      </c>
      <c r="S526" s="61">
        <v>0</v>
      </c>
      <c r="T526" s="49"/>
      <c r="U526" s="49"/>
      <c r="V526" s="45"/>
      <c r="W526" s="45"/>
      <c r="X526" s="45"/>
      <c r="Y526" s="45">
        <v>0</v>
      </c>
      <c r="Z526" s="45">
        <v>0</v>
      </c>
      <c r="AA526" s="45"/>
      <c r="AB526" s="45"/>
      <c r="AC526" s="45"/>
      <c r="AD526" s="52"/>
      <c r="AE526" s="52">
        <v>0</v>
      </c>
      <c r="AF526" s="48">
        <v>0</v>
      </c>
      <c r="AG526" s="52">
        <v>0</v>
      </c>
      <c r="AH526" s="52">
        <v>0</v>
      </c>
      <c r="AI526" s="88"/>
      <c r="AJ526" s="48">
        <v>0</v>
      </c>
      <c r="AK526" s="52">
        <v>0</v>
      </c>
      <c r="AL526" s="52">
        <v>0</v>
      </c>
      <c r="AM526" s="48">
        <v>0</v>
      </c>
      <c r="AN526" s="52">
        <v>0</v>
      </c>
      <c r="AO526" s="52">
        <v>0</v>
      </c>
      <c r="AP526" s="48">
        <v>0</v>
      </c>
      <c r="AQ526" s="88">
        <v>0</v>
      </c>
      <c r="AR526" s="88">
        <v>0</v>
      </c>
      <c r="AS526" s="88"/>
      <c r="AT526" s="88"/>
      <c r="AU526" s="29">
        <v>0</v>
      </c>
      <c r="AV526" s="29"/>
      <c r="AW526" s="88"/>
      <c r="AX526" s="88">
        <v>0</v>
      </c>
      <c r="AY526" s="29"/>
      <c r="AZ526" s="88">
        <v>0</v>
      </c>
      <c r="BA526" s="88">
        <v>0</v>
      </c>
      <c r="BB526" s="48"/>
      <c r="BC526" s="45">
        <v>0</v>
      </c>
      <c r="BD526" s="45">
        <v>0</v>
      </c>
      <c r="BE526" s="45">
        <v>0</v>
      </c>
      <c r="BF526" s="45">
        <v>0</v>
      </c>
      <c r="BG526" s="45"/>
      <c r="BH526" s="46"/>
      <c r="BI526" s="45">
        <v>0</v>
      </c>
      <c r="BJ526" s="45">
        <v>0</v>
      </c>
      <c r="BK526" s="45"/>
      <c r="BL526" s="45"/>
      <c r="BM526" s="45">
        <v>0</v>
      </c>
      <c r="BN526" s="45"/>
      <c r="BO526" s="45"/>
      <c r="BP526" s="46"/>
      <c r="BQ526" s="29"/>
      <c r="BR526" s="88">
        <v>0</v>
      </c>
      <c r="BS526" s="88">
        <v>0</v>
      </c>
    </row>
    <row r="527" spans="2:71" x14ac:dyDescent="0.2">
      <c r="B527" s="56" t="s">
        <v>64</v>
      </c>
      <c r="C527" s="45"/>
      <c r="D527" s="45">
        <v>0</v>
      </c>
      <c r="E527" s="52">
        <v>0</v>
      </c>
      <c r="F527" s="52">
        <v>0</v>
      </c>
      <c r="G527" s="48"/>
      <c r="H527" s="45">
        <v>0</v>
      </c>
      <c r="I527" s="45">
        <v>0</v>
      </c>
      <c r="J527" s="45">
        <v>0</v>
      </c>
      <c r="K527" s="45"/>
      <c r="L527" s="45"/>
      <c r="M527" s="52">
        <v>0</v>
      </c>
      <c r="N527" s="52">
        <v>0</v>
      </c>
      <c r="O527" s="45">
        <v>0</v>
      </c>
      <c r="P527" s="45"/>
      <c r="Q527" s="52"/>
      <c r="R527" s="52">
        <v>0</v>
      </c>
      <c r="S527" s="61">
        <v>0</v>
      </c>
      <c r="T527" s="49"/>
      <c r="U527" s="49"/>
      <c r="V527" s="45"/>
      <c r="W527" s="45"/>
      <c r="X527" s="45"/>
      <c r="Y527" s="45">
        <v>0</v>
      </c>
      <c r="Z527" s="45">
        <v>0</v>
      </c>
      <c r="AA527" s="45"/>
      <c r="AB527" s="45"/>
      <c r="AC527" s="45"/>
      <c r="AD527" s="52"/>
      <c r="AE527" s="52">
        <v>0</v>
      </c>
      <c r="AF527" s="48">
        <v>0</v>
      </c>
      <c r="AG527" s="52">
        <v>0</v>
      </c>
      <c r="AH527" s="52">
        <v>0</v>
      </c>
      <c r="AI527" s="88"/>
      <c r="AJ527" s="48">
        <v>0</v>
      </c>
      <c r="AK527" s="52">
        <v>0</v>
      </c>
      <c r="AL527" s="52">
        <v>0</v>
      </c>
      <c r="AM527" s="48">
        <v>0</v>
      </c>
      <c r="AN527" s="52">
        <v>0</v>
      </c>
      <c r="AO527" s="52">
        <v>0</v>
      </c>
      <c r="AP527" s="48">
        <v>0</v>
      </c>
      <c r="AQ527" s="88">
        <v>0</v>
      </c>
      <c r="AR527" s="88">
        <v>0</v>
      </c>
      <c r="AS527" s="88"/>
      <c r="AT527" s="88"/>
      <c r="AU527" s="29">
        <v>0</v>
      </c>
      <c r="AV527" s="29"/>
      <c r="AW527" s="88"/>
      <c r="AX527" s="88">
        <v>0</v>
      </c>
      <c r="AY527" s="29"/>
      <c r="AZ527" s="88">
        <v>0</v>
      </c>
      <c r="BA527" s="88">
        <v>0</v>
      </c>
      <c r="BB527" s="48"/>
      <c r="BC527" s="45">
        <v>0</v>
      </c>
      <c r="BD527" s="45">
        <v>0</v>
      </c>
      <c r="BE527" s="45">
        <v>0</v>
      </c>
      <c r="BF527" s="45">
        <v>0</v>
      </c>
      <c r="BG527" s="45"/>
      <c r="BH527" s="46"/>
      <c r="BI527" s="45">
        <v>0</v>
      </c>
      <c r="BJ527" s="45">
        <v>0</v>
      </c>
      <c r="BK527" s="45"/>
      <c r="BL527" s="45"/>
      <c r="BM527" s="45">
        <v>0</v>
      </c>
      <c r="BN527" s="45"/>
      <c r="BO527" s="45"/>
      <c r="BP527" s="46"/>
      <c r="BQ527" s="29"/>
      <c r="BR527" s="88">
        <v>0</v>
      </c>
      <c r="BS527" s="88">
        <v>0</v>
      </c>
    </row>
    <row r="528" spans="2:71" x14ac:dyDescent="0.2">
      <c r="B528" s="56" t="s">
        <v>64</v>
      </c>
      <c r="C528" s="45"/>
      <c r="D528" s="45">
        <v>0</v>
      </c>
      <c r="E528" s="52">
        <v>0</v>
      </c>
      <c r="F528" s="52">
        <v>0</v>
      </c>
      <c r="G528" s="48"/>
      <c r="H528" s="45">
        <v>0</v>
      </c>
      <c r="I528" s="45">
        <v>0</v>
      </c>
      <c r="J528" s="45">
        <v>0</v>
      </c>
      <c r="K528" s="45"/>
      <c r="L528" s="45"/>
      <c r="M528" s="52">
        <v>0</v>
      </c>
      <c r="N528" s="52">
        <v>0</v>
      </c>
      <c r="O528" s="45">
        <v>0</v>
      </c>
      <c r="P528" s="45"/>
      <c r="Q528" s="52"/>
      <c r="R528" s="52">
        <v>0</v>
      </c>
      <c r="S528" s="61">
        <v>0</v>
      </c>
      <c r="T528" s="49"/>
      <c r="U528" s="49"/>
      <c r="V528" s="45"/>
      <c r="W528" s="45"/>
      <c r="X528" s="45"/>
      <c r="Y528" s="45">
        <v>0</v>
      </c>
      <c r="Z528" s="45">
        <v>0</v>
      </c>
      <c r="AA528" s="45"/>
      <c r="AB528" s="45"/>
      <c r="AC528" s="45"/>
      <c r="AD528" s="52"/>
      <c r="AE528" s="52">
        <v>0</v>
      </c>
      <c r="AF528" s="48">
        <v>0</v>
      </c>
      <c r="AG528" s="52">
        <v>0</v>
      </c>
      <c r="AH528" s="52">
        <v>0</v>
      </c>
      <c r="AI528" s="88"/>
      <c r="AJ528" s="48">
        <v>0</v>
      </c>
      <c r="AK528" s="52">
        <v>0</v>
      </c>
      <c r="AL528" s="52">
        <v>0</v>
      </c>
      <c r="AM528" s="48">
        <v>0</v>
      </c>
      <c r="AN528" s="52">
        <v>0</v>
      </c>
      <c r="AO528" s="52">
        <v>0</v>
      </c>
      <c r="AP528" s="48">
        <v>0</v>
      </c>
      <c r="AQ528" s="88">
        <v>0</v>
      </c>
      <c r="AR528" s="88">
        <v>0</v>
      </c>
      <c r="AS528" s="88"/>
      <c r="AT528" s="88"/>
      <c r="AU528" s="29">
        <v>0</v>
      </c>
      <c r="AV528" s="29"/>
      <c r="AW528" s="88"/>
      <c r="AX528" s="88">
        <v>0</v>
      </c>
      <c r="AY528" s="29"/>
      <c r="AZ528" s="88">
        <v>0</v>
      </c>
      <c r="BA528" s="88">
        <v>0</v>
      </c>
      <c r="BB528" s="48"/>
      <c r="BC528" s="45">
        <v>0</v>
      </c>
      <c r="BD528" s="45">
        <v>0</v>
      </c>
      <c r="BE528" s="45">
        <v>0</v>
      </c>
      <c r="BF528" s="45">
        <v>0</v>
      </c>
      <c r="BG528" s="45"/>
      <c r="BH528" s="46"/>
      <c r="BI528" s="45">
        <v>0</v>
      </c>
      <c r="BJ528" s="45">
        <v>0</v>
      </c>
      <c r="BK528" s="45"/>
      <c r="BL528" s="45"/>
      <c r="BM528" s="45">
        <v>0</v>
      </c>
      <c r="BN528" s="45"/>
      <c r="BO528" s="45"/>
      <c r="BP528" s="46"/>
      <c r="BQ528" s="29"/>
      <c r="BR528" s="88">
        <v>0</v>
      </c>
      <c r="BS528" s="88">
        <v>0</v>
      </c>
    </row>
    <row r="529" spans="2:71" x14ac:dyDescent="0.2">
      <c r="B529" s="56" t="s">
        <v>64</v>
      </c>
      <c r="C529" s="45"/>
      <c r="D529" s="45">
        <v>0</v>
      </c>
      <c r="E529" s="52">
        <v>0</v>
      </c>
      <c r="F529" s="52">
        <v>0</v>
      </c>
      <c r="G529" s="48"/>
      <c r="H529" s="45">
        <v>0</v>
      </c>
      <c r="I529" s="45">
        <v>0</v>
      </c>
      <c r="J529" s="45">
        <v>0</v>
      </c>
      <c r="K529" s="45"/>
      <c r="L529" s="45"/>
      <c r="M529" s="52">
        <v>0</v>
      </c>
      <c r="N529" s="52">
        <v>0</v>
      </c>
      <c r="O529" s="45">
        <v>0</v>
      </c>
      <c r="P529" s="45"/>
      <c r="Q529" s="52"/>
      <c r="R529" s="52">
        <v>0</v>
      </c>
      <c r="S529" s="61">
        <v>0</v>
      </c>
      <c r="T529" s="49"/>
      <c r="U529" s="49"/>
      <c r="V529" s="45"/>
      <c r="W529" s="45"/>
      <c r="X529" s="45"/>
      <c r="Y529" s="45">
        <v>0</v>
      </c>
      <c r="Z529" s="45">
        <v>0</v>
      </c>
      <c r="AA529" s="45"/>
      <c r="AB529" s="45"/>
      <c r="AC529" s="45"/>
      <c r="AD529" s="52"/>
      <c r="AE529" s="52">
        <v>0</v>
      </c>
      <c r="AF529" s="48">
        <v>0</v>
      </c>
      <c r="AG529" s="52">
        <v>0</v>
      </c>
      <c r="AH529" s="52">
        <v>0</v>
      </c>
      <c r="AI529" s="88"/>
      <c r="AJ529" s="48">
        <v>0</v>
      </c>
      <c r="AK529" s="52">
        <v>0</v>
      </c>
      <c r="AL529" s="52">
        <v>0</v>
      </c>
      <c r="AM529" s="48">
        <v>0</v>
      </c>
      <c r="AN529" s="52">
        <v>0</v>
      </c>
      <c r="AO529" s="52">
        <v>0</v>
      </c>
      <c r="AP529" s="48">
        <v>0</v>
      </c>
      <c r="AQ529" s="88">
        <v>0</v>
      </c>
      <c r="AR529" s="88">
        <v>0</v>
      </c>
      <c r="AS529" s="88"/>
      <c r="AT529" s="88"/>
      <c r="AU529" s="29">
        <v>0</v>
      </c>
      <c r="AV529" s="29"/>
      <c r="AW529" s="88"/>
      <c r="AX529" s="88">
        <v>0</v>
      </c>
      <c r="AY529" s="29"/>
      <c r="AZ529" s="88">
        <v>0</v>
      </c>
      <c r="BA529" s="88">
        <v>0</v>
      </c>
      <c r="BB529" s="48"/>
      <c r="BC529" s="45">
        <v>0</v>
      </c>
      <c r="BD529" s="45">
        <v>0</v>
      </c>
      <c r="BE529" s="45">
        <v>0</v>
      </c>
      <c r="BF529" s="45">
        <v>0</v>
      </c>
      <c r="BG529" s="45"/>
      <c r="BH529" s="46"/>
      <c r="BI529" s="45">
        <v>0</v>
      </c>
      <c r="BJ529" s="45">
        <v>0</v>
      </c>
      <c r="BK529" s="45"/>
      <c r="BL529" s="45"/>
      <c r="BM529" s="45">
        <v>0</v>
      </c>
      <c r="BN529" s="45"/>
      <c r="BO529" s="45"/>
      <c r="BP529" s="46"/>
      <c r="BQ529" s="29"/>
      <c r="BR529" s="88">
        <v>0</v>
      </c>
      <c r="BS529" s="88">
        <v>0</v>
      </c>
    </row>
    <row r="530" spans="2:71" x14ac:dyDescent="0.2">
      <c r="B530" s="56" t="s">
        <v>64</v>
      </c>
      <c r="C530" s="45"/>
      <c r="D530" s="45">
        <v>0</v>
      </c>
      <c r="E530" s="52">
        <v>0</v>
      </c>
      <c r="F530" s="52">
        <v>0</v>
      </c>
      <c r="G530" s="48"/>
      <c r="H530" s="45">
        <v>0</v>
      </c>
      <c r="I530" s="45">
        <v>0</v>
      </c>
      <c r="J530" s="45">
        <v>0</v>
      </c>
      <c r="K530" s="45"/>
      <c r="L530" s="45"/>
      <c r="M530" s="52">
        <v>0</v>
      </c>
      <c r="N530" s="52">
        <v>0</v>
      </c>
      <c r="O530" s="45">
        <v>0</v>
      </c>
      <c r="P530" s="45"/>
      <c r="Q530" s="52"/>
      <c r="R530" s="52">
        <v>0</v>
      </c>
      <c r="S530" s="61">
        <v>0</v>
      </c>
      <c r="T530" s="49"/>
      <c r="U530" s="49"/>
      <c r="V530" s="45"/>
      <c r="W530" s="45"/>
      <c r="X530" s="45"/>
      <c r="Y530" s="45">
        <v>0</v>
      </c>
      <c r="Z530" s="45">
        <v>0</v>
      </c>
      <c r="AA530" s="45"/>
      <c r="AB530" s="45"/>
      <c r="AC530" s="45"/>
      <c r="AD530" s="52"/>
      <c r="AE530" s="52">
        <v>0</v>
      </c>
      <c r="AF530" s="48">
        <v>0</v>
      </c>
      <c r="AG530" s="52">
        <v>0</v>
      </c>
      <c r="AH530" s="52">
        <v>0</v>
      </c>
      <c r="AI530" s="88"/>
      <c r="AJ530" s="48">
        <v>0</v>
      </c>
      <c r="AK530" s="52">
        <v>0</v>
      </c>
      <c r="AL530" s="52">
        <v>0</v>
      </c>
      <c r="AM530" s="48">
        <v>0</v>
      </c>
      <c r="AN530" s="52">
        <v>0</v>
      </c>
      <c r="AO530" s="52">
        <v>0</v>
      </c>
      <c r="AP530" s="48">
        <v>0</v>
      </c>
      <c r="AQ530" s="88">
        <v>0</v>
      </c>
      <c r="AR530" s="88">
        <v>0</v>
      </c>
      <c r="AS530" s="88"/>
      <c r="AT530" s="88"/>
      <c r="AU530" s="29">
        <v>0</v>
      </c>
      <c r="AV530" s="29"/>
      <c r="AW530" s="88"/>
      <c r="AX530" s="88">
        <v>0</v>
      </c>
      <c r="AY530" s="29"/>
      <c r="AZ530" s="88">
        <v>0</v>
      </c>
      <c r="BA530" s="88">
        <v>0</v>
      </c>
      <c r="BB530" s="48"/>
      <c r="BC530" s="45">
        <v>0</v>
      </c>
      <c r="BD530" s="45">
        <v>0</v>
      </c>
      <c r="BE530" s="45">
        <v>0</v>
      </c>
      <c r="BF530" s="45">
        <v>0</v>
      </c>
      <c r="BG530" s="45"/>
      <c r="BH530" s="46"/>
      <c r="BI530" s="45">
        <v>0</v>
      </c>
      <c r="BJ530" s="45">
        <v>0</v>
      </c>
      <c r="BK530" s="45"/>
      <c r="BL530" s="45"/>
      <c r="BM530" s="45">
        <v>0</v>
      </c>
      <c r="BN530" s="45"/>
      <c r="BO530" s="45"/>
      <c r="BP530" s="46"/>
      <c r="BQ530" s="29"/>
      <c r="BR530" s="88">
        <v>0</v>
      </c>
      <c r="BS530" s="88">
        <v>0</v>
      </c>
    </row>
    <row r="531" spans="2:71" x14ac:dyDescent="0.2">
      <c r="B531" s="56" t="s">
        <v>64</v>
      </c>
      <c r="C531" s="45"/>
      <c r="D531" s="45">
        <v>0</v>
      </c>
      <c r="E531" s="52">
        <v>0</v>
      </c>
      <c r="F531" s="52">
        <v>0</v>
      </c>
      <c r="G531" s="48"/>
      <c r="H531" s="45">
        <v>0</v>
      </c>
      <c r="I531" s="45">
        <v>0</v>
      </c>
      <c r="J531" s="45">
        <v>0</v>
      </c>
      <c r="K531" s="45"/>
      <c r="L531" s="45"/>
      <c r="M531" s="52">
        <v>0</v>
      </c>
      <c r="N531" s="52">
        <v>0</v>
      </c>
      <c r="O531" s="45">
        <v>0</v>
      </c>
      <c r="P531" s="45"/>
      <c r="Q531" s="52"/>
      <c r="R531" s="52">
        <v>0</v>
      </c>
      <c r="S531" s="61">
        <v>0</v>
      </c>
      <c r="T531" s="49"/>
      <c r="U531" s="49"/>
      <c r="V531" s="45"/>
      <c r="W531" s="45"/>
      <c r="X531" s="45"/>
      <c r="Y531" s="45">
        <v>0</v>
      </c>
      <c r="Z531" s="45">
        <v>0</v>
      </c>
      <c r="AA531" s="45"/>
      <c r="AB531" s="45"/>
      <c r="AC531" s="45"/>
      <c r="AD531" s="52"/>
      <c r="AE531" s="52">
        <v>0</v>
      </c>
      <c r="AF531" s="48">
        <v>0</v>
      </c>
      <c r="AG531" s="52">
        <v>0</v>
      </c>
      <c r="AH531" s="52">
        <v>0</v>
      </c>
      <c r="AI531" s="88"/>
      <c r="AJ531" s="48">
        <v>0</v>
      </c>
      <c r="AK531" s="52">
        <v>0</v>
      </c>
      <c r="AL531" s="52">
        <v>0</v>
      </c>
      <c r="AM531" s="48">
        <v>0</v>
      </c>
      <c r="AN531" s="52">
        <v>0</v>
      </c>
      <c r="AO531" s="52">
        <v>0</v>
      </c>
      <c r="AP531" s="48">
        <v>0</v>
      </c>
      <c r="AQ531" s="88">
        <v>0</v>
      </c>
      <c r="AR531" s="88">
        <v>0</v>
      </c>
      <c r="AS531" s="88"/>
      <c r="AT531" s="88"/>
      <c r="AU531" s="29">
        <v>0</v>
      </c>
      <c r="AV531" s="29"/>
      <c r="AW531" s="88"/>
      <c r="AX531" s="88">
        <v>0</v>
      </c>
      <c r="AY531" s="29"/>
      <c r="AZ531" s="88">
        <v>0</v>
      </c>
      <c r="BA531" s="88">
        <v>0</v>
      </c>
      <c r="BB531" s="48"/>
      <c r="BC531" s="45">
        <v>0</v>
      </c>
      <c r="BD531" s="45">
        <v>0</v>
      </c>
      <c r="BE531" s="45">
        <v>0</v>
      </c>
      <c r="BF531" s="45">
        <v>0</v>
      </c>
      <c r="BG531" s="45"/>
      <c r="BH531" s="46"/>
      <c r="BI531" s="45">
        <v>0</v>
      </c>
      <c r="BJ531" s="45">
        <v>0</v>
      </c>
      <c r="BK531" s="45"/>
      <c r="BL531" s="45"/>
      <c r="BM531" s="45">
        <v>0</v>
      </c>
      <c r="BN531" s="45"/>
      <c r="BO531" s="45"/>
      <c r="BP531" s="46"/>
      <c r="BQ531" s="29"/>
      <c r="BR531" s="88">
        <v>0</v>
      </c>
      <c r="BS531" s="88">
        <v>0</v>
      </c>
    </row>
    <row r="532" spans="2:71" x14ac:dyDescent="0.2">
      <c r="B532" s="56" t="s">
        <v>64</v>
      </c>
      <c r="C532" s="45"/>
      <c r="D532" s="45">
        <v>0</v>
      </c>
      <c r="E532" s="52">
        <v>0</v>
      </c>
      <c r="F532" s="52">
        <v>0</v>
      </c>
      <c r="G532" s="48"/>
      <c r="H532" s="45">
        <v>0</v>
      </c>
      <c r="I532" s="45">
        <v>0</v>
      </c>
      <c r="J532" s="45">
        <v>0</v>
      </c>
      <c r="K532" s="45"/>
      <c r="L532" s="45"/>
      <c r="M532" s="52">
        <v>0</v>
      </c>
      <c r="N532" s="52">
        <v>0</v>
      </c>
      <c r="O532" s="45">
        <v>0</v>
      </c>
      <c r="P532" s="45"/>
      <c r="Q532" s="52"/>
      <c r="R532" s="52">
        <v>0</v>
      </c>
      <c r="S532" s="61">
        <v>0</v>
      </c>
      <c r="T532" s="49"/>
      <c r="U532" s="49"/>
      <c r="V532" s="45"/>
      <c r="W532" s="45"/>
      <c r="X532" s="45"/>
      <c r="Y532" s="45">
        <v>0</v>
      </c>
      <c r="Z532" s="45">
        <v>0</v>
      </c>
      <c r="AA532" s="45"/>
      <c r="AB532" s="45"/>
      <c r="AC532" s="45"/>
      <c r="AD532" s="52"/>
      <c r="AE532" s="52">
        <v>0</v>
      </c>
      <c r="AF532" s="48">
        <v>0</v>
      </c>
      <c r="AG532" s="52">
        <v>0</v>
      </c>
      <c r="AH532" s="52">
        <v>0</v>
      </c>
      <c r="AI532" s="88"/>
      <c r="AJ532" s="48">
        <v>0</v>
      </c>
      <c r="AK532" s="52">
        <v>0</v>
      </c>
      <c r="AL532" s="52">
        <v>0</v>
      </c>
      <c r="AM532" s="48">
        <v>0</v>
      </c>
      <c r="AN532" s="52">
        <v>0</v>
      </c>
      <c r="AO532" s="52">
        <v>0</v>
      </c>
      <c r="AP532" s="48">
        <v>0</v>
      </c>
      <c r="AQ532" s="88">
        <v>0</v>
      </c>
      <c r="AR532" s="88">
        <v>0</v>
      </c>
      <c r="AS532" s="88"/>
      <c r="AT532" s="88"/>
      <c r="AU532" s="29">
        <v>0</v>
      </c>
      <c r="AV532" s="29"/>
      <c r="AW532" s="88"/>
      <c r="AX532" s="88">
        <v>0</v>
      </c>
      <c r="AY532" s="29"/>
      <c r="AZ532" s="88">
        <v>0</v>
      </c>
      <c r="BA532" s="88">
        <v>0</v>
      </c>
      <c r="BB532" s="48"/>
      <c r="BC532" s="45">
        <v>0</v>
      </c>
      <c r="BD532" s="45">
        <v>0</v>
      </c>
      <c r="BE532" s="45">
        <v>0</v>
      </c>
      <c r="BF532" s="45">
        <v>0</v>
      </c>
      <c r="BG532" s="45"/>
      <c r="BH532" s="46"/>
      <c r="BI532" s="45">
        <v>0</v>
      </c>
      <c r="BJ532" s="45">
        <v>0</v>
      </c>
      <c r="BK532" s="45"/>
      <c r="BL532" s="45"/>
      <c r="BM532" s="45">
        <v>0</v>
      </c>
      <c r="BN532" s="45"/>
      <c r="BO532" s="45"/>
      <c r="BP532" s="46"/>
      <c r="BQ532" s="29"/>
      <c r="BR532" s="88">
        <v>0</v>
      </c>
      <c r="BS532" s="88">
        <v>0</v>
      </c>
    </row>
    <row r="533" spans="2:71" x14ac:dyDescent="0.2">
      <c r="B533" s="56" t="s">
        <v>64</v>
      </c>
      <c r="C533" s="45"/>
      <c r="D533" s="45">
        <v>0</v>
      </c>
      <c r="E533" s="52">
        <v>0</v>
      </c>
      <c r="F533" s="52">
        <v>0</v>
      </c>
      <c r="G533" s="48"/>
      <c r="H533" s="45">
        <v>0</v>
      </c>
      <c r="I533" s="45">
        <v>0</v>
      </c>
      <c r="J533" s="45">
        <v>0</v>
      </c>
      <c r="K533" s="45"/>
      <c r="L533" s="45"/>
      <c r="M533" s="52">
        <v>0</v>
      </c>
      <c r="N533" s="52">
        <v>0</v>
      </c>
      <c r="O533" s="45">
        <v>0</v>
      </c>
      <c r="P533" s="45"/>
      <c r="Q533" s="52"/>
      <c r="R533" s="52">
        <v>0</v>
      </c>
      <c r="S533" s="61">
        <v>0</v>
      </c>
      <c r="T533" s="49"/>
      <c r="U533" s="49"/>
      <c r="V533" s="45"/>
      <c r="W533" s="45"/>
      <c r="X533" s="45"/>
      <c r="Y533" s="45">
        <v>0</v>
      </c>
      <c r="Z533" s="45">
        <v>0</v>
      </c>
      <c r="AA533" s="45"/>
      <c r="AB533" s="45"/>
      <c r="AC533" s="45"/>
      <c r="AD533" s="52"/>
      <c r="AE533" s="52">
        <v>0</v>
      </c>
      <c r="AF533" s="48">
        <v>0</v>
      </c>
      <c r="AG533" s="52">
        <v>0</v>
      </c>
      <c r="AH533" s="52">
        <v>0</v>
      </c>
      <c r="AI533" s="88"/>
      <c r="AJ533" s="48">
        <v>0</v>
      </c>
      <c r="AK533" s="52">
        <v>0</v>
      </c>
      <c r="AL533" s="52">
        <v>0</v>
      </c>
      <c r="AM533" s="48">
        <v>0</v>
      </c>
      <c r="AN533" s="52">
        <v>0</v>
      </c>
      <c r="AO533" s="52">
        <v>0</v>
      </c>
      <c r="AP533" s="48">
        <v>0</v>
      </c>
      <c r="AQ533" s="88">
        <v>0</v>
      </c>
      <c r="AR533" s="88">
        <v>0</v>
      </c>
      <c r="AS533" s="88"/>
      <c r="AT533" s="88"/>
      <c r="AU533" s="29">
        <v>0</v>
      </c>
      <c r="AV533" s="29"/>
      <c r="AW533" s="88"/>
      <c r="AX533" s="88">
        <v>0</v>
      </c>
      <c r="AY533" s="29"/>
      <c r="AZ533" s="88">
        <v>0</v>
      </c>
      <c r="BA533" s="88">
        <v>0</v>
      </c>
      <c r="BB533" s="48"/>
      <c r="BC533" s="45">
        <v>0</v>
      </c>
      <c r="BD533" s="45">
        <v>0</v>
      </c>
      <c r="BE533" s="45">
        <v>0</v>
      </c>
      <c r="BF533" s="45">
        <v>0</v>
      </c>
      <c r="BG533" s="45"/>
      <c r="BH533" s="46"/>
      <c r="BI533" s="45">
        <v>0</v>
      </c>
      <c r="BJ533" s="45">
        <v>0</v>
      </c>
      <c r="BK533" s="45"/>
      <c r="BL533" s="45"/>
      <c r="BM533" s="45">
        <v>0</v>
      </c>
      <c r="BN533" s="45"/>
      <c r="BO533" s="45"/>
      <c r="BP533" s="46"/>
      <c r="BQ533" s="29"/>
      <c r="BR533" s="88">
        <v>0</v>
      </c>
      <c r="BS533" s="88">
        <v>0</v>
      </c>
    </row>
    <row r="534" spans="2:71" x14ac:dyDescent="0.2">
      <c r="B534" s="56" t="s">
        <v>64</v>
      </c>
      <c r="C534" s="45"/>
      <c r="D534" s="45">
        <v>0</v>
      </c>
      <c r="E534" s="52">
        <v>0</v>
      </c>
      <c r="F534" s="52">
        <v>0</v>
      </c>
      <c r="G534" s="48"/>
      <c r="H534" s="45">
        <v>0</v>
      </c>
      <c r="I534" s="45">
        <v>0</v>
      </c>
      <c r="J534" s="45">
        <v>0</v>
      </c>
      <c r="K534" s="45"/>
      <c r="L534" s="45"/>
      <c r="M534" s="52">
        <v>0</v>
      </c>
      <c r="N534" s="52">
        <v>0</v>
      </c>
      <c r="O534" s="45">
        <v>0</v>
      </c>
      <c r="P534" s="45"/>
      <c r="Q534" s="52"/>
      <c r="R534" s="52">
        <v>0</v>
      </c>
      <c r="S534" s="61">
        <v>0</v>
      </c>
      <c r="T534" s="49"/>
      <c r="U534" s="49"/>
      <c r="V534" s="45"/>
      <c r="W534" s="45"/>
      <c r="X534" s="45"/>
      <c r="Y534" s="45">
        <v>0</v>
      </c>
      <c r="Z534" s="45">
        <v>0</v>
      </c>
      <c r="AA534" s="45"/>
      <c r="AB534" s="45"/>
      <c r="AC534" s="45"/>
      <c r="AD534" s="52"/>
      <c r="AE534" s="52">
        <v>0</v>
      </c>
      <c r="AF534" s="48">
        <v>0</v>
      </c>
      <c r="AG534" s="52">
        <v>0</v>
      </c>
      <c r="AH534" s="52">
        <v>0</v>
      </c>
      <c r="AI534" s="88"/>
      <c r="AJ534" s="48">
        <v>0</v>
      </c>
      <c r="AK534" s="52">
        <v>0</v>
      </c>
      <c r="AL534" s="52">
        <v>0</v>
      </c>
      <c r="AM534" s="48">
        <v>0</v>
      </c>
      <c r="AN534" s="52">
        <v>0</v>
      </c>
      <c r="AO534" s="52">
        <v>0</v>
      </c>
      <c r="AP534" s="48">
        <v>0</v>
      </c>
      <c r="AQ534" s="88">
        <v>0</v>
      </c>
      <c r="AR534" s="88">
        <v>0</v>
      </c>
      <c r="AS534" s="88"/>
      <c r="AT534" s="88"/>
      <c r="AU534" s="29">
        <v>0</v>
      </c>
      <c r="AV534" s="29"/>
      <c r="AW534" s="88"/>
      <c r="AX534" s="88">
        <v>0</v>
      </c>
      <c r="AY534" s="29"/>
      <c r="AZ534" s="88">
        <v>0</v>
      </c>
      <c r="BA534" s="88">
        <v>0</v>
      </c>
      <c r="BB534" s="48"/>
      <c r="BC534" s="45">
        <v>0</v>
      </c>
      <c r="BD534" s="45">
        <v>0</v>
      </c>
      <c r="BE534" s="45">
        <v>0</v>
      </c>
      <c r="BF534" s="45">
        <v>0</v>
      </c>
      <c r="BG534" s="45"/>
      <c r="BH534" s="46"/>
      <c r="BI534" s="45">
        <v>0</v>
      </c>
      <c r="BJ534" s="45">
        <v>0</v>
      </c>
      <c r="BK534" s="45"/>
      <c r="BL534" s="45"/>
      <c r="BM534" s="45">
        <v>0</v>
      </c>
      <c r="BN534" s="45"/>
      <c r="BO534" s="45"/>
      <c r="BP534" s="46"/>
      <c r="BQ534" s="29"/>
      <c r="BR534" s="88">
        <v>0</v>
      </c>
      <c r="BS534" s="88">
        <v>0</v>
      </c>
    </row>
    <row r="535" spans="2:71" x14ac:dyDescent="0.2">
      <c r="B535" s="56" t="s">
        <v>64</v>
      </c>
      <c r="C535" s="45"/>
      <c r="D535" s="45">
        <v>0</v>
      </c>
      <c r="E535" s="52">
        <v>0</v>
      </c>
      <c r="F535" s="52">
        <v>0</v>
      </c>
      <c r="G535" s="48"/>
      <c r="H535" s="45">
        <v>0</v>
      </c>
      <c r="I535" s="45">
        <v>0</v>
      </c>
      <c r="J535" s="45">
        <v>0</v>
      </c>
      <c r="K535" s="45"/>
      <c r="L535" s="45"/>
      <c r="M535" s="52">
        <v>0</v>
      </c>
      <c r="N535" s="52">
        <v>0</v>
      </c>
      <c r="O535" s="45">
        <v>0</v>
      </c>
      <c r="P535" s="45"/>
      <c r="Q535" s="52"/>
      <c r="R535" s="52">
        <v>0</v>
      </c>
      <c r="S535" s="61">
        <v>0</v>
      </c>
      <c r="T535" s="49"/>
      <c r="U535" s="49"/>
      <c r="V535" s="45"/>
      <c r="W535" s="45"/>
      <c r="X535" s="45"/>
      <c r="Y535" s="45">
        <v>0</v>
      </c>
      <c r="Z535" s="45">
        <v>0</v>
      </c>
      <c r="AA535" s="45"/>
      <c r="AB535" s="45"/>
      <c r="AC535" s="45"/>
      <c r="AD535" s="52"/>
      <c r="AE535" s="52">
        <v>0</v>
      </c>
      <c r="AF535" s="48">
        <v>0</v>
      </c>
      <c r="AG535" s="52">
        <v>0</v>
      </c>
      <c r="AH535" s="52">
        <v>0</v>
      </c>
      <c r="AI535" s="88"/>
      <c r="AJ535" s="48">
        <v>0</v>
      </c>
      <c r="AK535" s="52">
        <v>0</v>
      </c>
      <c r="AL535" s="52">
        <v>0</v>
      </c>
      <c r="AM535" s="48">
        <v>0</v>
      </c>
      <c r="AN535" s="52">
        <v>0</v>
      </c>
      <c r="AO535" s="52">
        <v>0</v>
      </c>
      <c r="AP535" s="48">
        <v>0</v>
      </c>
      <c r="AQ535" s="88">
        <v>0</v>
      </c>
      <c r="AR535" s="88">
        <v>0</v>
      </c>
      <c r="AS535" s="88"/>
      <c r="AT535" s="88"/>
      <c r="AU535" s="29">
        <v>0</v>
      </c>
      <c r="AV535" s="29"/>
      <c r="AW535" s="88"/>
      <c r="AX535" s="88">
        <v>0</v>
      </c>
      <c r="AY535" s="29"/>
      <c r="AZ535" s="88">
        <v>0</v>
      </c>
      <c r="BA535" s="88">
        <v>0</v>
      </c>
      <c r="BB535" s="48"/>
      <c r="BC535" s="45">
        <v>0</v>
      </c>
      <c r="BD535" s="45">
        <v>0</v>
      </c>
      <c r="BE535" s="45">
        <v>0</v>
      </c>
      <c r="BF535" s="45">
        <v>0</v>
      </c>
      <c r="BG535" s="45"/>
      <c r="BH535" s="46"/>
      <c r="BI535" s="45">
        <v>0</v>
      </c>
      <c r="BJ535" s="45">
        <v>0</v>
      </c>
      <c r="BK535" s="45"/>
      <c r="BL535" s="45"/>
      <c r="BM535" s="45">
        <v>0</v>
      </c>
      <c r="BN535" s="45"/>
      <c r="BO535" s="45"/>
      <c r="BP535" s="46"/>
      <c r="BQ535" s="29"/>
      <c r="BR535" s="88">
        <v>0</v>
      </c>
      <c r="BS535" s="88">
        <v>0</v>
      </c>
    </row>
    <row r="536" spans="2:71" x14ac:dyDescent="0.2">
      <c r="B536" s="56" t="s">
        <v>64</v>
      </c>
      <c r="C536" s="45"/>
      <c r="D536" s="45">
        <v>0</v>
      </c>
      <c r="E536" s="52">
        <v>0</v>
      </c>
      <c r="F536" s="52">
        <v>0</v>
      </c>
      <c r="G536" s="48"/>
      <c r="H536" s="45">
        <v>0</v>
      </c>
      <c r="I536" s="45">
        <v>0</v>
      </c>
      <c r="J536" s="45">
        <v>0</v>
      </c>
      <c r="K536" s="45"/>
      <c r="L536" s="45"/>
      <c r="M536" s="52">
        <v>0</v>
      </c>
      <c r="N536" s="52">
        <v>0</v>
      </c>
      <c r="O536" s="45">
        <v>0</v>
      </c>
      <c r="P536" s="45"/>
      <c r="Q536" s="52"/>
      <c r="R536" s="52">
        <v>0</v>
      </c>
      <c r="S536" s="61">
        <v>0</v>
      </c>
      <c r="T536" s="49"/>
      <c r="U536" s="49"/>
      <c r="V536" s="45"/>
      <c r="W536" s="45"/>
      <c r="X536" s="45"/>
      <c r="Y536" s="45">
        <v>0</v>
      </c>
      <c r="Z536" s="45">
        <v>0</v>
      </c>
      <c r="AA536" s="45"/>
      <c r="AB536" s="45"/>
      <c r="AC536" s="45"/>
      <c r="AD536" s="52"/>
      <c r="AE536" s="52">
        <v>0</v>
      </c>
      <c r="AF536" s="48">
        <v>0</v>
      </c>
      <c r="AG536" s="52">
        <v>0</v>
      </c>
      <c r="AH536" s="52">
        <v>0</v>
      </c>
      <c r="AI536" s="88"/>
      <c r="AJ536" s="48">
        <v>0</v>
      </c>
      <c r="AK536" s="52">
        <v>0</v>
      </c>
      <c r="AL536" s="52">
        <v>0</v>
      </c>
      <c r="AM536" s="48">
        <v>0</v>
      </c>
      <c r="AN536" s="52">
        <v>0</v>
      </c>
      <c r="AO536" s="52">
        <v>0</v>
      </c>
      <c r="AP536" s="48">
        <v>0</v>
      </c>
      <c r="AQ536" s="88">
        <v>0</v>
      </c>
      <c r="AR536" s="88">
        <v>0</v>
      </c>
      <c r="AS536" s="88"/>
      <c r="AT536" s="88"/>
      <c r="AU536" s="29">
        <v>0</v>
      </c>
      <c r="AV536" s="29"/>
      <c r="AW536" s="88"/>
      <c r="AX536" s="88">
        <v>0</v>
      </c>
      <c r="AY536" s="29"/>
      <c r="AZ536" s="88">
        <v>0</v>
      </c>
      <c r="BA536" s="88">
        <v>0</v>
      </c>
      <c r="BB536" s="48"/>
      <c r="BC536" s="45">
        <v>0</v>
      </c>
      <c r="BD536" s="45">
        <v>0</v>
      </c>
      <c r="BE536" s="45">
        <v>0</v>
      </c>
      <c r="BF536" s="45">
        <v>0</v>
      </c>
      <c r="BG536" s="45"/>
      <c r="BH536" s="46"/>
      <c r="BI536" s="45">
        <v>0</v>
      </c>
      <c r="BJ536" s="45">
        <v>0</v>
      </c>
      <c r="BK536" s="45"/>
      <c r="BL536" s="45"/>
      <c r="BM536" s="45">
        <v>0</v>
      </c>
      <c r="BN536" s="45"/>
      <c r="BO536" s="45"/>
      <c r="BP536" s="46"/>
      <c r="BQ536" s="29"/>
      <c r="BR536" s="88">
        <v>0</v>
      </c>
      <c r="BS536" s="88">
        <v>0</v>
      </c>
    </row>
    <row r="537" spans="2:71" x14ac:dyDescent="0.2">
      <c r="B537" s="56" t="s">
        <v>64</v>
      </c>
      <c r="C537" s="45"/>
      <c r="D537" s="45">
        <v>0</v>
      </c>
      <c r="E537" s="52">
        <v>0</v>
      </c>
      <c r="F537" s="52">
        <v>0</v>
      </c>
      <c r="G537" s="48"/>
      <c r="H537" s="45">
        <v>0</v>
      </c>
      <c r="I537" s="45">
        <v>0</v>
      </c>
      <c r="J537" s="45">
        <v>0</v>
      </c>
      <c r="K537" s="45"/>
      <c r="L537" s="45"/>
      <c r="M537" s="52">
        <v>0</v>
      </c>
      <c r="N537" s="52">
        <v>0</v>
      </c>
      <c r="O537" s="45">
        <v>0</v>
      </c>
      <c r="P537" s="45"/>
      <c r="Q537" s="52"/>
      <c r="R537" s="52">
        <v>0</v>
      </c>
      <c r="S537" s="61">
        <v>0</v>
      </c>
      <c r="T537" s="49"/>
      <c r="U537" s="49"/>
      <c r="V537" s="45"/>
      <c r="W537" s="45"/>
      <c r="X537" s="45"/>
      <c r="Y537" s="45">
        <v>0</v>
      </c>
      <c r="Z537" s="45">
        <v>0</v>
      </c>
      <c r="AA537" s="45"/>
      <c r="AB537" s="45"/>
      <c r="AC537" s="45"/>
      <c r="AD537" s="52"/>
      <c r="AE537" s="52">
        <v>0</v>
      </c>
      <c r="AF537" s="48">
        <v>0</v>
      </c>
      <c r="AG537" s="52">
        <v>0</v>
      </c>
      <c r="AH537" s="52">
        <v>0</v>
      </c>
      <c r="AI537" s="88"/>
      <c r="AJ537" s="48">
        <v>0</v>
      </c>
      <c r="AK537" s="52">
        <v>0</v>
      </c>
      <c r="AL537" s="52">
        <v>0</v>
      </c>
      <c r="AM537" s="48">
        <v>0</v>
      </c>
      <c r="AN537" s="52">
        <v>0</v>
      </c>
      <c r="AO537" s="52">
        <v>0</v>
      </c>
      <c r="AP537" s="48">
        <v>0</v>
      </c>
      <c r="AQ537" s="88">
        <v>0</v>
      </c>
      <c r="AR537" s="88">
        <v>0</v>
      </c>
      <c r="AS537" s="88"/>
      <c r="AT537" s="88"/>
      <c r="AU537" s="29">
        <v>0</v>
      </c>
      <c r="AV537" s="29"/>
      <c r="AW537" s="88"/>
      <c r="AX537" s="88">
        <v>0</v>
      </c>
      <c r="AY537" s="29"/>
      <c r="AZ537" s="88">
        <v>0</v>
      </c>
      <c r="BA537" s="88">
        <v>0</v>
      </c>
      <c r="BB537" s="48"/>
      <c r="BC537" s="45">
        <v>0</v>
      </c>
      <c r="BD537" s="45">
        <v>0</v>
      </c>
      <c r="BE537" s="45">
        <v>0</v>
      </c>
      <c r="BF537" s="45">
        <v>0</v>
      </c>
      <c r="BG537" s="45"/>
      <c r="BH537" s="46"/>
      <c r="BI537" s="45">
        <v>0</v>
      </c>
      <c r="BJ537" s="45">
        <v>0</v>
      </c>
      <c r="BK537" s="45"/>
      <c r="BL537" s="45"/>
      <c r="BM537" s="45">
        <v>0</v>
      </c>
      <c r="BN537" s="45"/>
      <c r="BO537" s="45"/>
      <c r="BP537" s="46"/>
      <c r="BQ537" s="29"/>
      <c r="BR537" s="88">
        <v>0</v>
      </c>
      <c r="BS537" s="88">
        <v>0</v>
      </c>
    </row>
    <row r="538" spans="2:71" x14ac:dyDescent="0.2">
      <c r="B538" s="56" t="s">
        <v>64</v>
      </c>
      <c r="C538" s="45"/>
      <c r="D538" s="45">
        <v>0</v>
      </c>
      <c r="E538" s="52">
        <v>0</v>
      </c>
      <c r="F538" s="52">
        <v>0</v>
      </c>
      <c r="G538" s="48"/>
      <c r="H538" s="45">
        <v>0</v>
      </c>
      <c r="I538" s="45">
        <v>0</v>
      </c>
      <c r="J538" s="45">
        <v>0</v>
      </c>
      <c r="K538" s="45"/>
      <c r="L538" s="45"/>
      <c r="M538" s="52">
        <v>0</v>
      </c>
      <c r="N538" s="52">
        <v>0</v>
      </c>
      <c r="O538" s="45">
        <v>0</v>
      </c>
      <c r="P538" s="45"/>
      <c r="Q538" s="52"/>
      <c r="R538" s="52">
        <v>0</v>
      </c>
      <c r="S538" s="61">
        <v>0</v>
      </c>
      <c r="T538" s="49"/>
      <c r="U538" s="49"/>
      <c r="V538" s="45"/>
      <c r="W538" s="45"/>
      <c r="X538" s="45"/>
      <c r="Y538" s="45">
        <v>0</v>
      </c>
      <c r="Z538" s="45">
        <v>0</v>
      </c>
      <c r="AA538" s="45"/>
      <c r="AB538" s="45"/>
      <c r="AC538" s="45"/>
      <c r="AD538" s="52"/>
      <c r="AE538" s="52">
        <v>0</v>
      </c>
      <c r="AF538" s="48">
        <v>0</v>
      </c>
      <c r="AG538" s="52">
        <v>0</v>
      </c>
      <c r="AH538" s="52">
        <v>0</v>
      </c>
      <c r="AI538" s="88"/>
      <c r="AJ538" s="48">
        <v>0</v>
      </c>
      <c r="AK538" s="52">
        <v>0</v>
      </c>
      <c r="AL538" s="52">
        <v>0</v>
      </c>
      <c r="AM538" s="48">
        <v>0</v>
      </c>
      <c r="AN538" s="52">
        <v>0</v>
      </c>
      <c r="AO538" s="52">
        <v>0</v>
      </c>
      <c r="AP538" s="48">
        <v>0</v>
      </c>
      <c r="AQ538" s="88">
        <v>0</v>
      </c>
      <c r="AR538" s="88">
        <v>0</v>
      </c>
      <c r="AS538" s="88"/>
      <c r="AT538" s="88"/>
      <c r="AU538" s="29">
        <v>0</v>
      </c>
      <c r="AV538" s="29"/>
      <c r="AW538" s="88"/>
      <c r="AX538" s="88">
        <v>0</v>
      </c>
      <c r="AY538" s="29"/>
      <c r="AZ538" s="88">
        <v>0</v>
      </c>
      <c r="BA538" s="88">
        <v>0</v>
      </c>
      <c r="BB538" s="48"/>
      <c r="BC538" s="45">
        <v>0</v>
      </c>
      <c r="BD538" s="45">
        <v>0</v>
      </c>
      <c r="BE538" s="45">
        <v>0</v>
      </c>
      <c r="BF538" s="45">
        <v>0</v>
      </c>
      <c r="BG538" s="45"/>
      <c r="BH538" s="46"/>
      <c r="BI538" s="45">
        <v>0</v>
      </c>
      <c r="BJ538" s="45">
        <v>0</v>
      </c>
      <c r="BK538" s="45"/>
      <c r="BL538" s="45"/>
      <c r="BM538" s="45">
        <v>0</v>
      </c>
      <c r="BN538" s="45"/>
      <c r="BO538" s="45"/>
      <c r="BP538" s="46"/>
      <c r="BQ538" s="29"/>
      <c r="BR538" s="88">
        <v>0</v>
      </c>
      <c r="BS538" s="88">
        <v>0</v>
      </c>
    </row>
    <row r="539" spans="2:71" x14ac:dyDescent="0.2">
      <c r="B539" s="56" t="s">
        <v>64</v>
      </c>
      <c r="C539" s="45"/>
      <c r="D539" s="45">
        <v>0</v>
      </c>
      <c r="E539" s="52">
        <v>0</v>
      </c>
      <c r="F539" s="52">
        <v>0</v>
      </c>
      <c r="G539" s="48"/>
      <c r="H539" s="45">
        <v>0</v>
      </c>
      <c r="I539" s="45">
        <v>0</v>
      </c>
      <c r="J539" s="45">
        <v>0</v>
      </c>
      <c r="K539" s="45"/>
      <c r="L539" s="45"/>
      <c r="M539" s="52">
        <v>0</v>
      </c>
      <c r="N539" s="52">
        <v>0</v>
      </c>
      <c r="O539" s="45">
        <v>0</v>
      </c>
      <c r="P539" s="45"/>
      <c r="Q539" s="52"/>
      <c r="R539" s="52">
        <v>0</v>
      </c>
      <c r="S539" s="61">
        <v>0</v>
      </c>
      <c r="T539" s="49"/>
      <c r="U539" s="49"/>
      <c r="V539" s="45"/>
      <c r="W539" s="45"/>
      <c r="X539" s="45"/>
      <c r="Y539" s="45">
        <v>0</v>
      </c>
      <c r="Z539" s="45">
        <v>0</v>
      </c>
      <c r="AA539" s="45"/>
      <c r="AB539" s="45"/>
      <c r="AC539" s="45"/>
      <c r="AD539" s="52"/>
      <c r="AE539" s="52">
        <v>0</v>
      </c>
      <c r="AF539" s="48">
        <v>0</v>
      </c>
      <c r="AG539" s="52">
        <v>0</v>
      </c>
      <c r="AH539" s="52">
        <v>0</v>
      </c>
      <c r="AI539" s="88"/>
      <c r="AJ539" s="48">
        <v>0</v>
      </c>
      <c r="AK539" s="52">
        <v>0</v>
      </c>
      <c r="AL539" s="52">
        <v>0</v>
      </c>
      <c r="AM539" s="48">
        <v>0</v>
      </c>
      <c r="AN539" s="52">
        <v>0</v>
      </c>
      <c r="AO539" s="52">
        <v>0</v>
      </c>
      <c r="AP539" s="48">
        <v>0</v>
      </c>
      <c r="AQ539" s="88">
        <v>0</v>
      </c>
      <c r="AR539" s="88">
        <v>0</v>
      </c>
      <c r="AS539" s="88"/>
      <c r="AT539" s="88"/>
      <c r="AU539" s="29">
        <v>0</v>
      </c>
      <c r="AV539" s="29"/>
      <c r="AW539" s="88"/>
      <c r="AX539" s="88">
        <v>0</v>
      </c>
      <c r="AY539" s="29"/>
      <c r="AZ539" s="88">
        <v>0</v>
      </c>
      <c r="BA539" s="88">
        <v>0</v>
      </c>
      <c r="BB539" s="48"/>
      <c r="BC539" s="45">
        <v>0</v>
      </c>
      <c r="BD539" s="45">
        <v>0</v>
      </c>
      <c r="BE539" s="45">
        <v>0</v>
      </c>
      <c r="BF539" s="45">
        <v>0</v>
      </c>
      <c r="BG539" s="45"/>
      <c r="BH539" s="46"/>
      <c r="BI539" s="45">
        <v>0</v>
      </c>
      <c r="BJ539" s="45">
        <v>0</v>
      </c>
      <c r="BK539" s="45"/>
      <c r="BL539" s="45"/>
      <c r="BM539" s="45">
        <v>0</v>
      </c>
      <c r="BN539" s="45"/>
      <c r="BO539" s="45"/>
      <c r="BP539" s="46"/>
      <c r="BQ539" s="29"/>
      <c r="BR539" s="88">
        <v>0</v>
      </c>
      <c r="BS539" s="88">
        <v>0</v>
      </c>
    </row>
    <row r="540" spans="2:71" x14ac:dyDescent="0.2">
      <c r="B540" s="56" t="s">
        <v>64</v>
      </c>
      <c r="C540" s="45"/>
      <c r="D540" s="45">
        <v>0</v>
      </c>
      <c r="E540" s="52">
        <v>0</v>
      </c>
      <c r="F540" s="52">
        <v>0</v>
      </c>
      <c r="G540" s="48"/>
      <c r="H540" s="45">
        <v>0</v>
      </c>
      <c r="I540" s="45">
        <v>0</v>
      </c>
      <c r="J540" s="45">
        <v>0</v>
      </c>
      <c r="K540" s="45"/>
      <c r="L540" s="45"/>
      <c r="M540" s="52">
        <v>0</v>
      </c>
      <c r="N540" s="52">
        <v>0</v>
      </c>
      <c r="O540" s="45">
        <v>0</v>
      </c>
      <c r="P540" s="45"/>
      <c r="Q540" s="52"/>
      <c r="R540" s="52">
        <v>0</v>
      </c>
      <c r="S540" s="61">
        <v>0</v>
      </c>
      <c r="T540" s="49"/>
      <c r="U540" s="49"/>
      <c r="V540" s="45"/>
      <c r="W540" s="45"/>
      <c r="X540" s="45"/>
      <c r="Y540" s="45">
        <v>0</v>
      </c>
      <c r="Z540" s="45">
        <v>0</v>
      </c>
      <c r="AA540" s="45"/>
      <c r="AB540" s="45"/>
      <c r="AC540" s="45"/>
      <c r="AD540" s="52"/>
      <c r="AE540" s="52">
        <v>0</v>
      </c>
      <c r="AF540" s="48">
        <v>0</v>
      </c>
      <c r="AG540" s="52">
        <v>0</v>
      </c>
      <c r="AH540" s="52">
        <v>0</v>
      </c>
      <c r="AI540" s="88"/>
      <c r="AJ540" s="48">
        <v>0</v>
      </c>
      <c r="AK540" s="52">
        <v>0</v>
      </c>
      <c r="AL540" s="52">
        <v>0</v>
      </c>
      <c r="AM540" s="48">
        <v>0</v>
      </c>
      <c r="AN540" s="52">
        <v>0</v>
      </c>
      <c r="AO540" s="52">
        <v>0</v>
      </c>
      <c r="AP540" s="48">
        <v>0</v>
      </c>
      <c r="AQ540" s="88">
        <v>0</v>
      </c>
      <c r="AR540" s="88">
        <v>0</v>
      </c>
      <c r="AS540" s="88"/>
      <c r="AT540" s="88"/>
      <c r="AU540" s="29">
        <v>0</v>
      </c>
      <c r="AV540" s="29"/>
      <c r="AW540" s="88"/>
      <c r="AX540" s="88">
        <v>0</v>
      </c>
      <c r="AY540" s="29"/>
      <c r="AZ540" s="88">
        <v>0</v>
      </c>
      <c r="BA540" s="88">
        <v>0</v>
      </c>
      <c r="BB540" s="48"/>
      <c r="BC540" s="45">
        <v>0</v>
      </c>
      <c r="BD540" s="45">
        <v>0</v>
      </c>
      <c r="BE540" s="45">
        <v>0</v>
      </c>
      <c r="BF540" s="45">
        <v>0</v>
      </c>
      <c r="BG540" s="45"/>
      <c r="BH540" s="46"/>
      <c r="BI540" s="45">
        <v>0</v>
      </c>
      <c r="BJ540" s="45">
        <v>0</v>
      </c>
      <c r="BK540" s="45"/>
      <c r="BL540" s="45"/>
      <c r="BM540" s="45">
        <v>0</v>
      </c>
      <c r="BN540" s="45"/>
      <c r="BO540" s="45"/>
      <c r="BP540" s="46"/>
      <c r="BQ540" s="29"/>
      <c r="BR540" s="88">
        <v>0</v>
      </c>
      <c r="BS540" s="88">
        <v>0</v>
      </c>
    </row>
    <row r="541" spans="2:71" x14ac:dyDescent="0.2">
      <c r="B541" s="56" t="s">
        <v>64</v>
      </c>
      <c r="C541" s="45"/>
      <c r="D541" s="45">
        <v>0</v>
      </c>
      <c r="E541" s="52">
        <v>0</v>
      </c>
      <c r="F541" s="52">
        <v>0</v>
      </c>
      <c r="G541" s="48"/>
      <c r="H541" s="45">
        <v>0</v>
      </c>
      <c r="I541" s="45">
        <v>0</v>
      </c>
      <c r="J541" s="45">
        <v>0</v>
      </c>
      <c r="K541" s="45"/>
      <c r="L541" s="45"/>
      <c r="M541" s="52">
        <v>0</v>
      </c>
      <c r="N541" s="52">
        <v>0</v>
      </c>
      <c r="O541" s="45">
        <v>0</v>
      </c>
      <c r="P541" s="45"/>
      <c r="Q541" s="52"/>
      <c r="R541" s="52">
        <v>0</v>
      </c>
      <c r="S541" s="61">
        <v>0</v>
      </c>
      <c r="T541" s="49"/>
      <c r="U541" s="49"/>
      <c r="V541" s="45"/>
      <c r="W541" s="45"/>
      <c r="X541" s="45"/>
      <c r="Y541" s="45">
        <v>0</v>
      </c>
      <c r="Z541" s="45">
        <v>0</v>
      </c>
      <c r="AA541" s="45"/>
      <c r="AB541" s="45"/>
      <c r="AC541" s="45"/>
      <c r="AD541" s="52"/>
      <c r="AE541" s="52">
        <v>0</v>
      </c>
      <c r="AF541" s="48">
        <v>0</v>
      </c>
      <c r="AG541" s="52">
        <v>0</v>
      </c>
      <c r="AH541" s="52">
        <v>0</v>
      </c>
      <c r="AI541" s="88"/>
      <c r="AJ541" s="48">
        <v>0</v>
      </c>
      <c r="AK541" s="52">
        <v>0</v>
      </c>
      <c r="AL541" s="52">
        <v>0</v>
      </c>
      <c r="AM541" s="48">
        <v>0</v>
      </c>
      <c r="AN541" s="52">
        <v>0</v>
      </c>
      <c r="AO541" s="52">
        <v>0</v>
      </c>
      <c r="AP541" s="48">
        <v>0</v>
      </c>
      <c r="AQ541" s="88">
        <v>0</v>
      </c>
      <c r="AR541" s="88">
        <v>0</v>
      </c>
      <c r="AS541" s="88"/>
      <c r="AT541" s="88"/>
      <c r="AU541" s="29">
        <v>0</v>
      </c>
      <c r="AV541" s="29"/>
      <c r="AW541" s="88"/>
      <c r="AX541" s="88">
        <v>0</v>
      </c>
      <c r="AY541" s="29"/>
      <c r="AZ541" s="88">
        <v>0</v>
      </c>
      <c r="BA541" s="88">
        <v>0</v>
      </c>
      <c r="BB541" s="48"/>
      <c r="BC541" s="45">
        <v>0</v>
      </c>
      <c r="BD541" s="45">
        <v>0</v>
      </c>
      <c r="BE541" s="45">
        <v>0</v>
      </c>
      <c r="BF541" s="45">
        <v>0</v>
      </c>
      <c r="BG541" s="45"/>
      <c r="BH541" s="46"/>
      <c r="BI541" s="45">
        <v>0</v>
      </c>
      <c r="BJ541" s="45">
        <v>0</v>
      </c>
      <c r="BK541" s="45"/>
      <c r="BL541" s="45"/>
      <c r="BM541" s="45">
        <v>0</v>
      </c>
      <c r="BN541" s="45"/>
      <c r="BO541" s="45"/>
      <c r="BP541" s="46"/>
      <c r="BQ541" s="29"/>
      <c r="BR541" s="88">
        <v>0</v>
      </c>
      <c r="BS541" s="88">
        <v>0</v>
      </c>
    </row>
    <row r="542" spans="2:71" x14ac:dyDescent="0.2">
      <c r="B542" s="56" t="s">
        <v>64</v>
      </c>
      <c r="C542" s="45"/>
      <c r="D542" s="45">
        <v>0</v>
      </c>
      <c r="E542" s="52">
        <v>0</v>
      </c>
      <c r="F542" s="52">
        <v>0</v>
      </c>
      <c r="G542" s="48"/>
      <c r="H542" s="45">
        <v>0</v>
      </c>
      <c r="I542" s="45">
        <v>0</v>
      </c>
      <c r="J542" s="45">
        <v>0</v>
      </c>
      <c r="K542" s="45"/>
      <c r="L542" s="45"/>
      <c r="M542" s="52">
        <v>0</v>
      </c>
      <c r="N542" s="52">
        <v>0</v>
      </c>
      <c r="O542" s="45">
        <v>0</v>
      </c>
      <c r="P542" s="45"/>
      <c r="Q542" s="52"/>
      <c r="R542" s="52">
        <v>0</v>
      </c>
      <c r="S542" s="61">
        <v>0</v>
      </c>
      <c r="T542" s="49"/>
      <c r="U542" s="49"/>
      <c r="V542" s="45"/>
      <c r="W542" s="45"/>
      <c r="X542" s="45"/>
      <c r="Y542" s="45">
        <v>0</v>
      </c>
      <c r="Z542" s="45">
        <v>0</v>
      </c>
      <c r="AA542" s="45"/>
      <c r="AB542" s="45"/>
      <c r="AC542" s="45"/>
      <c r="AD542" s="52"/>
      <c r="AE542" s="52">
        <v>0</v>
      </c>
      <c r="AF542" s="48">
        <v>0</v>
      </c>
      <c r="AG542" s="52">
        <v>0</v>
      </c>
      <c r="AH542" s="52">
        <v>0</v>
      </c>
      <c r="AI542" s="88"/>
      <c r="AJ542" s="48">
        <v>0</v>
      </c>
      <c r="AK542" s="52">
        <v>0</v>
      </c>
      <c r="AL542" s="52">
        <v>0</v>
      </c>
      <c r="AM542" s="48">
        <v>0</v>
      </c>
      <c r="AN542" s="52">
        <v>0</v>
      </c>
      <c r="AO542" s="52">
        <v>0</v>
      </c>
      <c r="AP542" s="48">
        <v>0</v>
      </c>
      <c r="AQ542" s="88">
        <v>0</v>
      </c>
      <c r="AR542" s="88">
        <v>0</v>
      </c>
      <c r="AS542" s="88"/>
      <c r="AT542" s="88"/>
      <c r="AU542" s="29">
        <v>0</v>
      </c>
      <c r="AV542" s="29"/>
      <c r="AW542" s="88"/>
      <c r="AX542" s="88">
        <v>0</v>
      </c>
      <c r="AY542" s="29"/>
      <c r="AZ542" s="88">
        <v>0</v>
      </c>
      <c r="BA542" s="88">
        <v>0</v>
      </c>
      <c r="BB542" s="48"/>
      <c r="BC542" s="45">
        <v>0</v>
      </c>
      <c r="BD542" s="45">
        <v>0</v>
      </c>
      <c r="BE542" s="45">
        <v>0</v>
      </c>
      <c r="BF542" s="45">
        <v>0</v>
      </c>
      <c r="BG542" s="45"/>
      <c r="BH542" s="46"/>
      <c r="BI542" s="45">
        <v>0</v>
      </c>
      <c r="BJ542" s="45">
        <v>0</v>
      </c>
      <c r="BK542" s="45"/>
      <c r="BL542" s="45"/>
      <c r="BM542" s="45">
        <v>0</v>
      </c>
      <c r="BN542" s="45"/>
      <c r="BO542" s="45"/>
      <c r="BP542" s="46"/>
      <c r="BQ542" s="29"/>
      <c r="BR542" s="88">
        <v>0</v>
      </c>
      <c r="BS542" s="88">
        <v>0</v>
      </c>
    </row>
    <row r="543" spans="2:71" x14ac:dyDescent="0.2">
      <c r="B543" s="56" t="s">
        <v>64</v>
      </c>
      <c r="C543" s="45"/>
      <c r="D543" s="45">
        <v>0</v>
      </c>
      <c r="E543" s="52">
        <v>0</v>
      </c>
      <c r="F543" s="52">
        <v>0</v>
      </c>
      <c r="G543" s="48"/>
      <c r="H543" s="45">
        <v>0</v>
      </c>
      <c r="I543" s="45">
        <v>0</v>
      </c>
      <c r="J543" s="45">
        <v>0</v>
      </c>
      <c r="K543" s="45"/>
      <c r="L543" s="45"/>
      <c r="M543" s="52">
        <v>0</v>
      </c>
      <c r="N543" s="52">
        <v>0</v>
      </c>
      <c r="O543" s="45">
        <v>0</v>
      </c>
      <c r="P543" s="45"/>
      <c r="Q543" s="52"/>
      <c r="R543" s="52">
        <v>0</v>
      </c>
      <c r="S543" s="61">
        <v>0</v>
      </c>
      <c r="T543" s="49"/>
      <c r="U543" s="49"/>
      <c r="V543" s="45"/>
      <c r="W543" s="45"/>
      <c r="X543" s="45"/>
      <c r="Y543" s="45">
        <v>0</v>
      </c>
      <c r="Z543" s="45">
        <v>0</v>
      </c>
      <c r="AA543" s="45"/>
      <c r="AB543" s="45"/>
      <c r="AC543" s="45"/>
      <c r="AD543" s="52"/>
      <c r="AE543" s="52">
        <v>0</v>
      </c>
      <c r="AF543" s="48">
        <v>0</v>
      </c>
      <c r="AG543" s="52">
        <v>0</v>
      </c>
      <c r="AH543" s="52">
        <v>0</v>
      </c>
      <c r="AI543" s="88"/>
      <c r="AJ543" s="48">
        <v>0</v>
      </c>
      <c r="AK543" s="52">
        <v>0</v>
      </c>
      <c r="AL543" s="52">
        <v>0</v>
      </c>
      <c r="AM543" s="48">
        <v>0</v>
      </c>
      <c r="AN543" s="52">
        <v>0</v>
      </c>
      <c r="AO543" s="52">
        <v>0</v>
      </c>
      <c r="AP543" s="48">
        <v>0</v>
      </c>
      <c r="AQ543" s="88">
        <v>0</v>
      </c>
      <c r="AR543" s="88">
        <v>0</v>
      </c>
      <c r="AS543" s="88"/>
      <c r="AT543" s="88"/>
      <c r="AU543" s="29">
        <v>0</v>
      </c>
      <c r="AV543" s="29"/>
      <c r="AW543" s="88"/>
      <c r="AX543" s="88">
        <v>0</v>
      </c>
      <c r="AY543" s="29"/>
      <c r="AZ543" s="88">
        <v>0</v>
      </c>
      <c r="BA543" s="88">
        <v>0</v>
      </c>
      <c r="BB543" s="48"/>
      <c r="BC543" s="45">
        <v>0</v>
      </c>
      <c r="BD543" s="45">
        <v>0</v>
      </c>
      <c r="BE543" s="45">
        <v>0</v>
      </c>
      <c r="BF543" s="45">
        <v>0</v>
      </c>
      <c r="BG543" s="45"/>
      <c r="BH543" s="46"/>
      <c r="BI543" s="45">
        <v>0</v>
      </c>
      <c r="BJ543" s="45">
        <v>0</v>
      </c>
      <c r="BK543" s="45"/>
      <c r="BL543" s="45"/>
      <c r="BM543" s="45">
        <v>0</v>
      </c>
      <c r="BN543" s="45"/>
      <c r="BO543" s="45"/>
      <c r="BP543" s="46"/>
      <c r="BQ543" s="29"/>
      <c r="BR543" s="88">
        <v>0</v>
      </c>
      <c r="BS543" s="88">
        <v>0</v>
      </c>
    </row>
    <row r="544" spans="2:71" x14ac:dyDescent="0.2">
      <c r="B544" s="56" t="s">
        <v>64</v>
      </c>
      <c r="C544" s="45"/>
      <c r="D544" s="45">
        <v>0</v>
      </c>
      <c r="E544" s="52">
        <v>0</v>
      </c>
      <c r="F544" s="52">
        <v>0</v>
      </c>
      <c r="G544" s="48"/>
      <c r="H544" s="45">
        <v>0</v>
      </c>
      <c r="I544" s="45">
        <v>0</v>
      </c>
      <c r="J544" s="45">
        <v>0</v>
      </c>
      <c r="K544" s="45"/>
      <c r="L544" s="45"/>
      <c r="M544" s="52">
        <v>0</v>
      </c>
      <c r="N544" s="52">
        <v>0</v>
      </c>
      <c r="O544" s="45">
        <v>0</v>
      </c>
      <c r="P544" s="45"/>
      <c r="Q544" s="52"/>
      <c r="R544" s="52">
        <v>0</v>
      </c>
      <c r="S544" s="61">
        <v>0</v>
      </c>
      <c r="T544" s="49"/>
      <c r="U544" s="49"/>
      <c r="V544" s="45"/>
      <c r="W544" s="45"/>
      <c r="X544" s="45"/>
      <c r="Y544" s="45">
        <v>0</v>
      </c>
      <c r="Z544" s="45">
        <v>0</v>
      </c>
      <c r="AA544" s="45"/>
      <c r="AB544" s="45"/>
      <c r="AC544" s="45"/>
      <c r="AD544" s="52"/>
      <c r="AE544" s="52">
        <v>0</v>
      </c>
      <c r="AF544" s="48">
        <v>0</v>
      </c>
      <c r="AG544" s="52">
        <v>0</v>
      </c>
      <c r="AH544" s="52">
        <v>0</v>
      </c>
      <c r="AI544" s="88"/>
      <c r="AJ544" s="48">
        <v>0</v>
      </c>
      <c r="AK544" s="52">
        <v>0</v>
      </c>
      <c r="AL544" s="52">
        <v>0</v>
      </c>
      <c r="AM544" s="48">
        <v>0</v>
      </c>
      <c r="AN544" s="52">
        <v>0</v>
      </c>
      <c r="AO544" s="52">
        <v>0</v>
      </c>
      <c r="AP544" s="48">
        <v>0</v>
      </c>
      <c r="AQ544" s="88">
        <v>0</v>
      </c>
      <c r="AR544" s="88">
        <v>0</v>
      </c>
      <c r="AS544" s="88"/>
      <c r="AT544" s="88"/>
      <c r="AU544" s="29">
        <v>0</v>
      </c>
      <c r="AV544" s="29"/>
      <c r="AW544" s="88"/>
      <c r="AX544" s="88">
        <v>0</v>
      </c>
      <c r="AY544" s="29"/>
      <c r="AZ544" s="88">
        <v>0</v>
      </c>
      <c r="BA544" s="88">
        <v>0</v>
      </c>
      <c r="BB544" s="48"/>
      <c r="BC544" s="45">
        <v>0</v>
      </c>
      <c r="BD544" s="45">
        <v>0</v>
      </c>
      <c r="BE544" s="45">
        <v>0</v>
      </c>
      <c r="BF544" s="45">
        <v>0</v>
      </c>
      <c r="BG544" s="45"/>
      <c r="BH544" s="46"/>
      <c r="BI544" s="45">
        <v>0</v>
      </c>
      <c r="BJ544" s="45">
        <v>0</v>
      </c>
      <c r="BK544" s="45"/>
      <c r="BL544" s="45"/>
      <c r="BM544" s="45">
        <v>0</v>
      </c>
      <c r="BN544" s="45"/>
      <c r="BO544" s="45"/>
      <c r="BP544" s="46"/>
      <c r="BQ544" s="29"/>
      <c r="BR544" s="88">
        <v>0</v>
      </c>
      <c r="BS544" s="88">
        <v>0</v>
      </c>
    </row>
    <row r="545" spans="2:71" x14ac:dyDescent="0.2">
      <c r="B545" s="56" t="s">
        <v>64</v>
      </c>
      <c r="C545" s="45"/>
      <c r="D545" s="45">
        <v>0</v>
      </c>
      <c r="E545" s="52">
        <v>0</v>
      </c>
      <c r="F545" s="52">
        <v>0</v>
      </c>
      <c r="G545" s="48"/>
      <c r="H545" s="45">
        <v>0</v>
      </c>
      <c r="I545" s="45">
        <v>0</v>
      </c>
      <c r="J545" s="45">
        <v>0</v>
      </c>
      <c r="K545" s="45"/>
      <c r="L545" s="45"/>
      <c r="M545" s="52">
        <v>0</v>
      </c>
      <c r="N545" s="52">
        <v>0</v>
      </c>
      <c r="O545" s="45">
        <v>0</v>
      </c>
      <c r="P545" s="45"/>
      <c r="Q545" s="52"/>
      <c r="R545" s="52">
        <v>0</v>
      </c>
      <c r="S545" s="61">
        <v>0</v>
      </c>
      <c r="T545" s="49"/>
      <c r="U545" s="49"/>
      <c r="V545" s="45"/>
      <c r="W545" s="45"/>
      <c r="X545" s="45"/>
      <c r="Y545" s="45">
        <v>0</v>
      </c>
      <c r="Z545" s="45">
        <v>0</v>
      </c>
      <c r="AA545" s="45"/>
      <c r="AB545" s="45"/>
      <c r="AC545" s="45"/>
      <c r="AD545" s="52"/>
      <c r="AE545" s="52">
        <v>0</v>
      </c>
      <c r="AF545" s="48">
        <v>0</v>
      </c>
      <c r="AG545" s="52">
        <v>0</v>
      </c>
      <c r="AH545" s="52">
        <v>0</v>
      </c>
      <c r="AI545" s="88"/>
      <c r="AJ545" s="48">
        <v>0</v>
      </c>
      <c r="AK545" s="52">
        <v>0</v>
      </c>
      <c r="AL545" s="52">
        <v>0</v>
      </c>
      <c r="AM545" s="48">
        <v>0</v>
      </c>
      <c r="AN545" s="52">
        <v>0</v>
      </c>
      <c r="AO545" s="52">
        <v>0</v>
      </c>
      <c r="AP545" s="48">
        <v>0</v>
      </c>
      <c r="AQ545" s="88">
        <v>0</v>
      </c>
      <c r="AR545" s="88">
        <v>0</v>
      </c>
      <c r="AS545" s="88"/>
      <c r="AT545" s="88"/>
      <c r="AU545" s="29">
        <v>0</v>
      </c>
      <c r="AV545" s="29"/>
      <c r="AW545" s="88"/>
      <c r="AX545" s="88">
        <v>0</v>
      </c>
      <c r="AY545" s="29"/>
      <c r="AZ545" s="88">
        <v>0</v>
      </c>
      <c r="BA545" s="88">
        <v>0</v>
      </c>
      <c r="BB545" s="48"/>
      <c r="BC545" s="45">
        <v>0</v>
      </c>
      <c r="BD545" s="45">
        <v>0</v>
      </c>
      <c r="BE545" s="45">
        <v>0</v>
      </c>
      <c r="BF545" s="45">
        <v>0</v>
      </c>
      <c r="BG545" s="45"/>
      <c r="BH545" s="46"/>
      <c r="BI545" s="45">
        <v>0</v>
      </c>
      <c r="BJ545" s="45">
        <v>0</v>
      </c>
      <c r="BK545" s="45"/>
      <c r="BL545" s="45"/>
      <c r="BM545" s="45">
        <v>0</v>
      </c>
      <c r="BN545" s="45"/>
      <c r="BO545" s="45"/>
      <c r="BP545" s="46"/>
      <c r="BQ545" s="29"/>
      <c r="BR545" s="88">
        <v>0</v>
      </c>
      <c r="BS545" s="88">
        <v>0</v>
      </c>
    </row>
    <row r="546" spans="2:71" x14ac:dyDescent="0.2">
      <c r="B546" s="56" t="s">
        <v>64</v>
      </c>
      <c r="C546" s="45"/>
      <c r="D546" s="45">
        <v>0</v>
      </c>
      <c r="E546" s="52">
        <v>0</v>
      </c>
      <c r="F546" s="52">
        <v>0</v>
      </c>
      <c r="G546" s="48"/>
      <c r="H546" s="45">
        <v>0</v>
      </c>
      <c r="I546" s="45">
        <v>0</v>
      </c>
      <c r="J546" s="45">
        <v>0</v>
      </c>
      <c r="K546" s="45"/>
      <c r="L546" s="45"/>
      <c r="M546" s="52">
        <v>0</v>
      </c>
      <c r="N546" s="52">
        <v>0</v>
      </c>
      <c r="O546" s="45">
        <v>0</v>
      </c>
      <c r="P546" s="45"/>
      <c r="Q546" s="52"/>
      <c r="R546" s="52">
        <v>0</v>
      </c>
      <c r="S546" s="61">
        <v>0</v>
      </c>
      <c r="T546" s="49"/>
      <c r="U546" s="49"/>
      <c r="V546" s="45"/>
      <c r="W546" s="45"/>
      <c r="X546" s="45"/>
      <c r="Y546" s="45">
        <v>0</v>
      </c>
      <c r="Z546" s="45">
        <v>0</v>
      </c>
      <c r="AA546" s="45"/>
      <c r="AB546" s="45"/>
      <c r="AC546" s="45"/>
      <c r="AD546" s="52"/>
      <c r="AE546" s="52">
        <v>0</v>
      </c>
      <c r="AF546" s="48">
        <v>0</v>
      </c>
      <c r="AG546" s="52">
        <v>0</v>
      </c>
      <c r="AH546" s="52">
        <v>0</v>
      </c>
      <c r="AI546" s="88"/>
      <c r="AJ546" s="48">
        <v>0</v>
      </c>
      <c r="AK546" s="52">
        <v>0</v>
      </c>
      <c r="AL546" s="52">
        <v>0</v>
      </c>
      <c r="AM546" s="48">
        <v>0</v>
      </c>
      <c r="AN546" s="52">
        <v>0</v>
      </c>
      <c r="AO546" s="52">
        <v>0</v>
      </c>
      <c r="AP546" s="48">
        <v>0</v>
      </c>
      <c r="AQ546" s="88">
        <v>0</v>
      </c>
      <c r="AR546" s="88">
        <v>0</v>
      </c>
      <c r="AS546" s="88"/>
      <c r="AT546" s="88"/>
      <c r="AU546" s="29">
        <v>0</v>
      </c>
      <c r="AV546" s="29"/>
      <c r="AW546" s="88"/>
      <c r="AX546" s="88">
        <v>0</v>
      </c>
      <c r="AY546" s="29"/>
      <c r="AZ546" s="88">
        <v>0</v>
      </c>
      <c r="BA546" s="88">
        <v>0</v>
      </c>
      <c r="BB546" s="48"/>
      <c r="BC546" s="45">
        <v>0</v>
      </c>
      <c r="BD546" s="45">
        <v>0</v>
      </c>
      <c r="BE546" s="45">
        <v>0</v>
      </c>
      <c r="BF546" s="45">
        <v>0</v>
      </c>
      <c r="BG546" s="45"/>
      <c r="BH546" s="46"/>
      <c r="BI546" s="45">
        <v>0</v>
      </c>
      <c r="BJ546" s="45">
        <v>0</v>
      </c>
      <c r="BK546" s="45"/>
      <c r="BL546" s="45"/>
      <c r="BM546" s="45">
        <v>0</v>
      </c>
      <c r="BN546" s="45"/>
      <c r="BO546" s="45"/>
      <c r="BP546" s="46"/>
      <c r="BQ546" s="29"/>
      <c r="BR546" s="88">
        <v>0</v>
      </c>
      <c r="BS546" s="88">
        <v>0</v>
      </c>
    </row>
    <row r="547" spans="2:71" x14ac:dyDescent="0.2">
      <c r="B547" s="56" t="s">
        <v>64</v>
      </c>
      <c r="C547" s="45"/>
      <c r="D547" s="45">
        <v>0</v>
      </c>
      <c r="E547" s="52">
        <v>0</v>
      </c>
      <c r="F547" s="52">
        <v>0</v>
      </c>
      <c r="G547" s="48"/>
      <c r="H547" s="45">
        <v>0</v>
      </c>
      <c r="I547" s="45">
        <v>0</v>
      </c>
      <c r="J547" s="45">
        <v>0</v>
      </c>
      <c r="K547" s="45"/>
      <c r="L547" s="45"/>
      <c r="M547" s="52">
        <v>0</v>
      </c>
      <c r="N547" s="52">
        <v>0</v>
      </c>
      <c r="O547" s="45">
        <v>0</v>
      </c>
      <c r="P547" s="45"/>
      <c r="Q547" s="52"/>
      <c r="R547" s="52">
        <v>0</v>
      </c>
      <c r="S547" s="61">
        <v>0</v>
      </c>
      <c r="T547" s="49"/>
      <c r="U547" s="49"/>
      <c r="V547" s="45"/>
      <c r="W547" s="45"/>
      <c r="X547" s="45"/>
      <c r="Y547" s="45">
        <v>0</v>
      </c>
      <c r="Z547" s="45">
        <v>0</v>
      </c>
      <c r="AA547" s="45"/>
      <c r="AB547" s="45"/>
      <c r="AC547" s="45"/>
      <c r="AD547" s="52"/>
      <c r="AE547" s="52">
        <v>0</v>
      </c>
      <c r="AF547" s="48">
        <v>0</v>
      </c>
      <c r="AG547" s="52">
        <v>0</v>
      </c>
      <c r="AH547" s="52">
        <v>0</v>
      </c>
      <c r="AI547" s="88"/>
      <c r="AJ547" s="48">
        <v>0</v>
      </c>
      <c r="AK547" s="52">
        <v>0</v>
      </c>
      <c r="AL547" s="52">
        <v>0</v>
      </c>
      <c r="AM547" s="48">
        <v>0</v>
      </c>
      <c r="AN547" s="52">
        <v>0</v>
      </c>
      <c r="AO547" s="52">
        <v>0</v>
      </c>
      <c r="AP547" s="48">
        <v>0</v>
      </c>
      <c r="AQ547" s="88">
        <v>0</v>
      </c>
      <c r="AR547" s="88">
        <v>0</v>
      </c>
      <c r="AS547" s="88"/>
      <c r="AT547" s="88"/>
      <c r="AU547" s="29">
        <v>0</v>
      </c>
      <c r="AV547" s="29"/>
      <c r="AW547" s="88"/>
      <c r="AX547" s="88">
        <v>0</v>
      </c>
      <c r="AY547" s="29"/>
      <c r="AZ547" s="88">
        <v>0</v>
      </c>
      <c r="BA547" s="88">
        <v>0</v>
      </c>
      <c r="BB547" s="48"/>
      <c r="BC547" s="45">
        <v>0</v>
      </c>
      <c r="BD547" s="45">
        <v>0</v>
      </c>
      <c r="BE547" s="45">
        <v>0</v>
      </c>
      <c r="BF547" s="45">
        <v>0</v>
      </c>
      <c r="BG547" s="45"/>
      <c r="BH547" s="46"/>
      <c r="BI547" s="45">
        <v>0</v>
      </c>
      <c r="BJ547" s="45">
        <v>0</v>
      </c>
      <c r="BK547" s="45"/>
      <c r="BL547" s="45"/>
      <c r="BM547" s="45">
        <v>0</v>
      </c>
      <c r="BN547" s="45"/>
      <c r="BO547" s="45"/>
      <c r="BP547" s="46"/>
      <c r="BQ547" s="29"/>
      <c r="BR547" s="88">
        <v>0</v>
      </c>
      <c r="BS547" s="88">
        <v>0</v>
      </c>
    </row>
    <row r="548" spans="2:71" x14ac:dyDescent="0.2">
      <c r="B548" s="56" t="s">
        <v>64</v>
      </c>
      <c r="C548" s="45"/>
      <c r="D548" s="45">
        <v>0</v>
      </c>
      <c r="E548" s="52">
        <v>0</v>
      </c>
      <c r="F548" s="52">
        <v>0</v>
      </c>
      <c r="G548" s="48"/>
      <c r="H548" s="45">
        <v>0</v>
      </c>
      <c r="I548" s="45">
        <v>0</v>
      </c>
      <c r="J548" s="45">
        <v>0</v>
      </c>
      <c r="K548" s="45"/>
      <c r="L548" s="45"/>
      <c r="M548" s="52">
        <v>0</v>
      </c>
      <c r="N548" s="52">
        <v>0</v>
      </c>
      <c r="O548" s="45">
        <v>0</v>
      </c>
      <c r="P548" s="45"/>
      <c r="Q548" s="52"/>
      <c r="R548" s="52">
        <v>0</v>
      </c>
      <c r="S548" s="61">
        <v>0</v>
      </c>
      <c r="T548" s="49"/>
      <c r="U548" s="49"/>
      <c r="V548" s="45"/>
      <c r="W548" s="45"/>
      <c r="X548" s="45"/>
      <c r="Y548" s="45">
        <v>0</v>
      </c>
      <c r="Z548" s="45">
        <v>0</v>
      </c>
      <c r="AA548" s="45"/>
      <c r="AB548" s="45"/>
      <c r="AC548" s="45"/>
      <c r="AD548" s="52"/>
      <c r="AE548" s="52">
        <v>0</v>
      </c>
      <c r="AF548" s="48">
        <v>0</v>
      </c>
      <c r="AG548" s="52">
        <v>0</v>
      </c>
      <c r="AH548" s="52">
        <v>0</v>
      </c>
      <c r="AI548" s="88"/>
      <c r="AJ548" s="48">
        <v>0</v>
      </c>
      <c r="AK548" s="52">
        <v>0</v>
      </c>
      <c r="AL548" s="52">
        <v>0</v>
      </c>
      <c r="AM548" s="48">
        <v>0</v>
      </c>
      <c r="AN548" s="52">
        <v>0</v>
      </c>
      <c r="AO548" s="52">
        <v>0</v>
      </c>
      <c r="AP548" s="48">
        <v>0</v>
      </c>
      <c r="AQ548" s="88">
        <v>0</v>
      </c>
      <c r="AR548" s="88">
        <v>0</v>
      </c>
      <c r="AS548" s="88"/>
      <c r="AT548" s="88"/>
      <c r="AU548" s="29">
        <v>0</v>
      </c>
      <c r="AV548" s="29"/>
      <c r="AW548" s="88"/>
      <c r="AX548" s="88">
        <v>0</v>
      </c>
      <c r="AY548" s="29"/>
      <c r="AZ548" s="88">
        <v>0</v>
      </c>
      <c r="BA548" s="88">
        <v>0</v>
      </c>
      <c r="BB548" s="48"/>
      <c r="BC548" s="45">
        <v>0</v>
      </c>
      <c r="BD548" s="45">
        <v>0</v>
      </c>
      <c r="BE548" s="45">
        <v>0</v>
      </c>
      <c r="BF548" s="45">
        <v>0</v>
      </c>
      <c r="BG548" s="45"/>
      <c r="BH548" s="46"/>
      <c r="BI548" s="45">
        <v>0</v>
      </c>
      <c r="BJ548" s="45">
        <v>0</v>
      </c>
      <c r="BK548" s="45"/>
      <c r="BL548" s="45"/>
      <c r="BM548" s="45">
        <v>0</v>
      </c>
      <c r="BN548" s="45"/>
      <c r="BO548" s="45"/>
      <c r="BP548" s="46"/>
      <c r="BQ548" s="29"/>
      <c r="BR548" s="88">
        <v>0</v>
      </c>
      <c r="BS548" s="88">
        <v>0</v>
      </c>
    </row>
    <row r="549" spans="2:71" x14ac:dyDescent="0.2">
      <c r="B549" s="56" t="s">
        <v>64</v>
      </c>
      <c r="C549" s="45"/>
      <c r="D549" s="45">
        <v>0</v>
      </c>
      <c r="E549" s="52">
        <v>0</v>
      </c>
      <c r="F549" s="52">
        <v>0</v>
      </c>
      <c r="G549" s="48"/>
      <c r="H549" s="45">
        <v>0</v>
      </c>
      <c r="I549" s="45">
        <v>0</v>
      </c>
      <c r="J549" s="45">
        <v>0</v>
      </c>
      <c r="K549" s="45"/>
      <c r="L549" s="45"/>
      <c r="M549" s="52">
        <v>0</v>
      </c>
      <c r="N549" s="52">
        <v>0</v>
      </c>
      <c r="O549" s="45">
        <v>0</v>
      </c>
      <c r="P549" s="45"/>
      <c r="Q549" s="52"/>
      <c r="R549" s="52">
        <v>0</v>
      </c>
      <c r="S549" s="61">
        <v>0</v>
      </c>
      <c r="T549" s="49"/>
      <c r="U549" s="49"/>
      <c r="V549" s="45"/>
      <c r="W549" s="45"/>
      <c r="X549" s="45"/>
      <c r="Y549" s="45">
        <v>0</v>
      </c>
      <c r="Z549" s="45">
        <v>0</v>
      </c>
      <c r="AA549" s="45"/>
      <c r="AB549" s="45"/>
      <c r="AC549" s="45"/>
      <c r="AD549" s="52"/>
      <c r="AE549" s="52">
        <v>0</v>
      </c>
      <c r="AF549" s="48">
        <v>0</v>
      </c>
      <c r="AG549" s="52">
        <v>0</v>
      </c>
      <c r="AH549" s="52">
        <v>0</v>
      </c>
      <c r="AI549" s="88"/>
      <c r="AJ549" s="48">
        <v>0</v>
      </c>
      <c r="AK549" s="52">
        <v>0</v>
      </c>
      <c r="AL549" s="52">
        <v>0</v>
      </c>
      <c r="AM549" s="48">
        <v>0</v>
      </c>
      <c r="AN549" s="52">
        <v>0</v>
      </c>
      <c r="AO549" s="52">
        <v>0</v>
      </c>
      <c r="AP549" s="48">
        <v>0</v>
      </c>
      <c r="AQ549" s="88">
        <v>0</v>
      </c>
      <c r="AR549" s="88">
        <v>0</v>
      </c>
      <c r="AS549" s="88"/>
      <c r="AT549" s="88"/>
      <c r="AU549" s="29">
        <v>0</v>
      </c>
      <c r="AV549" s="29"/>
      <c r="AW549" s="88"/>
      <c r="AX549" s="88">
        <v>0</v>
      </c>
      <c r="AY549" s="29"/>
      <c r="AZ549" s="88">
        <v>0</v>
      </c>
      <c r="BA549" s="88">
        <v>0</v>
      </c>
      <c r="BB549" s="48"/>
      <c r="BC549" s="45">
        <v>0</v>
      </c>
      <c r="BD549" s="45">
        <v>0</v>
      </c>
      <c r="BE549" s="45">
        <v>0</v>
      </c>
      <c r="BF549" s="45">
        <v>0</v>
      </c>
      <c r="BG549" s="45"/>
      <c r="BH549" s="46"/>
      <c r="BI549" s="45">
        <v>0</v>
      </c>
      <c r="BJ549" s="45">
        <v>0</v>
      </c>
      <c r="BK549" s="45"/>
      <c r="BL549" s="45"/>
      <c r="BM549" s="45">
        <v>0</v>
      </c>
      <c r="BN549" s="45"/>
      <c r="BO549" s="45"/>
      <c r="BP549" s="46"/>
      <c r="BQ549" s="29"/>
      <c r="BR549" s="88">
        <v>0</v>
      </c>
      <c r="BS549" s="88">
        <v>0</v>
      </c>
    </row>
    <row r="550" spans="2:71" x14ac:dyDescent="0.2">
      <c r="B550" s="56" t="s">
        <v>64</v>
      </c>
      <c r="C550" s="45"/>
      <c r="D550" s="45">
        <v>0</v>
      </c>
      <c r="E550" s="52">
        <v>0</v>
      </c>
      <c r="F550" s="52">
        <v>0</v>
      </c>
      <c r="G550" s="48"/>
      <c r="H550" s="45">
        <v>0</v>
      </c>
      <c r="I550" s="45">
        <v>0</v>
      </c>
      <c r="J550" s="45">
        <v>0</v>
      </c>
      <c r="K550" s="45"/>
      <c r="L550" s="45"/>
      <c r="M550" s="52">
        <v>0</v>
      </c>
      <c r="N550" s="52">
        <v>0</v>
      </c>
      <c r="O550" s="45">
        <v>0</v>
      </c>
      <c r="P550" s="45"/>
      <c r="Q550" s="52"/>
      <c r="R550" s="52">
        <v>0</v>
      </c>
      <c r="S550" s="61">
        <v>0</v>
      </c>
      <c r="T550" s="49"/>
      <c r="U550" s="49"/>
      <c r="V550" s="45"/>
      <c r="W550" s="45"/>
      <c r="X550" s="45"/>
      <c r="Y550" s="45">
        <v>0</v>
      </c>
      <c r="Z550" s="45">
        <v>0</v>
      </c>
      <c r="AA550" s="45"/>
      <c r="AB550" s="45"/>
      <c r="AC550" s="45"/>
      <c r="AD550" s="52"/>
      <c r="AE550" s="52">
        <v>0</v>
      </c>
      <c r="AF550" s="48">
        <v>0</v>
      </c>
      <c r="AG550" s="52">
        <v>0</v>
      </c>
      <c r="AH550" s="52">
        <v>0</v>
      </c>
      <c r="AI550" s="88"/>
      <c r="AJ550" s="48">
        <v>0</v>
      </c>
      <c r="AK550" s="52">
        <v>0</v>
      </c>
      <c r="AL550" s="52">
        <v>0</v>
      </c>
      <c r="AM550" s="48">
        <v>0</v>
      </c>
      <c r="AN550" s="52">
        <v>0</v>
      </c>
      <c r="AO550" s="52">
        <v>0</v>
      </c>
      <c r="AP550" s="48">
        <v>0</v>
      </c>
      <c r="AQ550" s="88">
        <v>0</v>
      </c>
      <c r="AR550" s="88">
        <v>0</v>
      </c>
      <c r="AS550" s="88"/>
      <c r="AT550" s="88"/>
      <c r="AU550" s="29">
        <v>0</v>
      </c>
      <c r="AV550" s="29"/>
      <c r="AW550" s="88"/>
      <c r="AX550" s="88">
        <v>0</v>
      </c>
      <c r="AY550" s="29"/>
      <c r="AZ550" s="88">
        <v>0</v>
      </c>
      <c r="BA550" s="88">
        <v>0</v>
      </c>
      <c r="BB550" s="48"/>
      <c r="BC550" s="45">
        <v>0</v>
      </c>
      <c r="BD550" s="45">
        <v>0</v>
      </c>
      <c r="BE550" s="45">
        <v>0</v>
      </c>
      <c r="BF550" s="45">
        <v>0</v>
      </c>
      <c r="BG550" s="45"/>
      <c r="BH550" s="46"/>
      <c r="BI550" s="45">
        <v>0</v>
      </c>
      <c r="BJ550" s="45">
        <v>0</v>
      </c>
      <c r="BK550" s="45"/>
      <c r="BL550" s="45"/>
      <c r="BM550" s="45">
        <v>0</v>
      </c>
      <c r="BN550" s="45"/>
      <c r="BO550" s="45"/>
      <c r="BP550" s="46"/>
      <c r="BQ550" s="29"/>
      <c r="BR550" s="88">
        <v>0</v>
      </c>
      <c r="BS550" s="88">
        <v>0</v>
      </c>
    </row>
    <row r="551" spans="2:71" x14ac:dyDescent="0.2">
      <c r="B551" s="56" t="s">
        <v>64</v>
      </c>
      <c r="C551" s="45"/>
      <c r="D551" s="45">
        <v>0</v>
      </c>
      <c r="E551" s="52">
        <v>0</v>
      </c>
      <c r="F551" s="52">
        <v>0</v>
      </c>
      <c r="G551" s="48"/>
      <c r="H551" s="45">
        <v>0</v>
      </c>
      <c r="I551" s="45">
        <v>0</v>
      </c>
      <c r="J551" s="45">
        <v>0</v>
      </c>
      <c r="K551" s="45"/>
      <c r="L551" s="45"/>
      <c r="M551" s="52">
        <v>0</v>
      </c>
      <c r="N551" s="52">
        <v>0</v>
      </c>
      <c r="O551" s="45">
        <v>0</v>
      </c>
      <c r="P551" s="45"/>
      <c r="Q551" s="52"/>
      <c r="R551" s="52">
        <v>0</v>
      </c>
      <c r="S551" s="61">
        <v>0</v>
      </c>
      <c r="T551" s="49"/>
      <c r="U551" s="49"/>
      <c r="V551" s="45"/>
      <c r="W551" s="45"/>
      <c r="X551" s="45"/>
      <c r="Y551" s="45">
        <v>0</v>
      </c>
      <c r="Z551" s="45">
        <v>0</v>
      </c>
      <c r="AA551" s="45"/>
      <c r="AB551" s="45"/>
      <c r="AC551" s="45"/>
      <c r="AD551" s="52"/>
      <c r="AE551" s="52">
        <v>0</v>
      </c>
      <c r="AF551" s="48">
        <v>0</v>
      </c>
      <c r="AG551" s="52">
        <v>0</v>
      </c>
      <c r="AH551" s="52">
        <v>0</v>
      </c>
      <c r="AI551" s="88"/>
      <c r="AJ551" s="48">
        <v>0</v>
      </c>
      <c r="AK551" s="52">
        <v>0</v>
      </c>
      <c r="AL551" s="52">
        <v>0</v>
      </c>
      <c r="AM551" s="48">
        <v>0</v>
      </c>
      <c r="AN551" s="52">
        <v>0</v>
      </c>
      <c r="AO551" s="52">
        <v>0</v>
      </c>
      <c r="AP551" s="48">
        <v>0</v>
      </c>
      <c r="AQ551" s="88">
        <v>0</v>
      </c>
      <c r="AR551" s="88">
        <v>0</v>
      </c>
      <c r="AS551" s="88"/>
      <c r="AT551" s="88"/>
      <c r="AU551" s="29">
        <v>0</v>
      </c>
      <c r="AV551" s="29"/>
      <c r="AW551" s="88"/>
      <c r="AX551" s="88">
        <v>0</v>
      </c>
      <c r="AY551" s="29"/>
      <c r="AZ551" s="88">
        <v>0</v>
      </c>
      <c r="BA551" s="88">
        <v>0</v>
      </c>
      <c r="BB551" s="48"/>
      <c r="BC551" s="45">
        <v>0</v>
      </c>
      <c r="BD551" s="45">
        <v>0</v>
      </c>
      <c r="BE551" s="45">
        <v>0</v>
      </c>
      <c r="BF551" s="45">
        <v>0</v>
      </c>
      <c r="BG551" s="45"/>
      <c r="BH551" s="46"/>
      <c r="BI551" s="45">
        <v>0</v>
      </c>
      <c r="BJ551" s="45">
        <v>0</v>
      </c>
      <c r="BK551" s="45"/>
      <c r="BL551" s="45"/>
      <c r="BM551" s="45">
        <v>0</v>
      </c>
      <c r="BN551" s="45"/>
      <c r="BO551" s="45"/>
      <c r="BP551" s="46"/>
      <c r="BQ551" s="29"/>
      <c r="BR551" s="88">
        <v>0</v>
      </c>
      <c r="BS551" s="88">
        <v>0</v>
      </c>
    </row>
    <row r="552" spans="2:71" x14ac:dyDescent="0.2">
      <c r="B552" s="56" t="s">
        <v>64</v>
      </c>
      <c r="C552" s="45"/>
      <c r="D552" s="45">
        <v>0</v>
      </c>
      <c r="E552" s="52">
        <v>0</v>
      </c>
      <c r="F552" s="52">
        <v>0</v>
      </c>
      <c r="G552" s="48"/>
      <c r="H552" s="45">
        <v>0</v>
      </c>
      <c r="I552" s="45">
        <v>0</v>
      </c>
      <c r="J552" s="45">
        <v>0</v>
      </c>
      <c r="K552" s="45"/>
      <c r="L552" s="45"/>
      <c r="M552" s="52">
        <v>0</v>
      </c>
      <c r="N552" s="52">
        <v>0</v>
      </c>
      <c r="O552" s="45">
        <v>0</v>
      </c>
      <c r="P552" s="45"/>
      <c r="Q552" s="52"/>
      <c r="R552" s="52">
        <v>0</v>
      </c>
      <c r="S552" s="61">
        <v>0</v>
      </c>
      <c r="T552" s="49"/>
      <c r="U552" s="49"/>
      <c r="V552" s="45"/>
      <c r="W552" s="45"/>
      <c r="X552" s="45"/>
      <c r="Y552" s="45">
        <v>0</v>
      </c>
      <c r="Z552" s="45">
        <v>0</v>
      </c>
      <c r="AA552" s="45"/>
      <c r="AB552" s="45"/>
      <c r="AC552" s="45"/>
      <c r="AD552" s="52"/>
      <c r="AE552" s="52">
        <v>0</v>
      </c>
      <c r="AF552" s="48">
        <v>0</v>
      </c>
      <c r="AG552" s="52">
        <v>0</v>
      </c>
      <c r="AH552" s="52">
        <v>0</v>
      </c>
      <c r="AI552" s="88"/>
      <c r="AJ552" s="48">
        <v>0</v>
      </c>
      <c r="AK552" s="52">
        <v>0</v>
      </c>
      <c r="AL552" s="52">
        <v>0</v>
      </c>
      <c r="AM552" s="48">
        <v>0</v>
      </c>
      <c r="AN552" s="52">
        <v>0</v>
      </c>
      <c r="AO552" s="52">
        <v>0</v>
      </c>
      <c r="AP552" s="48">
        <v>0</v>
      </c>
      <c r="AQ552" s="88">
        <v>0</v>
      </c>
      <c r="AR552" s="88">
        <v>0</v>
      </c>
      <c r="AS552" s="88"/>
      <c r="AT552" s="88"/>
      <c r="AU552" s="29">
        <v>0</v>
      </c>
      <c r="AV552" s="29"/>
      <c r="AW552" s="88"/>
      <c r="AX552" s="88">
        <v>0</v>
      </c>
      <c r="AY552" s="29"/>
      <c r="AZ552" s="88">
        <v>0</v>
      </c>
      <c r="BA552" s="88">
        <v>0</v>
      </c>
      <c r="BB552" s="48"/>
      <c r="BC552" s="45">
        <v>0</v>
      </c>
      <c r="BD552" s="45">
        <v>0</v>
      </c>
      <c r="BE552" s="45">
        <v>0</v>
      </c>
      <c r="BF552" s="45">
        <v>0</v>
      </c>
      <c r="BG552" s="45"/>
      <c r="BH552" s="46"/>
      <c r="BI552" s="45">
        <v>0</v>
      </c>
      <c r="BJ552" s="45">
        <v>0</v>
      </c>
      <c r="BK552" s="45"/>
      <c r="BL552" s="45"/>
      <c r="BM552" s="45">
        <v>0</v>
      </c>
      <c r="BN552" s="45"/>
      <c r="BO552" s="45"/>
      <c r="BP552" s="46"/>
      <c r="BQ552" s="29"/>
      <c r="BR552" s="88">
        <v>0</v>
      </c>
      <c r="BS552" s="88">
        <v>0</v>
      </c>
    </row>
    <row r="553" spans="2:71" x14ac:dyDescent="0.2">
      <c r="B553" s="56" t="s">
        <v>64</v>
      </c>
      <c r="C553" s="45"/>
      <c r="D553" s="45">
        <v>0</v>
      </c>
      <c r="E553" s="52">
        <v>0</v>
      </c>
      <c r="F553" s="52">
        <v>0</v>
      </c>
      <c r="G553" s="48"/>
      <c r="H553" s="45">
        <v>0</v>
      </c>
      <c r="I553" s="45">
        <v>0</v>
      </c>
      <c r="J553" s="45">
        <v>0</v>
      </c>
      <c r="K553" s="45"/>
      <c r="L553" s="45"/>
      <c r="M553" s="52">
        <v>0</v>
      </c>
      <c r="N553" s="52">
        <v>0</v>
      </c>
      <c r="O553" s="45">
        <v>0</v>
      </c>
      <c r="P553" s="45"/>
      <c r="Q553" s="52"/>
      <c r="R553" s="52">
        <v>0</v>
      </c>
      <c r="S553" s="61">
        <v>0</v>
      </c>
      <c r="T553" s="49"/>
      <c r="U553" s="49"/>
      <c r="V553" s="45"/>
      <c r="W553" s="45"/>
      <c r="X553" s="45"/>
      <c r="Y553" s="45">
        <v>0</v>
      </c>
      <c r="Z553" s="45">
        <v>0</v>
      </c>
      <c r="AA553" s="45"/>
      <c r="AB553" s="45"/>
      <c r="AC553" s="45"/>
      <c r="AD553" s="52"/>
      <c r="AE553" s="52">
        <v>0</v>
      </c>
      <c r="AF553" s="48">
        <v>0</v>
      </c>
      <c r="AG553" s="52">
        <v>0</v>
      </c>
      <c r="AH553" s="52">
        <v>0</v>
      </c>
      <c r="AI553" s="88"/>
      <c r="AJ553" s="48">
        <v>0</v>
      </c>
      <c r="AK553" s="52">
        <v>0</v>
      </c>
      <c r="AL553" s="52">
        <v>0</v>
      </c>
      <c r="AM553" s="48">
        <v>0</v>
      </c>
      <c r="AN553" s="52">
        <v>0</v>
      </c>
      <c r="AO553" s="52">
        <v>0</v>
      </c>
      <c r="AP553" s="48">
        <v>0</v>
      </c>
      <c r="AQ553" s="88">
        <v>0</v>
      </c>
      <c r="AR553" s="88">
        <v>0</v>
      </c>
      <c r="AS553" s="88"/>
      <c r="AT553" s="88"/>
      <c r="AU553" s="29">
        <v>0</v>
      </c>
      <c r="AV553" s="29"/>
      <c r="AW553" s="88"/>
      <c r="AX553" s="88">
        <v>0</v>
      </c>
      <c r="AY553" s="29"/>
      <c r="AZ553" s="88">
        <v>0</v>
      </c>
      <c r="BA553" s="88">
        <v>0</v>
      </c>
      <c r="BB553" s="48"/>
      <c r="BC553" s="45">
        <v>0</v>
      </c>
      <c r="BD553" s="45">
        <v>0</v>
      </c>
      <c r="BE553" s="45">
        <v>0</v>
      </c>
      <c r="BF553" s="45">
        <v>0</v>
      </c>
      <c r="BG553" s="45"/>
      <c r="BH553" s="46"/>
      <c r="BI553" s="45">
        <v>0</v>
      </c>
      <c r="BJ553" s="45">
        <v>0</v>
      </c>
      <c r="BK553" s="45"/>
      <c r="BL553" s="45"/>
      <c r="BM553" s="45">
        <v>0</v>
      </c>
      <c r="BN553" s="45"/>
      <c r="BO553" s="45"/>
      <c r="BP553" s="46"/>
      <c r="BQ553" s="29"/>
      <c r="BR553" s="88">
        <v>0</v>
      </c>
      <c r="BS553" s="88">
        <v>0</v>
      </c>
    </row>
    <row r="554" spans="2:71" x14ac:dyDescent="0.2">
      <c r="B554" s="56" t="s">
        <v>64</v>
      </c>
      <c r="C554" s="45"/>
      <c r="D554" s="45">
        <v>0</v>
      </c>
      <c r="E554" s="52">
        <v>0</v>
      </c>
      <c r="F554" s="52">
        <v>0</v>
      </c>
      <c r="G554" s="48"/>
      <c r="H554" s="45">
        <v>0</v>
      </c>
      <c r="I554" s="45">
        <v>0</v>
      </c>
      <c r="J554" s="45">
        <v>0</v>
      </c>
      <c r="K554" s="45"/>
      <c r="L554" s="45"/>
      <c r="M554" s="52">
        <v>0</v>
      </c>
      <c r="N554" s="52">
        <v>0</v>
      </c>
      <c r="O554" s="45">
        <v>0</v>
      </c>
      <c r="P554" s="45"/>
      <c r="Q554" s="52"/>
      <c r="R554" s="52">
        <v>0</v>
      </c>
      <c r="S554" s="61">
        <v>0</v>
      </c>
      <c r="T554" s="49"/>
      <c r="U554" s="49"/>
      <c r="V554" s="45"/>
      <c r="W554" s="45"/>
      <c r="X554" s="45"/>
      <c r="Y554" s="45">
        <v>0</v>
      </c>
      <c r="Z554" s="45">
        <v>0</v>
      </c>
      <c r="AA554" s="45"/>
      <c r="AB554" s="45"/>
      <c r="AC554" s="45"/>
      <c r="AD554" s="52"/>
      <c r="AE554" s="52">
        <v>0</v>
      </c>
      <c r="AF554" s="48">
        <v>0</v>
      </c>
      <c r="AG554" s="52">
        <v>0</v>
      </c>
      <c r="AH554" s="52">
        <v>0</v>
      </c>
      <c r="AI554" s="88"/>
      <c r="AJ554" s="48">
        <v>0</v>
      </c>
      <c r="AK554" s="52">
        <v>0</v>
      </c>
      <c r="AL554" s="52">
        <v>0</v>
      </c>
      <c r="AM554" s="48">
        <v>0</v>
      </c>
      <c r="AN554" s="52">
        <v>0</v>
      </c>
      <c r="AO554" s="52">
        <v>0</v>
      </c>
      <c r="AP554" s="48">
        <v>0</v>
      </c>
      <c r="AQ554" s="88">
        <v>0</v>
      </c>
      <c r="AR554" s="88">
        <v>0</v>
      </c>
      <c r="AS554" s="88"/>
      <c r="AT554" s="88"/>
      <c r="AU554" s="29">
        <v>0</v>
      </c>
      <c r="AV554" s="29"/>
      <c r="AW554" s="88"/>
      <c r="AX554" s="88">
        <v>0</v>
      </c>
      <c r="AY554" s="29"/>
      <c r="AZ554" s="88">
        <v>0</v>
      </c>
      <c r="BA554" s="88">
        <v>0</v>
      </c>
      <c r="BB554" s="48"/>
      <c r="BC554" s="45">
        <v>0</v>
      </c>
      <c r="BD554" s="45">
        <v>0</v>
      </c>
      <c r="BE554" s="45">
        <v>0</v>
      </c>
      <c r="BF554" s="45">
        <v>0</v>
      </c>
      <c r="BG554" s="45"/>
      <c r="BH554" s="46"/>
      <c r="BI554" s="45">
        <v>0</v>
      </c>
      <c r="BJ554" s="45">
        <v>0</v>
      </c>
      <c r="BK554" s="45"/>
      <c r="BL554" s="45"/>
      <c r="BM554" s="45">
        <v>0</v>
      </c>
      <c r="BN554" s="45"/>
      <c r="BO554" s="45"/>
      <c r="BP554" s="46"/>
      <c r="BQ554" s="29"/>
      <c r="BR554" s="88">
        <v>0</v>
      </c>
      <c r="BS554" s="88">
        <v>0</v>
      </c>
    </row>
    <row r="555" spans="2:71" x14ac:dyDescent="0.2">
      <c r="B555" s="56" t="s">
        <v>64</v>
      </c>
      <c r="C555" s="45"/>
      <c r="D555" s="45">
        <v>0</v>
      </c>
      <c r="E555" s="52">
        <v>0</v>
      </c>
      <c r="F555" s="52">
        <v>0</v>
      </c>
      <c r="G555" s="48"/>
      <c r="H555" s="45">
        <v>0</v>
      </c>
      <c r="I555" s="45">
        <v>0</v>
      </c>
      <c r="J555" s="45">
        <v>0</v>
      </c>
      <c r="K555" s="45"/>
      <c r="L555" s="45"/>
      <c r="M555" s="52">
        <v>0</v>
      </c>
      <c r="N555" s="52">
        <v>0</v>
      </c>
      <c r="O555" s="45">
        <v>0</v>
      </c>
      <c r="P555" s="45"/>
      <c r="Q555" s="52"/>
      <c r="R555" s="52">
        <v>0</v>
      </c>
      <c r="S555" s="61">
        <v>0</v>
      </c>
      <c r="T555" s="49"/>
      <c r="U555" s="49"/>
      <c r="V555" s="45"/>
      <c r="W555" s="45"/>
      <c r="X555" s="45"/>
      <c r="Y555" s="45">
        <v>0</v>
      </c>
      <c r="Z555" s="45">
        <v>0</v>
      </c>
      <c r="AA555" s="45"/>
      <c r="AB555" s="45"/>
      <c r="AC555" s="45"/>
      <c r="AD555" s="52"/>
      <c r="AE555" s="52">
        <v>0</v>
      </c>
      <c r="AF555" s="48">
        <v>0</v>
      </c>
      <c r="AG555" s="52">
        <v>0</v>
      </c>
      <c r="AH555" s="52">
        <v>0</v>
      </c>
      <c r="AI555" s="88"/>
      <c r="AJ555" s="48">
        <v>0</v>
      </c>
      <c r="AK555" s="52">
        <v>0</v>
      </c>
      <c r="AL555" s="52">
        <v>0</v>
      </c>
      <c r="AM555" s="48">
        <v>0</v>
      </c>
      <c r="AN555" s="52">
        <v>0</v>
      </c>
      <c r="AO555" s="52">
        <v>0</v>
      </c>
      <c r="AP555" s="48">
        <v>0</v>
      </c>
      <c r="AQ555" s="88">
        <v>0</v>
      </c>
      <c r="AR555" s="88">
        <v>0</v>
      </c>
      <c r="AS555" s="88"/>
      <c r="AT555" s="88"/>
      <c r="AU555" s="29">
        <v>0</v>
      </c>
      <c r="AV555" s="29"/>
      <c r="AW555" s="88"/>
      <c r="AX555" s="88">
        <v>0</v>
      </c>
      <c r="AY555" s="29"/>
      <c r="AZ555" s="88">
        <v>0</v>
      </c>
      <c r="BA555" s="88">
        <v>0</v>
      </c>
      <c r="BB555" s="48"/>
      <c r="BC555" s="45">
        <v>0</v>
      </c>
      <c r="BD555" s="45">
        <v>0</v>
      </c>
      <c r="BE555" s="45">
        <v>0</v>
      </c>
      <c r="BF555" s="45">
        <v>0</v>
      </c>
      <c r="BG555" s="45"/>
      <c r="BH555" s="46"/>
      <c r="BI555" s="45">
        <v>0</v>
      </c>
      <c r="BJ555" s="45">
        <v>0</v>
      </c>
      <c r="BK555" s="45"/>
      <c r="BL555" s="45"/>
      <c r="BM555" s="45">
        <v>0</v>
      </c>
      <c r="BN555" s="45"/>
      <c r="BO555" s="45"/>
      <c r="BP555" s="46"/>
      <c r="BQ555" s="29"/>
      <c r="BR555" s="88">
        <v>0</v>
      </c>
      <c r="BS555" s="88">
        <v>0</v>
      </c>
    </row>
    <row r="556" spans="2:71" x14ac:dyDescent="0.2">
      <c r="B556" s="56" t="s">
        <v>64</v>
      </c>
      <c r="C556" s="45"/>
      <c r="D556" s="45">
        <v>0</v>
      </c>
      <c r="E556" s="52">
        <v>0</v>
      </c>
      <c r="F556" s="52">
        <v>0</v>
      </c>
      <c r="G556" s="48"/>
      <c r="H556" s="45">
        <v>0</v>
      </c>
      <c r="I556" s="45">
        <v>0</v>
      </c>
      <c r="J556" s="45">
        <v>0</v>
      </c>
      <c r="K556" s="45"/>
      <c r="L556" s="45"/>
      <c r="M556" s="52">
        <v>0</v>
      </c>
      <c r="N556" s="52">
        <v>0</v>
      </c>
      <c r="O556" s="45">
        <v>0</v>
      </c>
      <c r="P556" s="45"/>
      <c r="Q556" s="52"/>
      <c r="R556" s="52">
        <v>0</v>
      </c>
      <c r="S556" s="61">
        <v>0</v>
      </c>
      <c r="T556" s="49"/>
      <c r="U556" s="49"/>
      <c r="V556" s="45"/>
      <c r="W556" s="45"/>
      <c r="X556" s="45"/>
      <c r="Y556" s="45">
        <v>0</v>
      </c>
      <c r="Z556" s="45">
        <v>0</v>
      </c>
      <c r="AA556" s="45"/>
      <c r="AB556" s="45"/>
      <c r="AC556" s="45"/>
      <c r="AD556" s="52"/>
      <c r="AE556" s="52">
        <v>0</v>
      </c>
      <c r="AF556" s="48">
        <v>0</v>
      </c>
      <c r="AG556" s="52">
        <v>0</v>
      </c>
      <c r="AH556" s="52">
        <v>0</v>
      </c>
      <c r="AI556" s="88"/>
      <c r="AJ556" s="48">
        <v>0</v>
      </c>
      <c r="AK556" s="52">
        <v>0</v>
      </c>
      <c r="AL556" s="52">
        <v>0</v>
      </c>
      <c r="AM556" s="48">
        <v>0</v>
      </c>
      <c r="AN556" s="52">
        <v>0</v>
      </c>
      <c r="AO556" s="52">
        <v>0</v>
      </c>
      <c r="AP556" s="48">
        <v>0</v>
      </c>
      <c r="AQ556" s="88">
        <v>0</v>
      </c>
      <c r="AR556" s="88">
        <v>0</v>
      </c>
      <c r="AS556" s="88"/>
      <c r="AT556" s="88"/>
      <c r="AU556" s="29">
        <v>0</v>
      </c>
      <c r="AV556" s="29"/>
      <c r="AW556" s="88"/>
      <c r="AX556" s="88">
        <v>0</v>
      </c>
      <c r="AY556" s="29"/>
      <c r="AZ556" s="88">
        <v>0</v>
      </c>
      <c r="BA556" s="88">
        <v>0</v>
      </c>
      <c r="BB556" s="48"/>
      <c r="BC556" s="45">
        <v>0</v>
      </c>
      <c r="BD556" s="45">
        <v>0</v>
      </c>
      <c r="BE556" s="45">
        <v>0</v>
      </c>
      <c r="BF556" s="45">
        <v>0</v>
      </c>
      <c r="BG556" s="45"/>
      <c r="BH556" s="46"/>
      <c r="BI556" s="45">
        <v>0</v>
      </c>
      <c r="BJ556" s="45">
        <v>0</v>
      </c>
      <c r="BK556" s="45"/>
      <c r="BL556" s="45"/>
      <c r="BM556" s="45">
        <v>0</v>
      </c>
      <c r="BN556" s="45"/>
      <c r="BO556" s="45"/>
      <c r="BP556" s="46"/>
      <c r="BQ556" s="29"/>
      <c r="BR556" s="88">
        <v>0</v>
      </c>
      <c r="BS556" s="88">
        <v>0</v>
      </c>
    </row>
    <row r="557" spans="2:71" x14ac:dyDescent="0.2">
      <c r="B557" s="56" t="s">
        <v>64</v>
      </c>
      <c r="C557" s="45"/>
      <c r="D557" s="45">
        <v>0</v>
      </c>
      <c r="E557" s="52">
        <v>0</v>
      </c>
      <c r="F557" s="52">
        <v>0</v>
      </c>
      <c r="G557" s="48"/>
      <c r="H557" s="45">
        <v>0</v>
      </c>
      <c r="I557" s="45">
        <v>0</v>
      </c>
      <c r="J557" s="45">
        <v>0</v>
      </c>
      <c r="K557" s="45"/>
      <c r="L557" s="45"/>
      <c r="M557" s="52">
        <v>0</v>
      </c>
      <c r="N557" s="52">
        <v>0</v>
      </c>
      <c r="O557" s="45">
        <v>0</v>
      </c>
      <c r="P557" s="45"/>
      <c r="Q557" s="52"/>
      <c r="R557" s="52">
        <v>0</v>
      </c>
      <c r="S557" s="61">
        <v>0</v>
      </c>
      <c r="T557" s="49"/>
      <c r="U557" s="49"/>
      <c r="V557" s="45"/>
      <c r="W557" s="45"/>
      <c r="X557" s="45"/>
      <c r="Y557" s="45">
        <v>0</v>
      </c>
      <c r="Z557" s="45">
        <v>0</v>
      </c>
      <c r="AA557" s="45"/>
      <c r="AB557" s="45"/>
      <c r="AC557" s="45"/>
      <c r="AD557" s="52"/>
      <c r="AE557" s="52">
        <v>0</v>
      </c>
      <c r="AF557" s="48">
        <v>0</v>
      </c>
      <c r="AG557" s="52">
        <v>0</v>
      </c>
      <c r="AH557" s="52">
        <v>0</v>
      </c>
      <c r="AI557" s="88"/>
      <c r="AJ557" s="48">
        <v>0</v>
      </c>
      <c r="AK557" s="52">
        <v>0</v>
      </c>
      <c r="AL557" s="52">
        <v>0</v>
      </c>
      <c r="AM557" s="48">
        <v>0</v>
      </c>
      <c r="AN557" s="52">
        <v>0</v>
      </c>
      <c r="AO557" s="52">
        <v>0</v>
      </c>
      <c r="AP557" s="48">
        <v>0</v>
      </c>
      <c r="AQ557" s="88">
        <v>0</v>
      </c>
      <c r="AR557" s="88">
        <v>0</v>
      </c>
      <c r="AS557" s="88"/>
      <c r="AT557" s="88"/>
      <c r="AU557" s="29">
        <v>0</v>
      </c>
      <c r="AV557" s="29"/>
      <c r="AW557" s="88"/>
      <c r="AX557" s="88">
        <v>0</v>
      </c>
      <c r="AY557" s="29"/>
      <c r="AZ557" s="88">
        <v>0</v>
      </c>
      <c r="BA557" s="88">
        <v>0</v>
      </c>
      <c r="BB557" s="48"/>
      <c r="BC557" s="45">
        <v>0</v>
      </c>
      <c r="BD557" s="45">
        <v>0</v>
      </c>
      <c r="BE557" s="45">
        <v>0</v>
      </c>
      <c r="BF557" s="45">
        <v>0</v>
      </c>
      <c r="BG557" s="45"/>
      <c r="BH557" s="46"/>
      <c r="BI557" s="45">
        <v>0</v>
      </c>
      <c r="BJ557" s="45">
        <v>0</v>
      </c>
      <c r="BK557" s="45"/>
      <c r="BL557" s="45"/>
      <c r="BM557" s="45">
        <v>0</v>
      </c>
      <c r="BN557" s="45"/>
      <c r="BO557" s="45"/>
      <c r="BP557" s="46"/>
      <c r="BQ557" s="29"/>
      <c r="BR557" s="88">
        <v>0</v>
      </c>
      <c r="BS557" s="88">
        <v>0</v>
      </c>
    </row>
    <row r="558" spans="2:71" x14ac:dyDescent="0.2">
      <c r="B558" s="56" t="s">
        <v>64</v>
      </c>
      <c r="C558" s="45"/>
      <c r="D558" s="45">
        <v>0</v>
      </c>
      <c r="E558" s="52">
        <v>0</v>
      </c>
      <c r="F558" s="52">
        <v>0</v>
      </c>
      <c r="G558" s="48"/>
      <c r="H558" s="45">
        <v>0</v>
      </c>
      <c r="I558" s="45">
        <v>0</v>
      </c>
      <c r="J558" s="45">
        <v>0</v>
      </c>
      <c r="K558" s="45"/>
      <c r="L558" s="45"/>
      <c r="M558" s="52">
        <v>0</v>
      </c>
      <c r="N558" s="52">
        <v>0</v>
      </c>
      <c r="O558" s="45">
        <v>0</v>
      </c>
      <c r="P558" s="45"/>
      <c r="Q558" s="52"/>
      <c r="R558" s="52">
        <v>0</v>
      </c>
      <c r="S558" s="61">
        <v>0</v>
      </c>
      <c r="T558" s="49"/>
      <c r="U558" s="49"/>
      <c r="V558" s="93"/>
      <c r="W558" s="93"/>
      <c r="X558" s="93"/>
      <c r="Y558" s="85">
        <v>0</v>
      </c>
      <c r="Z558" s="85">
        <v>0</v>
      </c>
      <c r="AA558" s="85"/>
      <c r="AB558" s="45"/>
      <c r="AC558" s="45"/>
      <c r="AD558" s="52"/>
      <c r="AE558" s="52">
        <v>0</v>
      </c>
      <c r="AF558" s="48">
        <v>0</v>
      </c>
      <c r="AG558" s="52">
        <v>0</v>
      </c>
      <c r="AH558" s="52">
        <v>0</v>
      </c>
      <c r="AI558" s="88"/>
      <c r="AJ558" s="48">
        <v>0</v>
      </c>
      <c r="AK558" s="52">
        <v>0</v>
      </c>
      <c r="AL558" s="52">
        <v>0</v>
      </c>
      <c r="AM558" s="48">
        <v>0</v>
      </c>
      <c r="AN558" s="52">
        <v>0</v>
      </c>
      <c r="AO558" s="52">
        <v>0</v>
      </c>
      <c r="AP558" s="48">
        <v>0</v>
      </c>
      <c r="AQ558" s="88">
        <v>0</v>
      </c>
      <c r="AR558" s="88">
        <v>0</v>
      </c>
      <c r="AS558" s="88"/>
      <c r="AT558" s="88"/>
      <c r="AU558" s="29">
        <v>0</v>
      </c>
      <c r="AV558" s="29"/>
      <c r="AW558" s="88"/>
      <c r="AX558" s="88">
        <v>0</v>
      </c>
      <c r="AY558" s="29"/>
      <c r="AZ558" s="88">
        <v>0</v>
      </c>
      <c r="BA558" s="88">
        <v>0</v>
      </c>
      <c r="BB558" s="48"/>
      <c r="BC558" s="45">
        <v>0</v>
      </c>
      <c r="BD558" s="45">
        <v>0</v>
      </c>
      <c r="BE558" s="45">
        <v>0</v>
      </c>
      <c r="BF558" s="45">
        <v>0</v>
      </c>
      <c r="BG558" s="45"/>
      <c r="BH558" s="46"/>
      <c r="BI558" s="45">
        <v>0</v>
      </c>
      <c r="BJ558" s="45">
        <v>0</v>
      </c>
      <c r="BK558" s="45"/>
      <c r="BL558" s="45"/>
      <c r="BM558" s="45">
        <v>0</v>
      </c>
      <c r="BN558" s="45"/>
      <c r="BO558" s="45"/>
      <c r="BP558" s="46"/>
      <c r="BQ558" s="29"/>
      <c r="BR558" s="88">
        <v>0</v>
      </c>
      <c r="BS558" s="88">
        <v>0</v>
      </c>
    </row>
    <row r="559" spans="2:71" x14ac:dyDescent="0.2">
      <c r="B559" s="56" t="s">
        <v>64</v>
      </c>
      <c r="C559" s="45"/>
      <c r="D559" s="45">
        <v>0</v>
      </c>
      <c r="E559" s="52">
        <v>0</v>
      </c>
      <c r="F559" s="52">
        <v>0</v>
      </c>
      <c r="G559" s="48"/>
      <c r="H559" s="45">
        <v>0</v>
      </c>
      <c r="I559" s="45">
        <v>0</v>
      </c>
      <c r="J559" s="45">
        <v>0</v>
      </c>
      <c r="K559" s="45"/>
      <c r="L559" s="45"/>
      <c r="M559" s="52">
        <v>0</v>
      </c>
      <c r="N559" s="52">
        <v>0</v>
      </c>
      <c r="O559" s="45">
        <v>0</v>
      </c>
      <c r="P559" s="45"/>
      <c r="Q559" s="52"/>
      <c r="R559" s="52">
        <v>0</v>
      </c>
      <c r="S559" s="61">
        <v>0</v>
      </c>
      <c r="T559" s="49"/>
      <c r="U559" s="49"/>
      <c r="V559" s="93"/>
      <c r="W559" s="93"/>
      <c r="X559" s="93"/>
      <c r="Y559" s="85">
        <v>0</v>
      </c>
      <c r="Z559" s="85">
        <v>0</v>
      </c>
      <c r="AA559" s="85"/>
      <c r="AB559" s="45"/>
      <c r="AC559" s="45"/>
      <c r="AD559" s="52"/>
      <c r="AE559" s="52">
        <v>0</v>
      </c>
      <c r="AF559" s="48">
        <v>0</v>
      </c>
      <c r="AG559" s="52">
        <v>0</v>
      </c>
      <c r="AH559" s="52">
        <v>0</v>
      </c>
      <c r="AI559" s="88"/>
      <c r="AJ559" s="48">
        <v>0</v>
      </c>
      <c r="AK559" s="52">
        <v>0</v>
      </c>
      <c r="AL559" s="52">
        <v>0</v>
      </c>
      <c r="AM559" s="48">
        <v>0</v>
      </c>
      <c r="AN559" s="52">
        <v>0</v>
      </c>
      <c r="AO559" s="52">
        <v>0</v>
      </c>
      <c r="AP559" s="48">
        <v>0</v>
      </c>
      <c r="AQ559" s="88">
        <v>0</v>
      </c>
      <c r="AR559" s="88">
        <v>0</v>
      </c>
      <c r="AS559" s="88"/>
      <c r="AT559" s="88"/>
      <c r="AU559" s="29">
        <v>0</v>
      </c>
      <c r="AV559" s="29"/>
      <c r="AW559" s="88"/>
      <c r="AX559" s="88">
        <v>0</v>
      </c>
      <c r="AY559" s="29"/>
      <c r="AZ559" s="88">
        <v>0</v>
      </c>
      <c r="BA559" s="88">
        <v>0</v>
      </c>
      <c r="BB559" s="48"/>
      <c r="BC559" s="45">
        <v>0</v>
      </c>
      <c r="BD559" s="45">
        <v>0</v>
      </c>
      <c r="BE559" s="45">
        <v>0</v>
      </c>
      <c r="BF559" s="45">
        <v>0</v>
      </c>
      <c r="BG559" s="45"/>
      <c r="BH559" s="46"/>
      <c r="BI559" s="45">
        <v>0</v>
      </c>
      <c r="BJ559" s="45">
        <v>0</v>
      </c>
      <c r="BK559" s="45"/>
      <c r="BL559" s="45"/>
      <c r="BM559" s="45">
        <v>0</v>
      </c>
      <c r="BN559" s="45"/>
      <c r="BO559" s="45"/>
      <c r="BP559" s="46"/>
      <c r="BQ559" s="29"/>
      <c r="BR559" s="88">
        <v>0</v>
      </c>
      <c r="BS559" s="88">
        <v>0</v>
      </c>
    </row>
    <row r="560" spans="2:71" x14ac:dyDescent="0.2">
      <c r="B560" s="56" t="s">
        <v>64</v>
      </c>
      <c r="C560" s="45"/>
      <c r="D560" s="45">
        <v>0</v>
      </c>
      <c r="E560" s="52">
        <v>0</v>
      </c>
      <c r="F560" s="52">
        <v>0</v>
      </c>
      <c r="G560" s="48"/>
      <c r="H560" s="45">
        <v>0</v>
      </c>
      <c r="I560" s="45">
        <v>0</v>
      </c>
      <c r="J560" s="45">
        <v>0</v>
      </c>
      <c r="K560" s="45"/>
      <c r="L560" s="45"/>
      <c r="M560" s="52">
        <v>0</v>
      </c>
      <c r="N560" s="52">
        <v>0</v>
      </c>
      <c r="O560" s="45">
        <v>0</v>
      </c>
      <c r="P560" s="45"/>
      <c r="Q560" s="52"/>
      <c r="R560" s="52">
        <v>0</v>
      </c>
      <c r="S560" s="61">
        <v>0</v>
      </c>
      <c r="T560" s="49"/>
      <c r="U560" s="49"/>
      <c r="V560" s="93"/>
      <c r="W560" s="93"/>
      <c r="X560" s="93"/>
      <c r="Y560" s="85">
        <v>0</v>
      </c>
      <c r="Z560" s="85">
        <v>0</v>
      </c>
      <c r="AA560" s="85"/>
      <c r="AB560" s="45"/>
      <c r="AC560" s="45"/>
      <c r="AD560" s="52"/>
      <c r="AE560" s="52">
        <v>0</v>
      </c>
      <c r="AF560" s="48">
        <v>0</v>
      </c>
      <c r="AG560" s="52">
        <v>0</v>
      </c>
      <c r="AH560" s="52">
        <v>0</v>
      </c>
      <c r="AI560" s="88"/>
      <c r="AJ560" s="48">
        <v>0</v>
      </c>
      <c r="AK560" s="52">
        <v>0</v>
      </c>
      <c r="AL560" s="52">
        <v>0</v>
      </c>
      <c r="AM560" s="48">
        <v>0</v>
      </c>
      <c r="AN560" s="52">
        <v>0</v>
      </c>
      <c r="AO560" s="52">
        <v>0</v>
      </c>
      <c r="AP560" s="48">
        <v>0</v>
      </c>
      <c r="AQ560" s="88">
        <v>0</v>
      </c>
      <c r="AR560" s="88">
        <v>0</v>
      </c>
      <c r="AS560" s="88"/>
      <c r="AT560" s="88"/>
      <c r="AU560" s="29">
        <v>0</v>
      </c>
      <c r="AV560" s="29"/>
      <c r="AW560" s="88"/>
      <c r="AX560" s="88">
        <v>0</v>
      </c>
      <c r="AY560" s="29"/>
      <c r="AZ560" s="88">
        <v>0</v>
      </c>
      <c r="BA560" s="88">
        <v>0</v>
      </c>
      <c r="BB560" s="48"/>
      <c r="BC560" s="45">
        <v>0</v>
      </c>
      <c r="BD560" s="45">
        <v>0</v>
      </c>
      <c r="BE560" s="45">
        <v>0</v>
      </c>
      <c r="BF560" s="45">
        <v>0</v>
      </c>
      <c r="BG560" s="45"/>
      <c r="BH560" s="46"/>
      <c r="BI560" s="45">
        <v>0</v>
      </c>
      <c r="BJ560" s="45">
        <v>0</v>
      </c>
      <c r="BK560" s="45"/>
      <c r="BL560" s="45"/>
      <c r="BM560" s="45">
        <v>0</v>
      </c>
      <c r="BN560" s="45"/>
      <c r="BO560" s="45"/>
      <c r="BP560" s="46"/>
      <c r="BQ560" s="29"/>
      <c r="BR560" s="88">
        <v>0</v>
      </c>
      <c r="BS560" s="88">
        <v>0</v>
      </c>
    </row>
    <row r="561" spans="2:71" x14ac:dyDescent="0.2">
      <c r="B561" s="56" t="s">
        <v>64</v>
      </c>
      <c r="C561" s="45"/>
      <c r="D561" s="45">
        <v>0</v>
      </c>
      <c r="E561" s="52">
        <v>0</v>
      </c>
      <c r="F561" s="52">
        <v>0</v>
      </c>
      <c r="G561" s="48"/>
      <c r="H561" s="45">
        <v>0</v>
      </c>
      <c r="I561" s="45">
        <v>0</v>
      </c>
      <c r="J561" s="45">
        <v>0</v>
      </c>
      <c r="K561" s="45"/>
      <c r="L561" s="45"/>
      <c r="M561" s="52">
        <v>0</v>
      </c>
      <c r="N561" s="52">
        <v>0</v>
      </c>
      <c r="O561" s="45">
        <v>0</v>
      </c>
      <c r="P561" s="45"/>
      <c r="Q561" s="52"/>
      <c r="R561" s="52">
        <v>0</v>
      </c>
      <c r="S561" s="61">
        <v>0</v>
      </c>
      <c r="T561" s="49"/>
      <c r="U561" s="49"/>
      <c r="V561" s="93"/>
      <c r="W561" s="93"/>
      <c r="X561" s="93"/>
      <c r="Y561" s="85">
        <v>0</v>
      </c>
      <c r="Z561" s="85">
        <v>0</v>
      </c>
      <c r="AA561" s="85"/>
      <c r="AB561" s="45"/>
      <c r="AC561" s="45"/>
      <c r="AD561" s="52"/>
      <c r="AE561" s="52">
        <v>0</v>
      </c>
      <c r="AF561" s="48">
        <v>0</v>
      </c>
      <c r="AG561" s="52">
        <v>0</v>
      </c>
      <c r="AH561" s="52">
        <v>0</v>
      </c>
      <c r="AI561" s="88"/>
      <c r="AJ561" s="48">
        <v>0</v>
      </c>
      <c r="AK561" s="52">
        <v>0</v>
      </c>
      <c r="AL561" s="52">
        <v>0</v>
      </c>
      <c r="AM561" s="48">
        <v>0</v>
      </c>
      <c r="AN561" s="52">
        <v>0</v>
      </c>
      <c r="AO561" s="52">
        <v>0</v>
      </c>
      <c r="AP561" s="48">
        <v>0</v>
      </c>
      <c r="AQ561" s="88">
        <v>0</v>
      </c>
      <c r="AR561" s="88">
        <v>0</v>
      </c>
      <c r="AS561" s="88"/>
      <c r="AT561" s="88"/>
      <c r="AU561" s="29">
        <v>0</v>
      </c>
      <c r="AV561" s="29"/>
      <c r="AW561" s="88"/>
      <c r="AX561" s="88">
        <v>0</v>
      </c>
      <c r="AY561" s="29"/>
      <c r="AZ561" s="88">
        <v>0</v>
      </c>
      <c r="BA561" s="88">
        <v>0</v>
      </c>
      <c r="BB561" s="48"/>
      <c r="BC561" s="45">
        <v>0</v>
      </c>
      <c r="BD561" s="45">
        <v>0</v>
      </c>
      <c r="BE561" s="45">
        <v>0</v>
      </c>
      <c r="BF561" s="45">
        <v>0</v>
      </c>
      <c r="BG561" s="45"/>
      <c r="BH561" s="46"/>
      <c r="BI561" s="45">
        <v>0</v>
      </c>
      <c r="BJ561" s="45">
        <v>0</v>
      </c>
      <c r="BK561" s="45"/>
      <c r="BL561" s="45"/>
      <c r="BM561" s="45">
        <v>0</v>
      </c>
      <c r="BN561" s="45"/>
      <c r="BO561" s="45"/>
      <c r="BP561" s="46"/>
      <c r="BQ561" s="29"/>
      <c r="BR561" s="88">
        <v>0</v>
      </c>
      <c r="BS561" s="88">
        <v>0</v>
      </c>
    </row>
    <row r="562" spans="2:71" x14ac:dyDescent="0.2">
      <c r="B562" s="56" t="s">
        <v>64</v>
      </c>
      <c r="C562" s="45"/>
      <c r="D562" s="45">
        <v>0</v>
      </c>
      <c r="E562" s="52">
        <v>0</v>
      </c>
      <c r="F562" s="52">
        <v>0</v>
      </c>
      <c r="G562" s="48"/>
      <c r="H562" s="45">
        <v>0</v>
      </c>
      <c r="I562" s="45">
        <v>0</v>
      </c>
      <c r="J562" s="45">
        <v>0</v>
      </c>
      <c r="K562" s="45"/>
      <c r="L562" s="45"/>
      <c r="M562" s="52">
        <v>0</v>
      </c>
      <c r="N562" s="52">
        <v>0</v>
      </c>
      <c r="O562" s="45">
        <v>0</v>
      </c>
      <c r="P562" s="45"/>
      <c r="Q562" s="52"/>
      <c r="R562" s="52">
        <v>0</v>
      </c>
      <c r="S562" s="61">
        <v>0</v>
      </c>
      <c r="T562" s="49"/>
      <c r="U562" s="49"/>
      <c r="V562" s="93"/>
      <c r="W562" s="93"/>
      <c r="X562" s="93"/>
      <c r="Y562" s="85">
        <v>0</v>
      </c>
      <c r="Z562" s="85">
        <v>0</v>
      </c>
      <c r="AA562" s="85"/>
      <c r="AB562" s="45"/>
      <c r="AC562" s="45"/>
      <c r="AD562" s="52"/>
      <c r="AE562" s="52">
        <v>0</v>
      </c>
      <c r="AF562" s="48">
        <v>0</v>
      </c>
      <c r="AG562" s="52">
        <v>0</v>
      </c>
      <c r="AH562" s="52">
        <v>0</v>
      </c>
      <c r="AI562" s="88"/>
      <c r="AJ562" s="48">
        <v>0</v>
      </c>
      <c r="AK562" s="52">
        <v>0</v>
      </c>
      <c r="AL562" s="52">
        <v>0</v>
      </c>
      <c r="AM562" s="48">
        <v>0</v>
      </c>
      <c r="AN562" s="52">
        <v>0</v>
      </c>
      <c r="AO562" s="52">
        <v>0</v>
      </c>
      <c r="AP562" s="48">
        <v>0</v>
      </c>
      <c r="AQ562" s="88">
        <v>0</v>
      </c>
      <c r="AR562" s="88">
        <v>0</v>
      </c>
      <c r="AS562" s="88"/>
      <c r="AT562" s="88"/>
      <c r="AU562" s="29">
        <v>0</v>
      </c>
      <c r="AV562" s="29"/>
      <c r="AW562" s="88"/>
      <c r="AX562" s="88">
        <v>0</v>
      </c>
      <c r="AY562" s="29"/>
      <c r="AZ562" s="88">
        <v>0</v>
      </c>
      <c r="BA562" s="88">
        <v>0</v>
      </c>
      <c r="BB562" s="48"/>
      <c r="BC562" s="45">
        <v>0</v>
      </c>
      <c r="BD562" s="45">
        <v>0</v>
      </c>
      <c r="BE562" s="45">
        <v>0</v>
      </c>
      <c r="BF562" s="45">
        <v>0</v>
      </c>
      <c r="BG562" s="45"/>
      <c r="BH562" s="46"/>
      <c r="BI562" s="45">
        <v>0</v>
      </c>
      <c r="BJ562" s="45">
        <v>0</v>
      </c>
      <c r="BK562" s="45"/>
      <c r="BL562" s="45"/>
      <c r="BM562" s="45">
        <v>0</v>
      </c>
      <c r="BN562" s="45"/>
      <c r="BO562" s="45"/>
      <c r="BP562" s="46"/>
      <c r="BQ562" s="29"/>
      <c r="BR562" s="88">
        <v>0</v>
      </c>
      <c r="BS562" s="88">
        <v>0</v>
      </c>
    </row>
    <row r="563" spans="2:71" x14ac:dyDescent="0.2">
      <c r="B563" s="56" t="s">
        <v>64</v>
      </c>
      <c r="C563" s="45"/>
      <c r="D563" s="45">
        <v>0</v>
      </c>
      <c r="E563" s="52">
        <v>0</v>
      </c>
      <c r="F563" s="52">
        <v>0</v>
      </c>
      <c r="G563" s="48"/>
      <c r="H563" s="45">
        <v>0</v>
      </c>
      <c r="I563" s="45">
        <v>0</v>
      </c>
      <c r="J563" s="45">
        <v>0</v>
      </c>
      <c r="K563" s="45"/>
      <c r="L563" s="45"/>
      <c r="M563" s="52">
        <v>0</v>
      </c>
      <c r="N563" s="52">
        <v>0</v>
      </c>
      <c r="O563" s="45">
        <v>0</v>
      </c>
      <c r="P563" s="45"/>
      <c r="Q563" s="52"/>
      <c r="R563" s="52">
        <v>0</v>
      </c>
      <c r="S563" s="61">
        <v>0</v>
      </c>
      <c r="T563" s="49"/>
      <c r="U563" s="49"/>
      <c r="V563" s="93"/>
      <c r="W563" s="93"/>
      <c r="X563" s="93"/>
      <c r="Y563" s="85">
        <v>0</v>
      </c>
      <c r="Z563" s="85">
        <v>0</v>
      </c>
      <c r="AA563" s="85"/>
      <c r="AB563" s="45"/>
      <c r="AC563" s="45"/>
      <c r="AD563" s="52"/>
      <c r="AE563" s="52">
        <v>0</v>
      </c>
      <c r="AF563" s="48">
        <v>0</v>
      </c>
      <c r="AG563" s="52">
        <v>0</v>
      </c>
      <c r="AH563" s="52">
        <v>0</v>
      </c>
      <c r="AI563" s="88"/>
      <c r="AJ563" s="48">
        <v>0</v>
      </c>
      <c r="AK563" s="52">
        <v>0</v>
      </c>
      <c r="AL563" s="52">
        <v>0</v>
      </c>
      <c r="AM563" s="48">
        <v>0</v>
      </c>
      <c r="AN563" s="52">
        <v>0</v>
      </c>
      <c r="AO563" s="52">
        <v>0</v>
      </c>
      <c r="AP563" s="48">
        <v>0</v>
      </c>
      <c r="AQ563" s="88">
        <v>0</v>
      </c>
      <c r="AR563" s="88">
        <v>0</v>
      </c>
      <c r="AS563" s="88"/>
      <c r="AT563" s="88"/>
      <c r="AU563" s="29">
        <v>0</v>
      </c>
      <c r="AV563" s="29"/>
      <c r="AW563" s="88"/>
      <c r="AX563" s="88">
        <v>0</v>
      </c>
      <c r="AY563" s="29"/>
      <c r="AZ563" s="88">
        <v>0</v>
      </c>
      <c r="BA563" s="88">
        <v>0</v>
      </c>
      <c r="BB563" s="48"/>
      <c r="BC563" s="45">
        <v>0</v>
      </c>
      <c r="BD563" s="45">
        <v>0</v>
      </c>
      <c r="BE563" s="45">
        <v>0</v>
      </c>
      <c r="BF563" s="45">
        <v>0</v>
      </c>
      <c r="BG563" s="45"/>
      <c r="BH563" s="46"/>
      <c r="BI563" s="45">
        <v>0</v>
      </c>
      <c r="BJ563" s="45">
        <v>0</v>
      </c>
      <c r="BK563" s="45"/>
      <c r="BL563" s="45"/>
      <c r="BM563" s="45">
        <v>0</v>
      </c>
      <c r="BN563" s="45"/>
      <c r="BO563" s="45"/>
      <c r="BP563" s="46"/>
      <c r="BQ563" s="29"/>
      <c r="BR563" s="88">
        <v>0</v>
      </c>
      <c r="BS563" s="88">
        <v>0</v>
      </c>
    </row>
    <row r="564" spans="2:71" x14ac:dyDescent="0.2">
      <c r="B564" s="56" t="s">
        <v>64</v>
      </c>
      <c r="C564" s="45"/>
      <c r="D564" s="45">
        <v>0</v>
      </c>
      <c r="E564" s="52">
        <v>0</v>
      </c>
      <c r="F564" s="52">
        <v>0</v>
      </c>
      <c r="G564" s="48"/>
      <c r="H564" s="45">
        <v>0</v>
      </c>
      <c r="I564" s="45">
        <v>0</v>
      </c>
      <c r="J564" s="45">
        <v>0</v>
      </c>
      <c r="K564" s="45"/>
      <c r="L564" s="45"/>
      <c r="M564" s="52">
        <v>0</v>
      </c>
      <c r="N564" s="52">
        <v>0</v>
      </c>
      <c r="O564" s="45">
        <v>0</v>
      </c>
      <c r="P564" s="45"/>
      <c r="Q564" s="52"/>
      <c r="R564" s="52">
        <v>0</v>
      </c>
      <c r="S564" s="61">
        <v>0</v>
      </c>
      <c r="T564" s="49"/>
      <c r="U564" s="49"/>
      <c r="V564" s="93"/>
      <c r="W564" s="93"/>
      <c r="X564" s="93"/>
      <c r="Y564" s="85">
        <v>0</v>
      </c>
      <c r="Z564" s="85">
        <v>0</v>
      </c>
      <c r="AA564" s="85"/>
      <c r="AB564" s="45"/>
      <c r="AC564" s="45"/>
      <c r="AD564" s="52"/>
      <c r="AE564" s="52">
        <v>0</v>
      </c>
      <c r="AF564" s="48">
        <v>0</v>
      </c>
      <c r="AG564" s="52">
        <v>0</v>
      </c>
      <c r="AH564" s="52">
        <v>0</v>
      </c>
      <c r="AI564" s="88"/>
      <c r="AJ564" s="48">
        <v>0</v>
      </c>
      <c r="AK564" s="52">
        <v>0</v>
      </c>
      <c r="AL564" s="52">
        <v>0</v>
      </c>
      <c r="AM564" s="48">
        <v>0</v>
      </c>
      <c r="AN564" s="52">
        <v>0</v>
      </c>
      <c r="AO564" s="52">
        <v>0</v>
      </c>
      <c r="AP564" s="48">
        <v>0</v>
      </c>
      <c r="AQ564" s="88">
        <v>0</v>
      </c>
      <c r="AR564" s="88">
        <v>0</v>
      </c>
      <c r="AS564" s="88"/>
      <c r="AT564" s="88"/>
      <c r="AU564" s="29">
        <v>0</v>
      </c>
      <c r="AV564" s="29"/>
      <c r="AW564" s="88"/>
      <c r="AX564" s="88">
        <v>0</v>
      </c>
      <c r="AY564" s="29"/>
      <c r="AZ564" s="88">
        <v>0</v>
      </c>
      <c r="BA564" s="88">
        <v>0</v>
      </c>
      <c r="BB564" s="48"/>
      <c r="BC564" s="45">
        <v>0</v>
      </c>
      <c r="BD564" s="45">
        <v>0</v>
      </c>
      <c r="BE564" s="45">
        <v>0</v>
      </c>
      <c r="BF564" s="45">
        <v>0</v>
      </c>
      <c r="BG564" s="45"/>
      <c r="BH564" s="46"/>
      <c r="BI564" s="45">
        <v>0</v>
      </c>
      <c r="BJ564" s="45">
        <v>0</v>
      </c>
      <c r="BK564" s="45"/>
      <c r="BL564" s="45"/>
      <c r="BM564" s="45">
        <v>0</v>
      </c>
      <c r="BN564" s="45"/>
      <c r="BO564" s="45"/>
      <c r="BP564" s="46"/>
      <c r="BQ564" s="29"/>
      <c r="BR564" s="88">
        <v>0</v>
      </c>
      <c r="BS564" s="88">
        <v>0</v>
      </c>
    </row>
    <row r="565" spans="2:71" x14ac:dyDescent="0.2">
      <c r="B565" s="1" t="s">
        <v>64</v>
      </c>
      <c r="D565" s="61">
        <v>0</v>
      </c>
      <c r="E565" s="61">
        <v>0</v>
      </c>
      <c r="F565" s="61">
        <v>0</v>
      </c>
      <c r="G565" s="61"/>
      <c r="H565" s="61">
        <v>0</v>
      </c>
      <c r="I565" s="61">
        <v>0</v>
      </c>
      <c r="J565" s="61">
        <v>0</v>
      </c>
      <c r="K565" s="61"/>
      <c r="L565" s="61"/>
      <c r="M565" s="61">
        <v>0</v>
      </c>
      <c r="N565" s="61">
        <v>0</v>
      </c>
      <c r="O565" s="61">
        <v>0</v>
      </c>
      <c r="P565" s="61"/>
      <c r="Q565" s="61"/>
      <c r="R565" s="61">
        <v>0</v>
      </c>
      <c r="S565" s="61">
        <v>0</v>
      </c>
      <c r="T565" s="49"/>
      <c r="U565" s="49"/>
      <c r="V565" s="85"/>
      <c r="W565" s="85"/>
      <c r="X565" s="85"/>
      <c r="Y565" s="85">
        <v>0</v>
      </c>
      <c r="Z565" s="85">
        <v>0</v>
      </c>
      <c r="AA565" s="85"/>
      <c r="AB565" s="45"/>
      <c r="AC565" s="85"/>
      <c r="AD565" s="86"/>
      <c r="AE565" s="86">
        <v>0</v>
      </c>
      <c r="AF565" s="29">
        <v>0</v>
      </c>
      <c r="AG565" s="88">
        <v>0</v>
      </c>
      <c r="AH565" s="88">
        <v>0</v>
      </c>
      <c r="AI565" s="88"/>
      <c r="AJ565" s="29">
        <v>0</v>
      </c>
      <c r="AK565" s="88">
        <v>0</v>
      </c>
      <c r="AL565" s="88">
        <v>0</v>
      </c>
      <c r="AM565" s="29">
        <v>0</v>
      </c>
      <c r="AN565" s="88">
        <v>0</v>
      </c>
      <c r="AO565" s="88">
        <v>0</v>
      </c>
      <c r="AP565" s="29">
        <v>0</v>
      </c>
      <c r="AQ565" s="88">
        <v>0</v>
      </c>
      <c r="AR565" s="88">
        <v>0</v>
      </c>
      <c r="AS565" s="88"/>
      <c r="AT565" s="88"/>
      <c r="AU565" s="29">
        <v>0</v>
      </c>
      <c r="AV565" s="29"/>
      <c r="AW565" s="88"/>
      <c r="AX565" s="88">
        <v>0</v>
      </c>
      <c r="AY565" s="29"/>
      <c r="AZ565" s="88">
        <v>0</v>
      </c>
      <c r="BA565" s="88">
        <v>0</v>
      </c>
      <c r="BB565" s="48"/>
      <c r="BC565" s="93">
        <v>0</v>
      </c>
      <c r="BD565" s="85">
        <v>0</v>
      </c>
      <c r="BE565" s="85">
        <v>0</v>
      </c>
      <c r="BF565" s="85">
        <v>0</v>
      </c>
      <c r="BG565" s="85"/>
      <c r="BH565" s="46"/>
      <c r="BI565" s="93">
        <v>0</v>
      </c>
      <c r="BJ565" s="85">
        <v>0</v>
      </c>
      <c r="BK565" s="85"/>
      <c r="BL565" s="85"/>
      <c r="BM565" s="85">
        <v>0</v>
      </c>
      <c r="BN565" s="85"/>
      <c r="BO565" s="85"/>
      <c r="BP565" s="46"/>
      <c r="BQ565" s="29"/>
      <c r="BR565" s="88">
        <v>0</v>
      </c>
      <c r="BS565" s="88">
        <v>0</v>
      </c>
    </row>
    <row r="566" spans="2:71" x14ac:dyDescent="0.2">
      <c r="B566" s="1" t="s">
        <v>64</v>
      </c>
      <c r="D566" s="61">
        <v>0</v>
      </c>
      <c r="E566" s="61">
        <v>0</v>
      </c>
      <c r="F566" s="61">
        <v>0</v>
      </c>
      <c r="G566" s="61"/>
      <c r="H566" s="61">
        <v>0</v>
      </c>
      <c r="I566" s="61">
        <v>0</v>
      </c>
      <c r="J566" s="61">
        <v>0</v>
      </c>
      <c r="K566" s="61"/>
      <c r="L566" s="61"/>
      <c r="M566" s="61">
        <v>0</v>
      </c>
      <c r="N566" s="61">
        <v>0</v>
      </c>
      <c r="O566" s="61">
        <v>0</v>
      </c>
      <c r="P566" s="61"/>
      <c r="Q566" s="61"/>
      <c r="R566" s="61">
        <v>0</v>
      </c>
      <c r="S566" s="61">
        <v>0</v>
      </c>
      <c r="T566" s="49"/>
      <c r="U566" s="49"/>
      <c r="V566" s="85"/>
      <c r="W566" s="85"/>
      <c r="X566" s="85"/>
      <c r="Y566" s="85">
        <v>0</v>
      </c>
      <c r="Z566" s="85">
        <v>0</v>
      </c>
      <c r="AA566" s="85"/>
      <c r="AB566" s="45"/>
      <c r="AC566" s="85"/>
      <c r="AD566" s="86"/>
      <c r="AE566" s="86">
        <v>0</v>
      </c>
      <c r="AF566" s="29">
        <v>0</v>
      </c>
      <c r="AG566" s="88">
        <v>0</v>
      </c>
      <c r="AH566" s="88">
        <v>0</v>
      </c>
      <c r="AI566" s="88"/>
      <c r="AJ566" s="29">
        <v>0</v>
      </c>
      <c r="AK566" s="88">
        <v>0</v>
      </c>
      <c r="AL566" s="88">
        <v>0</v>
      </c>
      <c r="AM566" s="29">
        <v>0</v>
      </c>
      <c r="AN566" s="88">
        <v>0</v>
      </c>
      <c r="AO566" s="88">
        <v>0</v>
      </c>
      <c r="AP566" s="29">
        <v>0</v>
      </c>
      <c r="AQ566" s="88">
        <v>0</v>
      </c>
      <c r="AR566" s="88">
        <v>0</v>
      </c>
      <c r="AS566" s="88"/>
      <c r="AT566" s="88"/>
      <c r="AU566" s="29">
        <v>0</v>
      </c>
      <c r="AV566" s="29"/>
      <c r="AW566" s="88"/>
      <c r="AX566" s="88">
        <v>0</v>
      </c>
      <c r="AY566" s="29"/>
      <c r="AZ566" s="88">
        <v>0</v>
      </c>
      <c r="BA566" s="88">
        <v>0</v>
      </c>
      <c r="BB566" s="48"/>
      <c r="BC566" s="93">
        <v>0</v>
      </c>
      <c r="BD566" s="85">
        <v>0</v>
      </c>
      <c r="BE566" s="85">
        <v>0</v>
      </c>
      <c r="BF566" s="85">
        <v>0</v>
      </c>
      <c r="BG566" s="85"/>
      <c r="BH566" s="46"/>
      <c r="BI566" s="93">
        <v>0</v>
      </c>
      <c r="BJ566" s="85">
        <v>0</v>
      </c>
      <c r="BK566" s="85"/>
      <c r="BL566" s="85"/>
      <c r="BM566" s="85">
        <v>0</v>
      </c>
      <c r="BN566" s="85"/>
      <c r="BO566" s="85"/>
      <c r="BP566" s="46"/>
      <c r="BQ566" s="29"/>
      <c r="BR566" s="88">
        <v>0</v>
      </c>
      <c r="BS566" s="88">
        <v>0</v>
      </c>
    </row>
    <row r="567" spans="2:71" x14ac:dyDescent="0.2">
      <c r="B567" s="1" t="s">
        <v>64</v>
      </c>
      <c r="D567" s="61">
        <v>0</v>
      </c>
      <c r="E567" s="61">
        <v>0</v>
      </c>
      <c r="F567" s="61">
        <v>0</v>
      </c>
      <c r="G567" s="61"/>
      <c r="H567" s="61">
        <v>0</v>
      </c>
      <c r="I567" s="61">
        <v>0</v>
      </c>
      <c r="J567" s="61">
        <v>0</v>
      </c>
      <c r="K567" s="61"/>
      <c r="L567" s="61"/>
      <c r="M567" s="61">
        <v>0</v>
      </c>
      <c r="N567" s="61">
        <v>0</v>
      </c>
      <c r="O567" s="61">
        <v>0</v>
      </c>
      <c r="P567" s="61"/>
      <c r="Q567" s="61"/>
      <c r="R567" s="61">
        <v>0</v>
      </c>
      <c r="S567" s="61">
        <v>0</v>
      </c>
      <c r="T567" s="49"/>
      <c r="U567" s="49"/>
      <c r="V567" s="85"/>
      <c r="W567" s="85"/>
      <c r="X567" s="85"/>
      <c r="Y567" s="85">
        <v>0</v>
      </c>
      <c r="Z567" s="85">
        <v>0</v>
      </c>
      <c r="AA567" s="85"/>
      <c r="AB567" s="45"/>
      <c r="AC567" s="85"/>
      <c r="AD567" s="86"/>
      <c r="AE567" s="86">
        <v>0</v>
      </c>
      <c r="AF567" s="29">
        <v>0</v>
      </c>
      <c r="AG567" s="88">
        <v>0</v>
      </c>
      <c r="AH567" s="88">
        <v>0</v>
      </c>
      <c r="AI567" s="88"/>
      <c r="AJ567" s="29">
        <v>0</v>
      </c>
      <c r="AK567" s="88">
        <v>0</v>
      </c>
      <c r="AL567" s="88">
        <v>0</v>
      </c>
      <c r="AM567" s="29">
        <v>0</v>
      </c>
      <c r="AN567" s="88">
        <v>0</v>
      </c>
      <c r="AO567" s="88">
        <v>0</v>
      </c>
      <c r="AP567" s="29">
        <v>0</v>
      </c>
      <c r="AQ567" s="88">
        <v>0</v>
      </c>
      <c r="AR567" s="88">
        <v>0</v>
      </c>
      <c r="AS567" s="88"/>
      <c r="AT567" s="88"/>
      <c r="AU567" s="29">
        <v>0</v>
      </c>
      <c r="AV567" s="29"/>
      <c r="AW567" s="88"/>
      <c r="AX567" s="88">
        <v>0</v>
      </c>
      <c r="AY567" s="29"/>
      <c r="AZ567" s="88">
        <v>0</v>
      </c>
      <c r="BA567" s="88">
        <v>0</v>
      </c>
      <c r="BB567" s="48"/>
      <c r="BC567" s="93">
        <v>0</v>
      </c>
      <c r="BD567" s="85">
        <v>0</v>
      </c>
      <c r="BE567" s="85">
        <v>0</v>
      </c>
      <c r="BF567" s="85">
        <v>0</v>
      </c>
      <c r="BG567" s="85"/>
      <c r="BH567" s="46"/>
      <c r="BI567" s="93">
        <v>0</v>
      </c>
      <c r="BJ567" s="85">
        <v>0</v>
      </c>
      <c r="BK567" s="85"/>
      <c r="BL567" s="85"/>
      <c r="BM567" s="85">
        <v>0</v>
      </c>
      <c r="BN567" s="85"/>
      <c r="BO567" s="85"/>
      <c r="BP567" s="46"/>
      <c r="BQ567" s="29"/>
      <c r="BR567" s="88">
        <v>0</v>
      </c>
      <c r="BS567" s="88">
        <v>0</v>
      </c>
    </row>
    <row r="568" spans="2:71" x14ac:dyDescent="0.2">
      <c r="B568" s="1" t="s">
        <v>64</v>
      </c>
      <c r="D568" s="61">
        <v>0</v>
      </c>
      <c r="E568" s="61">
        <v>0</v>
      </c>
      <c r="F568" s="61">
        <v>0</v>
      </c>
      <c r="G568" s="61"/>
      <c r="H568" s="61">
        <v>0</v>
      </c>
      <c r="I568" s="61">
        <v>0</v>
      </c>
      <c r="J568" s="61">
        <v>0</v>
      </c>
      <c r="K568" s="61"/>
      <c r="L568" s="61"/>
      <c r="M568" s="61">
        <v>0</v>
      </c>
      <c r="N568" s="61">
        <v>0</v>
      </c>
      <c r="O568" s="61">
        <v>0</v>
      </c>
      <c r="P568" s="61"/>
      <c r="Q568" s="61"/>
      <c r="R568" s="61">
        <v>0</v>
      </c>
      <c r="S568" s="61">
        <v>0</v>
      </c>
      <c r="T568" s="49"/>
      <c r="U568" s="49"/>
      <c r="V568" s="85"/>
      <c r="W568" s="85"/>
      <c r="X568" s="85"/>
      <c r="Y568" s="85">
        <v>0</v>
      </c>
      <c r="Z568" s="85">
        <v>0</v>
      </c>
      <c r="AA568" s="85"/>
      <c r="AB568" s="45"/>
      <c r="AC568" s="85"/>
      <c r="AD568" s="86"/>
      <c r="AE568" s="86">
        <v>0</v>
      </c>
      <c r="AF568" s="29">
        <v>0</v>
      </c>
      <c r="AG568" s="88">
        <v>0</v>
      </c>
      <c r="AH568" s="88">
        <v>0</v>
      </c>
      <c r="AI568" s="88"/>
      <c r="AJ568" s="29">
        <v>0</v>
      </c>
      <c r="AK568" s="88">
        <v>0</v>
      </c>
      <c r="AL568" s="88">
        <v>0</v>
      </c>
      <c r="AM568" s="29">
        <v>0</v>
      </c>
      <c r="AN568" s="88">
        <v>0</v>
      </c>
      <c r="AO568" s="88">
        <v>0</v>
      </c>
      <c r="AP568" s="29">
        <v>0</v>
      </c>
      <c r="AQ568" s="88">
        <v>0</v>
      </c>
      <c r="AR568" s="88">
        <v>0</v>
      </c>
      <c r="AS568" s="88"/>
      <c r="AT568" s="88"/>
      <c r="AU568" s="29">
        <v>0</v>
      </c>
      <c r="AV568" s="29"/>
      <c r="AW568" s="88"/>
      <c r="AX568" s="88">
        <v>0</v>
      </c>
      <c r="AY568" s="29"/>
      <c r="AZ568" s="88">
        <v>0</v>
      </c>
      <c r="BA568" s="88">
        <v>0</v>
      </c>
      <c r="BB568" s="48"/>
      <c r="BC568" s="93">
        <v>0</v>
      </c>
      <c r="BD568" s="85">
        <v>0</v>
      </c>
      <c r="BE568" s="85">
        <v>0</v>
      </c>
      <c r="BF568" s="85">
        <v>0</v>
      </c>
      <c r="BG568" s="85"/>
      <c r="BH568" s="46"/>
      <c r="BI568" s="93">
        <v>0</v>
      </c>
      <c r="BJ568" s="85">
        <v>0</v>
      </c>
      <c r="BK568" s="85"/>
      <c r="BL568" s="85"/>
      <c r="BM568" s="85">
        <v>0</v>
      </c>
      <c r="BN568" s="85"/>
      <c r="BO568" s="85"/>
      <c r="BP568" s="46"/>
      <c r="BQ568" s="29"/>
      <c r="BR568" s="88">
        <v>0</v>
      </c>
      <c r="BS568" s="88">
        <v>0</v>
      </c>
    </row>
    <row r="569" spans="2:71" x14ac:dyDescent="0.2">
      <c r="B569" s="1" t="s">
        <v>64</v>
      </c>
      <c r="D569" s="61">
        <v>0</v>
      </c>
      <c r="E569" s="61">
        <v>0</v>
      </c>
      <c r="F569" s="61">
        <v>0</v>
      </c>
      <c r="G569" s="61"/>
      <c r="H569" s="61">
        <v>0</v>
      </c>
      <c r="I569" s="61">
        <v>0</v>
      </c>
      <c r="J569" s="61">
        <v>0</v>
      </c>
      <c r="K569" s="61"/>
      <c r="L569" s="61"/>
      <c r="M569" s="61">
        <v>0</v>
      </c>
      <c r="N569" s="61">
        <v>0</v>
      </c>
      <c r="O569" s="61">
        <v>0</v>
      </c>
      <c r="P569" s="61"/>
      <c r="Q569" s="61"/>
      <c r="R569" s="61">
        <v>0</v>
      </c>
      <c r="S569" s="61">
        <v>0</v>
      </c>
      <c r="T569" s="49"/>
      <c r="U569" s="49"/>
      <c r="V569" s="85"/>
      <c r="W569" s="85"/>
      <c r="X569" s="85"/>
      <c r="Y569" s="85">
        <v>0</v>
      </c>
      <c r="Z569" s="85">
        <v>0</v>
      </c>
      <c r="AA569" s="85"/>
      <c r="AB569" s="45"/>
      <c r="AC569" s="85"/>
      <c r="AD569" s="86"/>
      <c r="AE569" s="86">
        <v>0</v>
      </c>
      <c r="AF569" s="29">
        <v>0</v>
      </c>
      <c r="AG569" s="88">
        <v>0</v>
      </c>
      <c r="AH569" s="88">
        <v>0</v>
      </c>
      <c r="AI569" s="88"/>
      <c r="AJ569" s="29">
        <v>0</v>
      </c>
      <c r="AK569" s="88">
        <v>0</v>
      </c>
      <c r="AL569" s="88">
        <v>0</v>
      </c>
      <c r="AM569" s="29">
        <v>0</v>
      </c>
      <c r="AN569" s="88">
        <v>0</v>
      </c>
      <c r="AO569" s="88">
        <v>0</v>
      </c>
      <c r="AP569" s="29">
        <v>0</v>
      </c>
      <c r="AQ569" s="88">
        <v>0</v>
      </c>
      <c r="AR569" s="88">
        <v>0</v>
      </c>
      <c r="AS569" s="88"/>
      <c r="AT569" s="88"/>
      <c r="AU569" s="29">
        <v>0</v>
      </c>
      <c r="AV569" s="29"/>
      <c r="AW569" s="88"/>
      <c r="AX569" s="88">
        <v>0</v>
      </c>
      <c r="AY569" s="29"/>
      <c r="AZ569" s="88">
        <v>0</v>
      </c>
      <c r="BA569" s="88">
        <v>0</v>
      </c>
      <c r="BB569" s="48"/>
      <c r="BC569" s="93">
        <v>0</v>
      </c>
      <c r="BD569" s="85">
        <v>0</v>
      </c>
      <c r="BE569" s="85">
        <v>0</v>
      </c>
      <c r="BF569" s="85">
        <v>0</v>
      </c>
      <c r="BG569" s="85"/>
      <c r="BH569" s="46"/>
      <c r="BI569" s="93">
        <v>0</v>
      </c>
      <c r="BJ569" s="85">
        <v>0</v>
      </c>
      <c r="BK569" s="85"/>
      <c r="BL569" s="85"/>
      <c r="BM569" s="85">
        <v>0</v>
      </c>
      <c r="BN569" s="85"/>
      <c r="BO569" s="85"/>
      <c r="BP569" s="46"/>
      <c r="BQ569" s="29"/>
      <c r="BR569" s="88">
        <v>0</v>
      </c>
      <c r="BS569" s="88">
        <v>0</v>
      </c>
    </row>
    <row r="570" spans="2:71" x14ac:dyDescent="0.2">
      <c r="B570" s="1" t="s">
        <v>64</v>
      </c>
      <c r="D570" s="61">
        <v>0</v>
      </c>
      <c r="E570" s="61">
        <v>0</v>
      </c>
      <c r="F570" s="61">
        <v>0</v>
      </c>
      <c r="G570" s="61"/>
      <c r="H570" s="61">
        <v>0</v>
      </c>
      <c r="I570" s="61">
        <v>0</v>
      </c>
      <c r="J570" s="61">
        <v>0</v>
      </c>
      <c r="K570" s="61"/>
      <c r="L570" s="61"/>
      <c r="M570" s="61">
        <v>0</v>
      </c>
      <c r="N570" s="61">
        <v>0</v>
      </c>
      <c r="O570" s="61">
        <v>0</v>
      </c>
      <c r="P570" s="61"/>
      <c r="Q570" s="61"/>
      <c r="R570" s="61">
        <v>0</v>
      </c>
      <c r="S570" s="61">
        <v>0</v>
      </c>
      <c r="T570" s="49"/>
      <c r="U570" s="49"/>
      <c r="V570" s="85"/>
      <c r="W570" s="85"/>
      <c r="X570" s="85"/>
      <c r="Y570" s="85">
        <v>0</v>
      </c>
      <c r="Z570" s="85">
        <v>0</v>
      </c>
      <c r="AA570" s="85"/>
      <c r="AB570" s="45"/>
      <c r="AC570" s="85"/>
      <c r="AD570" s="86"/>
      <c r="AE570" s="86">
        <v>0</v>
      </c>
      <c r="AF570" s="29">
        <v>0</v>
      </c>
      <c r="AG570" s="88">
        <v>0</v>
      </c>
      <c r="AH570" s="88">
        <v>0</v>
      </c>
      <c r="AI570" s="88"/>
      <c r="AJ570" s="29">
        <v>0</v>
      </c>
      <c r="AK570" s="88">
        <v>0</v>
      </c>
      <c r="AL570" s="88">
        <v>0</v>
      </c>
      <c r="AM570" s="29">
        <v>0</v>
      </c>
      <c r="AN570" s="88">
        <v>0</v>
      </c>
      <c r="AO570" s="88">
        <v>0</v>
      </c>
      <c r="AP570" s="29">
        <v>0</v>
      </c>
      <c r="AQ570" s="88">
        <v>0</v>
      </c>
      <c r="AR570" s="88">
        <v>0</v>
      </c>
      <c r="AS570" s="88"/>
      <c r="AT570" s="88"/>
      <c r="AU570" s="29">
        <v>0</v>
      </c>
      <c r="AV570" s="29"/>
      <c r="AW570" s="88"/>
      <c r="AX570" s="88">
        <v>0</v>
      </c>
      <c r="AY570" s="29"/>
      <c r="AZ570" s="88">
        <v>0</v>
      </c>
      <c r="BA570" s="88">
        <v>0</v>
      </c>
      <c r="BB570" s="48"/>
      <c r="BC570" s="93">
        <v>0</v>
      </c>
      <c r="BD570" s="85">
        <v>0</v>
      </c>
      <c r="BE570" s="85">
        <v>0</v>
      </c>
      <c r="BF570" s="85">
        <v>0</v>
      </c>
      <c r="BG570" s="85"/>
      <c r="BH570" s="46"/>
      <c r="BI570" s="93">
        <v>0</v>
      </c>
      <c r="BJ570" s="85">
        <v>0</v>
      </c>
      <c r="BK570" s="85"/>
      <c r="BL570" s="85"/>
      <c r="BM570" s="85">
        <v>0</v>
      </c>
      <c r="BN570" s="85"/>
      <c r="BO570" s="85"/>
      <c r="BP570" s="46"/>
      <c r="BQ570" s="29"/>
      <c r="BR570" s="88">
        <v>0</v>
      </c>
      <c r="BS570" s="88">
        <v>0</v>
      </c>
    </row>
    <row r="571" spans="2:71" x14ac:dyDescent="0.2">
      <c r="B571" s="1" t="s">
        <v>64</v>
      </c>
      <c r="D571" s="61">
        <v>0</v>
      </c>
      <c r="E571" s="61">
        <v>0</v>
      </c>
      <c r="F571" s="61">
        <v>0</v>
      </c>
      <c r="G571" s="61"/>
      <c r="H571" s="61">
        <v>0</v>
      </c>
      <c r="I571" s="61">
        <v>0</v>
      </c>
      <c r="J571" s="61">
        <v>0</v>
      </c>
      <c r="K571" s="61"/>
      <c r="L571" s="61"/>
      <c r="M571" s="61">
        <v>0</v>
      </c>
      <c r="N571" s="61">
        <v>0</v>
      </c>
      <c r="O571" s="61">
        <v>0</v>
      </c>
      <c r="P571" s="61"/>
      <c r="Q571" s="61"/>
      <c r="R571" s="61">
        <v>0</v>
      </c>
      <c r="S571" s="61">
        <v>0</v>
      </c>
      <c r="T571" s="49"/>
      <c r="U571" s="49"/>
      <c r="V571" s="85"/>
      <c r="W571" s="85"/>
      <c r="X571" s="85"/>
      <c r="Y571" s="85">
        <v>0</v>
      </c>
      <c r="Z571" s="85">
        <v>0</v>
      </c>
      <c r="AA571" s="85"/>
      <c r="AB571" s="45"/>
      <c r="AC571" s="85"/>
      <c r="AD571" s="86"/>
      <c r="AE571" s="86">
        <v>0</v>
      </c>
      <c r="AF571" s="29">
        <v>0</v>
      </c>
      <c r="AG571" s="88">
        <v>0</v>
      </c>
      <c r="AH571" s="88">
        <v>0</v>
      </c>
      <c r="AI571" s="88"/>
      <c r="AJ571" s="29">
        <v>0</v>
      </c>
      <c r="AK571" s="88">
        <v>0</v>
      </c>
      <c r="AL571" s="88">
        <v>0</v>
      </c>
      <c r="AM571" s="29">
        <v>0</v>
      </c>
      <c r="AN571" s="88">
        <v>0</v>
      </c>
      <c r="AO571" s="88">
        <v>0</v>
      </c>
      <c r="AP571" s="29">
        <v>0</v>
      </c>
      <c r="AQ571" s="88">
        <v>0</v>
      </c>
      <c r="AR571" s="88">
        <v>0</v>
      </c>
      <c r="AS571" s="88"/>
      <c r="AT571" s="88"/>
      <c r="AU571" s="29">
        <v>0</v>
      </c>
      <c r="AV571" s="29"/>
      <c r="AW571" s="88"/>
      <c r="AX571" s="88">
        <v>0</v>
      </c>
      <c r="AY571" s="29"/>
      <c r="AZ571" s="88">
        <v>0</v>
      </c>
      <c r="BA571" s="88">
        <v>0</v>
      </c>
      <c r="BB571" s="48"/>
      <c r="BC571" s="93">
        <v>0</v>
      </c>
      <c r="BD571" s="85">
        <v>0</v>
      </c>
      <c r="BE571" s="85">
        <v>0</v>
      </c>
      <c r="BF571" s="85">
        <v>0</v>
      </c>
      <c r="BG571" s="85"/>
      <c r="BH571" s="46"/>
      <c r="BI571" s="93">
        <v>0</v>
      </c>
      <c r="BJ571" s="85">
        <v>0</v>
      </c>
      <c r="BK571" s="85"/>
      <c r="BL571" s="85"/>
      <c r="BM571" s="85">
        <v>0</v>
      </c>
      <c r="BN571" s="85"/>
      <c r="BO571" s="85"/>
      <c r="BP571" s="46"/>
      <c r="BQ571" s="29"/>
      <c r="BR571" s="88">
        <v>0</v>
      </c>
      <c r="BS571" s="88">
        <v>0</v>
      </c>
    </row>
    <row r="572" spans="2:71" x14ac:dyDescent="0.2">
      <c r="B572" s="1" t="s">
        <v>64</v>
      </c>
      <c r="C572" s="61"/>
      <c r="D572" s="61">
        <v>0</v>
      </c>
      <c r="E572" s="61">
        <v>0</v>
      </c>
      <c r="F572" s="61">
        <v>0</v>
      </c>
      <c r="G572" s="61"/>
      <c r="H572" s="61">
        <v>0</v>
      </c>
      <c r="I572" s="61">
        <v>0</v>
      </c>
      <c r="J572" s="61">
        <v>0</v>
      </c>
      <c r="K572" s="61"/>
      <c r="L572" s="61"/>
      <c r="M572" s="61">
        <v>0</v>
      </c>
      <c r="N572" s="61">
        <v>0</v>
      </c>
      <c r="O572" s="61">
        <v>0</v>
      </c>
      <c r="P572" s="61"/>
      <c r="Q572" s="61"/>
      <c r="R572" s="61">
        <v>0</v>
      </c>
      <c r="S572" s="61">
        <v>0</v>
      </c>
      <c r="T572" s="49"/>
      <c r="U572" s="49"/>
      <c r="V572" s="85"/>
      <c r="W572" s="85"/>
      <c r="X572" s="85"/>
      <c r="Y572" s="85">
        <v>0</v>
      </c>
      <c r="Z572" s="85">
        <v>0</v>
      </c>
      <c r="AA572" s="85"/>
      <c r="AB572" s="45"/>
      <c r="AC572" s="85"/>
      <c r="AD572" s="86"/>
      <c r="AE572" s="86">
        <v>0</v>
      </c>
      <c r="AF572" s="29">
        <v>0</v>
      </c>
      <c r="AG572" s="88">
        <v>0</v>
      </c>
      <c r="AH572" s="88">
        <v>0</v>
      </c>
      <c r="AI572" s="88"/>
      <c r="AJ572" s="29">
        <v>0</v>
      </c>
      <c r="AK572" s="88">
        <v>0</v>
      </c>
      <c r="AL572" s="88">
        <v>0</v>
      </c>
      <c r="AM572" s="29">
        <v>0</v>
      </c>
      <c r="AN572" s="88">
        <v>0</v>
      </c>
      <c r="AO572" s="88">
        <v>0</v>
      </c>
      <c r="AP572" s="29">
        <v>0</v>
      </c>
      <c r="AQ572" s="88">
        <v>0</v>
      </c>
      <c r="AR572" s="88">
        <v>0</v>
      </c>
      <c r="AS572" s="88"/>
      <c r="AT572" s="88"/>
      <c r="AU572" s="29">
        <v>0</v>
      </c>
      <c r="AV572" s="29"/>
      <c r="AW572" s="88"/>
      <c r="AX572" s="88">
        <v>0</v>
      </c>
      <c r="AY572" s="29"/>
      <c r="AZ572" s="88">
        <v>0</v>
      </c>
      <c r="BA572" s="88">
        <v>0</v>
      </c>
      <c r="BB572" s="48"/>
      <c r="BC572" s="85">
        <v>0</v>
      </c>
      <c r="BD572" s="85">
        <v>0</v>
      </c>
      <c r="BE572" s="85">
        <v>0</v>
      </c>
      <c r="BF572" s="85">
        <v>0</v>
      </c>
      <c r="BG572" s="85"/>
      <c r="BH572" s="46"/>
      <c r="BI572" s="85">
        <v>0</v>
      </c>
      <c r="BJ572" s="85">
        <v>0</v>
      </c>
      <c r="BK572" s="85"/>
      <c r="BL572" s="85"/>
      <c r="BM572" s="85">
        <v>0</v>
      </c>
      <c r="BN572" s="85"/>
      <c r="BO572" s="85"/>
      <c r="BP572" s="46"/>
      <c r="BQ572" s="29"/>
      <c r="BR572" s="88">
        <v>0</v>
      </c>
      <c r="BS572" s="88">
        <v>0</v>
      </c>
    </row>
    <row r="573" spans="2:71" x14ac:dyDescent="0.2">
      <c r="B573" s="1" t="s">
        <v>64</v>
      </c>
      <c r="C573" s="61"/>
      <c r="D573" s="61">
        <v>0</v>
      </c>
      <c r="E573" s="61">
        <v>0</v>
      </c>
      <c r="F573" s="61">
        <v>0</v>
      </c>
      <c r="G573" s="61"/>
      <c r="H573" s="61">
        <v>0</v>
      </c>
      <c r="I573" s="61">
        <v>0</v>
      </c>
      <c r="J573" s="61">
        <v>0</v>
      </c>
      <c r="K573" s="61"/>
      <c r="L573" s="61"/>
      <c r="M573" s="61">
        <v>0</v>
      </c>
      <c r="N573" s="61">
        <v>0</v>
      </c>
      <c r="O573" s="61">
        <v>0</v>
      </c>
      <c r="P573" s="61"/>
      <c r="Q573" s="61"/>
      <c r="R573" s="61">
        <v>0</v>
      </c>
      <c r="S573" s="61">
        <v>0</v>
      </c>
      <c r="T573" s="49"/>
      <c r="U573" s="49"/>
      <c r="V573" s="85"/>
      <c r="W573" s="85"/>
      <c r="X573" s="85"/>
      <c r="Y573" s="85">
        <v>0</v>
      </c>
      <c r="Z573" s="85">
        <v>0</v>
      </c>
      <c r="AA573" s="85"/>
      <c r="AB573" s="45"/>
      <c r="AC573" s="85"/>
      <c r="AD573" s="86"/>
      <c r="AE573" s="86">
        <v>0</v>
      </c>
      <c r="AF573" s="29">
        <v>0</v>
      </c>
      <c r="AG573" s="88">
        <v>0</v>
      </c>
      <c r="AH573" s="88">
        <v>0</v>
      </c>
      <c r="AI573" s="88"/>
      <c r="AJ573" s="29">
        <v>0</v>
      </c>
      <c r="AK573" s="88">
        <v>0</v>
      </c>
      <c r="AL573" s="88">
        <v>0</v>
      </c>
      <c r="AM573" s="29">
        <v>0</v>
      </c>
      <c r="AN573" s="88">
        <v>0</v>
      </c>
      <c r="AO573" s="88">
        <v>0</v>
      </c>
      <c r="AP573" s="29">
        <v>0</v>
      </c>
      <c r="AQ573" s="88">
        <v>0</v>
      </c>
      <c r="AR573" s="88">
        <v>0</v>
      </c>
      <c r="AS573" s="88"/>
      <c r="AT573" s="88"/>
      <c r="AU573" s="29">
        <v>0</v>
      </c>
      <c r="AV573" s="29"/>
      <c r="AW573" s="88"/>
      <c r="AX573" s="88">
        <v>0</v>
      </c>
      <c r="AY573" s="29"/>
      <c r="AZ573" s="88">
        <v>0</v>
      </c>
      <c r="BA573" s="88">
        <v>0</v>
      </c>
      <c r="BB573" s="48"/>
      <c r="BC573" s="85">
        <v>0</v>
      </c>
      <c r="BD573" s="85">
        <v>0</v>
      </c>
      <c r="BE573" s="85">
        <v>0</v>
      </c>
      <c r="BF573" s="85">
        <v>0</v>
      </c>
      <c r="BG573" s="85"/>
      <c r="BH573" s="46"/>
      <c r="BI573" s="85">
        <v>0</v>
      </c>
      <c r="BJ573" s="85">
        <v>0</v>
      </c>
      <c r="BK573" s="85"/>
      <c r="BL573" s="85"/>
      <c r="BM573" s="85">
        <v>0</v>
      </c>
      <c r="BN573" s="85"/>
      <c r="BO573" s="85"/>
      <c r="BP573" s="46"/>
      <c r="BQ573" s="29"/>
      <c r="BR573" s="88">
        <v>0</v>
      </c>
      <c r="BS573" s="88">
        <v>0</v>
      </c>
    </row>
    <row r="574" spans="2:71" x14ac:dyDescent="0.2">
      <c r="B574" s="1" t="s">
        <v>64</v>
      </c>
      <c r="C574" s="61"/>
      <c r="D574" s="61">
        <v>0</v>
      </c>
      <c r="E574" s="61">
        <v>0</v>
      </c>
      <c r="F574" s="61">
        <v>0</v>
      </c>
      <c r="G574" s="61"/>
      <c r="H574" s="61">
        <v>0</v>
      </c>
      <c r="I574" s="61">
        <v>0</v>
      </c>
      <c r="J574" s="61">
        <v>0</v>
      </c>
      <c r="K574" s="61"/>
      <c r="L574" s="61"/>
      <c r="M574" s="61">
        <v>0</v>
      </c>
      <c r="N574" s="61">
        <v>0</v>
      </c>
      <c r="O574" s="61">
        <v>0</v>
      </c>
      <c r="P574" s="61"/>
      <c r="Q574" s="61"/>
      <c r="R574" s="61">
        <v>0</v>
      </c>
      <c r="S574" s="61">
        <v>0</v>
      </c>
      <c r="T574" s="49"/>
      <c r="U574" s="49"/>
      <c r="V574" s="85"/>
      <c r="W574" s="85"/>
      <c r="X574" s="85"/>
      <c r="Y574" s="85">
        <v>0</v>
      </c>
      <c r="Z574" s="85">
        <v>0</v>
      </c>
      <c r="AA574" s="85"/>
      <c r="AB574" s="45"/>
      <c r="AC574" s="85"/>
      <c r="AD574" s="86"/>
      <c r="AE574" s="86">
        <v>0</v>
      </c>
      <c r="AF574" s="29">
        <v>0</v>
      </c>
      <c r="AG574" s="88">
        <v>0</v>
      </c>
      <c r="AH574" s="88">
        <v>0</v>
      </c>
      <c r="AI574" s="88"/>
      <c r="AJ574" s="29">
        <v>0</v>
      </c>
      <c r="AK574" s="88">
        <v>0</v>
      </c>
      <c r="AL574" s="88">
        <v>0</v>
      </c>
      <c r="AM574" s="29">
        <v>0</v>
      </c>
      <c r="AN574" s="88">
        <v>0</v>
      </c>
      <c r="AO574" s="88">
        <v>0</v>
      </c>
      <c r="AP574" s="29">
        <v>0</v>
      </c>
      <c r="AQ574" s="88">
        <v>0</v>
      </c>
      <c r="AR574" s="88">
        <v>0</v>
      </c>
      <c r="AS574" s="88"/>
      <c r="AT574" s="88"/>
      <c r="AU574" s="29">
        <v>0</v>
      </c>
      <c r="AV574" s="29"/>
      <c r="AW574" s="88"/>
      <c r="AX574" s="88">
        <v>0</v>
      </c>
      <c r="AY574" s="29"/>
      <c r="AZ574" s="88">
        <v>0</v>
      </c>
      <c r="BA574" s="88">
        <v>0</v>
      </c>
      <c r="BB574" s="48"/>
      <c r="BC574" s="85">
        <v>0</v>
      </c>
      <c r="BD574" s="85">
        <v>0</v>
      </c>
      <c r="BE574" s="85">
        <v>0</v>
      </c>
      <c r="BF574" s="85">
        <v>0</v>
      </c>
      <c r="BG574" s="85"/>
      <c r="BH574" s="46"/>
      <c r="BI574" s="85">
        <v>0</v>
      </c>
      <c r="BJ574" s="85">
        <v>0</v>
      </c>
      <c r="BK574" s="85"/>
      <c r="BL574" s="85"/>
      <c r="BM574" s="85">
        <v>0</v>
      </c>
      <c r="BN574" s="85"/>
      <c r="BO574" s="85"/>
      <c r="BP574" s="46"/>
      <c r="BQ574" s="29"/>
      <c r="BR574" s="88">
        <v>0</v>
      </c>
      <c r="BS574" s="88">
        <v>0</v>
      </c>
    </row>
    <row r="575" spans="2:71" x14ac:dyDescent="0.2">
      <c r="B575" s="1" t="s">
        <v>64</v>
      </c>
      <c r="C575" s="61"/>
      <c r="D575" s="61">
        <v>0</v>
      </c>
      <c r="E575" s="61">
        <v>0</v>
      </c>
      <c r="F575" s="61">
        <v>0</v>
      </c>
      <c r="G575" s="61"/>
      <c r="H575" s="61">
        <v>0</v>
      </c>
      <c r="I575" s="61">
        <v>0</v>
      </c>
      <c r="J575" s="61">
        <v>0</v>
      </c>
      <c r="K575" s="61"/>
      <c r="L575" s="61"/>
      <c r="M575" s="61">
        <v>0</v>
      </c>
      <c r="N575" s="61">
        <v>0</v>
      </c>
      <c r="O575" s="61">
        <v>0</v>
      </c>
      <c r="P575" s="61"/>
      <c r="Q575" s="61"/>
      <c r="R575" s="61">
        <v>0</v>
      </c>
      <c r="S575" s="61">
        <v>0</v>
      </c>
      <c r="T575" s="49"/>
      <c r="U575" s="49"/>
      <c r="V575" s="85"/>
      <c r="W575" s="85"/>
      <c r="X575" s="85"/>
      <c r="Y575" s="85">
        <v>0</v>
      </c>
      <c r="Z575" s="85">
        <v>0</v>
      </c>
      <c r="AA575" s="85"/>
      <c r="AB575" s="45"/>
      <c r="AC575" s="85"/>
      <c r="AD575" s="86"/>
      <c r="AE575" s="86">
        <v>0</v>
      </c>
      <c r="AF575" s="29">
        <v>0</v>
      </c>
      <c r="AG575" s="88">
        <v>0</v>
      </c>
      <c r="AH575" s="88">
        <v>0</v>
      </c>
      <c r="AI575" s="88"/>
      <c r="AJ575" s="29">
        <v>0</v>
      </c>
      <c r="AK575" s="88">
        <v>0</v>
      </c>
      <c r="AL575" s="88">
        <v>0</v>
      </c>
      <c r="AM575" s="29">
        <v>0</v>
      </c>
      <c r="AN575" s="88">
        <v>0</v>
      </c>
      <c r="AO575" s="88">
        <v>0</v>
      </c>
      <c r="AP575" s="29">
        <v>0</v>
      </c>
      <c r="AQ575" s="88">
        <v>0</v>
      </c>
      <c r="AR575" s="88">
        <v>0</v>
      </c>
      <c r="AS575" s="88"/>
      <c r="AT575" s="88"/>
      <c r="AU575" s="29">
        <v>0</v>
      </c>
      <c r="AV575" s="29"/>
      <c r="AW575" s="88"/>
      <c r="AX575" s="88">
        <v>0</v>
      </c>
      <c r="AY575" s="29"/>
      <c r="AZ575" s="88">
        <v>0</v>
      </c>
      <c r="BA575" s="88">
        <v>0</v>
      </c>
      <c r="BB575" s="48"/>
      <c r="BC575" s="85">
        <v>0</v>
      </c>
      <c r="BD575" s="85">
        <v>0</v>
      </c>
      <c r="BE575" s="85">
        <v>0</v>
      </c>
      <c r="BF575" s="85">
        <v>0</v>
      </c>
      <c r="BG575" s="85"/>
      <c r="BH575" s="46"/>
      <c r="BI575" s="85">
        <v>0</v>
      </c>
      <c r="BJ575" s="85">
        <v>0</v>
      </c>
      <c r="BK575" s="85"/>
      <c r="BL575" s="85"/>
      <c r="BM575" s="85">
        <v>0</v>
      </c>
      <c r="BN575" s="85"/>
      <c r="BO575" s="85"/>
      <c r="BP575" s="46"/>
      <c r="BQ575" s="29"/>
      <c r="BR575" s="88">
        <v>0</v>
      </c>
      <c r="BS575" s="88">
        <v>0</v>
      </c>
    </row>
    <row r="576" spans="2:71" x14ac:dyDescent="0.2">
      <c r="B576" s="1" t="s">
        <v>64</v>
      </c>
      <c r="C576" s="61"/>
      <c r="D576" s="61">
        <v>0</v>
      </c>
      <c r="E576" s="61">
        <v>0</v>
      </c>
      <c r="F576" s="61">
        <v>0</v>
      </c>
      <c r="G576" s="61"/>
      <c r="H576" s="61">
        <v>0</v>
      </c>
      <c r="I576" s="61">
        <v>0</v>
      </c>
      <c r="J576" s="61">
        <v>0</v>
      </c>
      <c r="K576" s="61"/>
      <c r="L576" s="61"/>
      <c r="M576" s="61">
        <v>0</v>
      </c>
      <c r="N576" s="61">
        <v>0</v>
      </c>
      <c r="O576" s="61">
        <v>0</v>
      </c>
      <c r="P576" s="61"/>
      <c r="Q576" s="61"/>
      <c r="R576" s="61">
        <v>0</v>
      </c>
      <c r="S576" s="61">
        <v>0</v>
      </c>
      <c r="T576" s="49"/>
      <c r="U576" s="49"/>
      <c r="V576" s="85"/>
      <c r="W576" s="85"/>
      <c r="X576" s="85"/>
      <c r="Y576" s="85">
        <v>0</v>
      </c>
      <c r="Z576" s="85">
        <v>0</v>
      </c>
      <c r="AA576" s="85"/>
      <c r="AB576" s="45"/>
      <c r="AC576" s="85"/>
      <c r="AD576" s="86"/>
      <c r="AE576" s="86">
        <v>0</v>
      </c>
      <c r="AF576" s="29">
        <v>0</v>
      </c>
      <c r="AG576" s="88">
        <v>0</v>
      </c>
      <c r="AH576" s="88">
        <v>0</v>
      </c>
      <c r="AI576" s="88"/>
      <c r="AJ576" s="29">
        <v>0</v>
      </c>
      <c r="AK576" s="88">
        <v>0</v>
      </c>
      <c r="AL576" s="88">
        <v>0</v>
      </c>
      <c r="AM576" s="29">
        <v>0</v>
      </c>
      <c r="AN576" s="88">
        <v>0</v>
      </c>
      <c r="AO576" s="88">
        <v>0</v>
      </c>
      <c r="AP576" s="29">
        <v>0</v>
      </c>
      <c r="AQ576" s="88">
        <v>0</v>
      </c>
      <c r="AR576" s="88">
        <v>0</v>
      </c>
      <c r="AS576" s="88"/>
      <c r="AT576" s="88"/>
      <c r="AU576" s="29">
        <v>0</v>
      </c>
      <c r="AV576" s="29"/>
      <c r="AW576" s="88"/>
      <c r="AX576" s="88">
        <v>0</v>
      </c>
      <c r="AY576" s="29"/>
      <c r="AZ576" s="88">
        <v>0</v>
      </c>
      <c r="BA576" s="88">
        <v>0</v>
      </c>
      <c r="BB576" s="48"/>
      <c r="BC576" s="85">
        <v>0</v>
      </c>
      <c r="BD576" s="85">
        <v>0</v>
      </c>
      <c r="BE576" s="85">
        <v>0</v>
      </c>
      <c r="BF576" s="85">
        <v>0</v>
      </c>
      <c r="BG576" s="85"/>
      <c r="BH576" s="46"/>
      <c r="BI576" s="85">
        <v>0</v>
      </c>
      <c r="BJ576" s="85">
        <v>0</v>
      </c>
      <c r="BK576" s="85"/>
      <c r="BL576" s="85"/>
      <c r="BM576" s="85">
        <v>0</v>
      </c>
      <c r="BN576" s="85"/>
      <c r="BO576" s="85"/>
      <c r="BP576" s="46"/>
      <c r="BQ576" s="29"/>
      <c r="BR576" s="88">
        <v>0</v>
      </c>
      <c r="BS576" s="88">
        <v>0</v>
      </c>
    </row>
    <row r="577" spans="2:71" x14ac:dyDescent="0.2">
      <c r="B577" s="1" t="s">
        <v>64</v>
      </c>
      <c r="C577" s="61"/>
      <c r="D577" s="61">
        <v>0</v>
      </c>
      <c r="E577" s="61">
        <v>0</v>
      </c>
      <c r="F577" s="61">
        <v>0</v>
      </c>
      <c r="G577" s="61"/>
      <c r="H577" s="61">
        <v>0</v>
      </c>
      <c r="I577" s="61">
        <v>0</v>
      </c>
      <c r="J577" s="61">
        <v>0</v>
      </c>
      <c r="K577" s="61"/>
      <c r="L577" s="61"/>
      <c r="M577" s="61">
        <v>0</v>
      </c>
      <c r="N577" s="61">
        <v>0</v>
      </c>
      <c r="O577" s="61">
        <v>0</v>
      </c>
      <c r="P577" s="61"/>
      <c r="Q577" s="61"/>
      <c r="R577" s="61">
        <v>0</v>
      </c>
      <c r="S577" s="61">
        <v>0</v>
      </c>
      <c r="T577" s="49"/>
      <c r="U577" s="49"/>
      <c r="V577" s="85"/>
      <c r="W577" s="85"/>
      <c r="X577" s="85"/>
      <c r="Y577" s="85">
        <v>0</v>
      </c>
      <c r="Z577" s="85">
        <v>0</v>
      </c>
      <c r="AA577" s="85"/>
      <c r="AB577" s="45"/>
      <c r="AC577" s="85"/>
      <c r="AD577" s="86"/>
      <c r="AE577" s="86">
        <v>0</v>
      </c>
      <c r="AF577" s="29">
        <v>0</v>
      </c>
      <c r="AG577" s="88">
        <v>0</v>
      </c>
      <c r="AH577" s="88">
        <v>0</v>
      </c>
      <c r="AI577" s="88"/>
      <c r="AJ577" s="29">
        <v>0</v>
      </c>
      <c r="AK577" s="88">
        <v>0</v>
      </c>
      <c r="AL577" s="88">
        <v>0</v>
      </c>
      <c r="AM577" s="29">
        <v>0</v>
      </c>
      <c r="AN577" s="88">
        <v>0</v>
      </c>
      <c r="AO577" s="88">
        <v>0</v>
      </c>
      <c r="AP577" s="29">
        <v>0</v>
      </c>
      <c r="AQ577" s="88">
        <v>0</v>
      </c>
      <c r="AR577" s="88">
        <v>0</v>
      </c>
      <c r="AS577" s="88"/>
      <c r="AT577" s="88"/>
      <c r="AU577" s="29">
        <v>0</v>
      </c>
      <c r="AV577" s="29"/>
      <c r="AW577" s="88"/>
      <c r="AX577" s="88">
        <v>0</v>
      </c>
      <c r="AY577" s="29"/>
      <c r="AZ577" s="88">
        <v>0</v>
      </c>
      <c r="BA577" s="88">
        <v>0</v>
      </c>
      <c r="BB577" s="48"/>
      <c r="BC577" s="85">
        <v>0</v>
      </c>
      <c r="BD577" s="85">
        <v>0</v>
      </c>
      <c r="BE577" s="85">
        <v>0</v>
      </c>
      <c r="BF577" s="85">
        <v>0</v>
      </c>
      <c r="BG577" s="85"/>
      <c r="BH577" s="46"/>
      <c r="BI577" s="85">
        <v>0</v>
      </c>
      <c r="BJ577" s="85">
        <v>0</v>
      </c>
      <c r="BK577" s="85"/>
      <c r="BL577" s="85"/>
      <c r="BM577" s="85">
        <v>0</v>
      </c>
      <c r="BN577" s="85"/>
      <c r="BO577" s="85"/>
      <c r="BP577" s="46"/>
      <c r="BQ577" s="29"/>
      <c r="BR577" s="88">
        <v>0</v>
      </c>
      <c r="BS577" s="88">
        <v>0</v>
      </c>
    </row>
    <row r="578" spans="2:71" x14ac:dyDescent="0.2">
      <c r="B578" s="1" t="s">
        <v>64</v>
      </c>
      <c r="C578" s="61"/>
      <c r="D578" s="61">
        <v>0</v>
      </c>
      <c r="E578" s="61">
        <v>0</v>
      </c>
      <c r="F578" s="61">
        <v>0</v>
      </c>
      <c r="G578" s="61"/>
      <c r="H578" s="61">
        <v>0</v>
      </c>
      <c r="I578" s="61">
        <v>0</v>
      </c>
      <c r="J578" s="61">
        <v>0</v>
      </c>
      <c r="K578" s="61"/>
      <c r="L578" s="61"/>
      <c r="M578" s="61">
        <v>0</v>
      </c>
      <c r="N578" s="61">
        <v>0</v>
      </c>
      <c r="O578" s="61">
        <v>0</v>
      </c>
      <c r="P578" s="61"/>
      <c r="Q578" s="61"/>
      <c r="R578" s="61">
        <v>0</v>
      </c>
      <c r="S578" s="61">
        <v>0</v>
      </c>
      <c r="T578" s="49"/>
      <c r="U578" s="49"/>
      <c r="V578" s="85"/>
      <c r="W578" s="85"/>
      <c r="X578" s="85"/>
      <c r="Y578" s="85">
        <v>0</v>
      </c>
      <c r="Z578" s="85">
        <v>0</v>
      </c>
      <c r="AA578" s="85"/>
      <c r="AB578" s="45"/>
      <c r="AC578" s="85"/>
      <c r="AD578" s="86"/>
      <c r="AE578" s="86">
        <v>0</v>
      </c>
      <c r="AF578" s="29">
        <v>0</v>
      </c>
      <c r="AG578" s="88">
        <v>0</v>
      </c>
      <c r="AH578" s="88">
        <v>0</v>
      </c>
      <c r="AI578" s="88"/>
      <c r="AJ578" s="29">
        <v>0</v>
      </c>
      <c r="AK578" s="88">
        <v>0</v>
      </c>
      <c r="AL578" s="88">
        <v>0</v>
      </c>
      <c r="AM578" s="29">
        <v>0</v>
      </c>
      <c r="AN578" s="88">
        <v>0</v>
      </c>
      <c r="AO578" s="88">
        <v>0</v>
      </c>
      <c r="AP578" s="29">
        <v>0</v>
      </c>
      <c r="AQ578" s="88">
        <v>0</v>
      </c>
      <c r="AR578" s="88">
        <v>0</v>
      </c>
      <c r="AS578" s="88"/>
      <c r="AT578" s="88"/>
      <c r="AU578" s="29">
        <v>0</v>
      </c>
      <c r="AV578" s="29"/>
      <c r="AW578" s="88"/>
      <c r="AX578" s="88">
        <v>0</v>
      </c>
      <c r="AY578" s="29"/>
      <c r="AZ578" s="88">
        <v>0</v>
      </c>
      <c r="BA578" s="88">
        <v>0</v>
      </c>
      <c r="BB578" s="48"/>
      <c r="BC578" s="85">
        <v>0</v>
      </c>
      <c r="BD578" s="85">
        <v>0</v>
      </c>
      <c r="BE578" s="85">
        <v>0</v>
      </c>
      <c r="BF578" s="85">
        <v>0</v>
      </c>
      <c r="BG578" s="85"/>
      <c r="BH578" s="46"/>
      <c r="BI578" s="85">
        <v>0</v>
      </c>
      <c r="BJ578" s="85">
        <v>0</v>
      </c>
      <c r="BK578" s="85"/>
      <c r="BL578" s="85"/>
      <c r="BM578" s="85">
        <v>0</v>
      </c>
      <c r="BN578" s="85"/>
      <c r="BO578" s="85"/>
      <c r="BP578" s="46"/>
      <c r="BQ578" s="29"/>
      <c r="BR578" s="88">
        <v>0</v>
      </c>
      <c r="BS578" s="88">
        <v>0</v>
      </c>
    </row>
    <row r="579" spans="2:71" x14ac:dyDescent="0.2">
      <c r="B579" s="1" t="s">
        <v>64</v>
      </c>
      <c r="C579" s="61"/>
      <c r="D579" s="61">
        <v>0</v>
      </c>
      <c r="E579" s="61">
        <v>0</v>
      </c>
      <c r="F579" s="61">
        <v>0</v>
      </c>
      <c r="G579" s="61"/>
      <c r="H579" s="61">
        <v>0</v>
      </c>
      <c r="I579" s="61">
        <v>0</v>
      </c>
      <c r="J579" s="61">
        <v>0</v>
      </c>
      <c r="K579" s="61"/>
      <c r="L579" s="61"/>
      <c r="M579" s="61">
        <v>0</v>
      </c>
      <c r="N579" s="61">
        <v>0</v>
      </c>
      <c r="O579" s="61">
        <v>0</v>
      </c>
      <c r="P579" s="61"/>
      <c r="Q579" s="61"/>
      <c r="R579" s="61">
        <v>0</v>
      </c>
      <c r="S579" s="61">
        <v>0</v>
      </c>
      <c r="T579" s="49"/>
      <c r="U579" s="49"/>
      <c r="V579" s="85"/>
      <c r="W579" s="85"/>
      <c r="X579" s="85"/>
      <c r="Y579" s="85">
        <v>0</v>
      </c>
      <c r="Z579" s="85">
        <v>0</v>
      </c>
      <c r="AA579" s="85"/>
      <c r="AB579" s="45"/>
      <c r="AC579" s="85"/>
      <c r="AD579" s="86"/>
      <c r="AE579" s="86">
        <v>0</v>
      </c>
      <c r="AF579" s="29">
        <v>0</v>
      </c>
      <c r="AG579" s="88">
        <v>0</v>
      </c>
      <c r="AH579" s="88">
        <v>0</v>
      </c>
      <c r="AI579" s="88"/>
      <c r="AJ579" s="29">
        <v>0</v>
      </c>
      <c r="AK579" s="88">
        <v>0</v>
      </c>
      <c r="AL579" s="88">
        <v>0</v>
      </c>
      <c r="AM579" s="29">
        <v>0</v>
      </c>
      <c r="AN579" s="88">
        <v>0</v>
      </c>
      <c r="AO579" s="88">
        <v>0</v>
      </c>
      <c r="AP579" s="29">
        <v>0</v>
      </c>
      <c r="AQ579" s="88">
        <v>0</v>
      </c>
      <c r="AR579" s="88">
        <v>0</v>
      </c>
      <c r="AS579" s="88"/>
      <c r="AT579" s="88"/>
      <c r="AU579" s="29">
        <v>0</v>
      </c>
      <c r="AV579" s="29"/>
      <c r="AW579" s="88"/>
      <c r="AX579" s="88">
        <v>0</v>
      </c>
      <c r="AY579" s="29"/>
      <c r="AZ579" s="88">
        <v>0</v>
      </c>
      <c r="BA579" s="88">
        <v>0</v>
      </c>
      <c r="BB579" s="48"/>
      <c r="BC579" s="85">
        <v>0</v>
      </c>
      <c r="BD579" s="85">
        <v>0</v>
      </c>
      <c r="BE579" s="85">
        <v>0</v>
      </c>
      <c r="BF579" s="85">
        <v>0</v>
      </c>
      <c r="BG579" s="85"/>
      <c r="BH579" s="46"/>
      <c r="BI579" s="85">
        <v>0</v>
      </c>
      <c r="BJ579" s="85">
        <v>0</v>
      </c>
      <c r="BK579" s="85"/>
      <c r="BL579" s="85"/>
      <c r="BM579" s="85">
        <v>0</v>
      </c>
      <c r="BN579" s="85"/>
      <c r="BO579" s="85"/>
      <c r="BP579" s="46"/>
      <c r="BQ579" s="29"/>
      <c r="BR579" s="88">
        <v>0</v>
      </c>
      <c r="BS579" s="88">
        <v>0</v>
      </c>
    </row>
    <row r="580" spans="2:71" x14ac:dyDescent="0.2">
      <c r="B580" s="1" t="s">
        <v>64</v>
      </c>
      <c r="C580" s="61"/>
      <c r="D580" s="61">
        <v>0</v>
      </c>
      <c r="E580" s="61">
        <v>0</v>
      </c>
      <c r="F580" s="61">
        <v>0</v>
      </c>
      <c r="G580" s="61"/>
      <c r="H580" s="61">
        <v>0</v>
      </c>
      <c r="I580" s="61">
        <v>0</v>
      </c>
      <c r="J580" s="61">
        <v>0</v>
      </c>
      <c r="K580" s="61"/>
      <c r="L580" s="61"/>
      <c r="M580" s="61">
        <v>0</v>
      </c>
      <c r="N580" s="61">
        <v>0</v>
      </c>
      <c r="O580" s="61">
        <v>0</v>
      </c>
      <c r="P580" s="61"/>
      <c r="Q580" s="61"/>
      <c r="R580" s="61">
        <v>0</v>
      </c>
      <c r="S580" s="61">
        <v>0</v>
      </c>
      <c r="T580" s="49"/>
      <c r="U580" s="49"/>
      <c r="V580" s="85"/>
      <c r="W580" s="85"/>
      <c r="X580" s="85"/>
      <c r="Y580" s="85">
        <v>0</v>
      </c>
      <c r="Z580" s="85">
        <v>0</v>
      </c>
      <c r="AA580" s="85"/>
      <c r="AB580" s="45"/>
      <c r="AC580" s="85"/>
      <c r="AD580" s="86"/>
      <c r="AE580" s="86">
        <v>0</v>
      </c>
      <c r="AF580" s="29">
        <v>0</v>
      </c>
      <c r="AG580" s="88">
        <v>0</v>
      </c>
      <c r="AH580" s="88">
        <v>0</v>
      </c>
      <c r="AI580" s="88"/>
      <c r="AJ580" s="29">
        <v>0</v>
      </c>
      <c r="AK580" s="88">
        <v>0</v>
      </c>
      <c r="AL580" s="88">
        <v>0</v>
      </c>
      <c r="AM580" s="29">
        <v>0</v>
      </c>
      <c r="AN580" s="88">
        <v>0</v>
      </c>
      <c r="AO580" s="88">
        <v>0</v>
      </c>
      <c r="AP580" s="29">
        <v>0</v>
      </c>
      <c r="AQ580" s="88">
        <v>0</v>
      </c>
      <c r="AR580" s="88">
        <v>0</v>
      </c>
      <c r="AS580" s="88"/>
      <c r="AT580" s="88"/>
      <c r="AU580" s="29">
        <v>0</v>
      </c>
      <c r="AV580" s="29"/>
      <c r="AW580" s="88"/>
      <c r="AX580" s="88">
        <v>0</v>
      </c>
      <c r="AY580" s="29"/>
      <c r="AZ580" s="88">
        <v>0</v>
      </c>
      <c r="BA580" s="88">
        <v>0</v>
      </c>
      <c r="BB580" s="48"/>
      <c r="BC580" s="85">
        <v>0</v>
      </c>
      <c r="BD580" s="85">
        <v>0</v>
      </c>
      <c r="BE580" s="85">
        <v>0</v>
      </c>
      <c r="BF580" s="85">
        <v>0</v>
      </c>
      <c r="BG580" s="85"/>
      <c r="BH580" s="46"/>
      <c r="BI580" s="85">
        <v>0</v>
      </c>
      <c r="BJ580" s="85">
        <v>0</v>
      </c>
      <c r="BK580" s="85"/>
      <c r="BL580" s="85"/>
      <c r="BM580" s="85">
        <v>0</v>
      </c>
      <c r="BN580" s="85"/>
      <c r="BO580" s="85"/>
      <c r="BP580" s="46"/>
      <c r="BQ580" s="29"/>
      <c r="BR580" s="88">
        <v>0</v>
      </c>
      <c r="BS580" s="88">
        <v>0</v>
      </c>
    </row>
    <row r="581" spans="2:71" x14ac:dyDescent="0.2">
      <c r="B581" s="1" t="s">
        <v>64</v>
      </c>
      <c r="C581" s="61"/>
      <c r="D581" s="61">
        <v>0</v>
      </c>
      <c r="E581" s="61">
        <v>0</v>
      </c>
      <c r="F581" s="61">
        <v>0</v>
      </c>
      <c r="G581" s="61"/>
      <c r="H581" s="61">
        <v>0</v>
      </c>
      <c r="I581" s="61">
        <v>0</v>
      </c>
      <c r="J581" s="61">
        <v>0</v>
      </c>
      <c r="K581" s="61"/>
      <c r="L581" s="61"/>
      <c r="M581" s="61">
        <v>0</v>
      </c>
      <c r="N581" s="61">
        <v>0</v>
      </c>
      <c r="O581" s="61">
        <v>0</v>
      </c>
      <c r="P581" s="61"/>
      <c r="Q581" s="61"/>
      <c r="R581" s="61">
        <v>0</v>
      </c>
      <c r="S581" s="61">
        <v>0</v>
      </c>
      <c r="T581" s="49"/>
      <c r="U581" s="49"/>
      <c r="V581" s="85"/>
      <c r="W581" s="85"/>
      <c r="X581" s="85"/>
      <c r="Y581" s="85">
        <v>0</v>
      </c>
      <c r="Z581" s="85">
        <v>0</v>
      </c>
      <c r="AA581" s="85"/>
      <c r="AB581" s="45"/>
      <c r="AC581" s="85"/>
      <c r="AD581" s="86"/>
      <c r="AE581" s="86">
        <v>0</v>
      </c>
      <c r="AF581" s="29">
        <v>0</v>
      </c>
      <c r="AG581" s="88">
        <v>0</v>
      </c>
      <c r="AH581" s="88">
        <v>0</v>
      </c>
      <c r="AI581" s="88"/>
      <c r="AJ581" s="29">
        <v>0</v>
      </c>
      <c r="AK581" s="88">
        <v>0</v>
      </c>
      <c r="AL581" s="88">
        <v>0</v>
      </c>
      <c r="AM581" s="29">
        <v>0</v>
      </c>
      <c r="AN581" s="88">
        <v>0</v>
      </c>
      <c r="AO581" s="88">
        <v>0</v>
      </c>
      <c r="AP581" s="29">
        <v>0</v>
      </c>
      <c r="AQ581" s="88">
        <v>0</v>
      </c>
      <c r="AR581" s="88">
        <v>0</v>
      </c>
      <c r="AS581" s="88"/>
      <c r="AT581" s="88"/>
      <c r="AU581" s="29">
        <v>0</v>
      </c>
      <c r="AV581" s="29"/>
      <c r="AW581" s="88"/>
      <c r="AX581" s="88">
        <v>0</v>
      </c>
      <c r="AY581" s="29"/>
      <c r="AZ581" s="88">
        <v>0</v>
      </c>
      <c r="BA581" s="88">
        <v>0</v>
      </c>
      <c r="BB581" s="48"/>
      <c r="BC581" s="85">
        <v>0</v>
      </c>
      <c r="BD581" s="85">
        <v>0</v>
      </c>
      <c r="BE581" s="85">
        <v>0</v>
      </c>
      <c r="BF581" s="85">
        <v>0</v>
      </c>
      <c r="BG581" s="85"/>
      <c r="BH581" s="46"/>
      <c r="BI581" s="85">
        <v>0</v>
      </c>
      <c r="BJ581" s="85">
        <v>0</v>
      </c>
      <c r="BK581" s="85"/>
      <c r="BL581" s="85"/>
      <c r="BM581" s="85">
        <v>0</v>
      </c>
      <c r="BN581" s="85"/>
      <c r="BO581" s="85"/>
      <c r="BP581" s="46"/>
      <c r="BQ581" s="29"/>
      <c r="BR581" s="88">
        <v>0</v>
      </c>
      <c r="BS581" s="88">
        <v>0</v>
      </c>
    </row>
    <row r="582" spans="2:71" x14ac:dyDescent="0.2">
      <c r="B582" s="1" t="s">
        <v>64</v>
      </c>
      <c r="C582" s="61"/>
      <c r="D582" s="61">
        <v>0</v>
      </c>
      <c r="E582" s="61">
        <v>0</v>
      </c>
      <c r="F582" s="61">
        <v>0</v>
      </c>
      <c r="G582" s="61"/>
      <c r="H582" s="61">
        <v>0</v>
      </c>
      <c r="I582" s="61">
        <v>0</v>
      </c>
      <c r="J582" s="61">
        <v>0</v>
      </c>
      <c r="K582" s="61"/>
      <c r="L582" s="61"/>
      <c r="M582" s="61">
        <v>0</v>
      </c>
      <c r="N582" s="61">
        <v>0</v>
      </c>
      <c r="O582" s="61">
        <v>0</v>
      </c>
      <c r="P582" s="61"/>
      <c r="Q582" s="61"/>
      <c r="R582" s="61">
        <v>0</v>
      </c>
      <c r="S582" s="61">
        <v>0</v>
      </c>
      <c r="T582" s="49"/>
      <c r="U582" s="49"/>
      <c r="V582" s="85"/>
      <c r="W582" s="85"/>
      <c r="X582" s="85"/>
      <c r="Y582" s="85">
        <v>0</v>
      </c>
      <c r="Z582" s="85">
        <v>0</v>
      </c>
      <c r="AA582" s="85"/>
      <c r="AB582" s="45"/>
      <c r="AC582" s="85"/>
      <c r="AD582" s="86"/>
      <c r="AE582" s="86">
        <v>0</v>
      </c>
      <c r="AF582" s="29">
        <v>0</v>
      </c>
      <c r="AG582" s="88">
        <v>0</v>
      </c>
      <c r="AH582" s="88">
        <v>0</v>
      </c>
      <c r="AI582" s="88"/>
      <c r="AJ582" s="29">
        <v>0</v>
      </c>
      <c r="AK582" s="88">
        <v>0</v>
      </c>
      <c r="AL582" s="88">
        <v>0</v>
      </c>
      <c r="AM582" s="29">
        <v>0</v>
      </c>
      <c r="AN582" s="88">
        <v>0</v>
      </c>
      <c r="AO582" s="88">
        <v>0</v>
      </c>
      <c r="AP582" s="29">
        <v>0</v>
      </c>
      <c r="AQ582" s="88">
        <v>0</v>
      </c>
      <c r="AR582" s="88">
        <v>0</v>
      </c>
      <c r="AS582" s="88"/>
      <c r="AT582" s="88"/>
      <c r="AU582" s="29">
        <v>0</v>
      </c>
      <c r="AV582" s="29"/>
      <c r="AW582" s="88"/>
      <c r="AX582" s="88">
        <v>0</v>
      </c>
      <c r="AY582" s="29"/>
      <c r="AZ582" s="88">
        <v>0</v>
      </c>
      <c r="BA582" s="88">
        <v>0</v>
      </c>
      <c r="BB582" s="48"/>
      <c r="BC582" s="85">
        <v>0</v>
      </c>
      <c r="BD582" s="85">
        <v>0</v>
      </c>
      <c r="BE582" s="85">
        <v>0</v>
      </c>
      <c r="BF582" s="85">
        <v>0</v>
      </c>
      <c r="BG582" s="85"/>
      <c r="BH582" s="46"/>
      <c r="BI582" s="85">
        <v>0</v>
      </c>
      <c r="BJ582" s="85">
        <v>0</v>
      </c>
      <c r="BK582" s="85"/>
      <c r="BL582" s="85"/>
      <c r="BM582" s="85">
        <v>0</v>
      </c>
      <c r="BN582" s="85"/>
      <c r="BO582" s="85"/>
      <c r="BP582" s="46"/>
      <c r="BQ582" s="29"/>
      <c r="BR582" s="88">
        <v>0</v>
      </c>
      <c r="BS582" s="88">
        <v>0</v>
      </c>
    </row>
    <row r="583" spans="2:71" x14ac:dyDescent="0.2">
      <c r="B583" s="1" t="s">
        <v>64</v>
      </c>
      <c r="C583" s="61"/>
      <c r="D583" s="61">
        <v>0</v>
      </c>
      <c r="E583" s="61">
        <v>0</v>
      </c>
      <c r="F583" s="61">
        <v>0</v>
      </c>
      <c r="G583" s="61"/>
      <c r="H583" s="61">
        <v>0</v>
      </c>
      <c r="I583" s="61">
        <v>0</v>
      </c>
      <c r="J583" s="61">
        <v>0</v>
      </c>
      <c r="K583" s="61"/>
      <c r="L583" s="61"/>
      <c r="M583" s="61">
        <v>0</v>
      </c>
      <c r="N583" s="61">
        <v>0</v>
      </c>
      <c r="O583" s="61">
        <v>0</v>
      </c>
      <c r="P583" s="61"/>
      <c r="Q583" s="61"/>
      <c r="R583" s="61">
        <v>0</v>
      </c>
      <c r="S583" s="61">
        <v>0</v>
      </c>
      <c r="T583" s="49"/>
      <c r="U583" s="49"/>
      <c r="V583" s="85"/>
      <c r="W583" s="85"/>
      <c r="X583" s="85"/>
      <c r="Y583" s="85">
        <v>0</v>
      </c>
      <c r="Z583" s="85">
        <v>0</v>
      </c>
      <c r="AA583" s="85"/>
      <c r="AB583" s="45"/>
      <c r="AC583" s="85"/>
      <c r="AD583" s="86"/>
      <c r="AE583" s="86">
        <v>0</v>
      </c>
      <c r="AF583" s="29">
        <v>0</v>
      </c>
      <c r="AG583" s="88">
        <v>0</v>
      </c>
      <c r="AH583" s="88">
        <v>0</v>
      </c>
      <c r="AI583" s="88"/>
      <c r="AJ583" s="29">
        <v>0</v>
      </c>
      <c r="AK583" s="88">
        <v>0</v>
      </c>
      <c r="AL583" s="88">
        <v>0</v>
      </c>
      <c r="AM583" s="29">
        <v>0</v>
      </c>
      <c r="AN583" s="88">
        <v>0</v>
      </c>
      <c r="AO583" s="88">
        <v>0</v>
      </c>
      <c r="AP583" s="29">
        <v>0</v>
      </c>
      <c r="AQ583" s="88">
        <v>0</v>
      </c>
      <c r="AR583" s="88">
        <v>0</v>
      </c>
      <c r="AS583" s="88"/>
      <c r="AT583" s="88"/>
      <c r="AU583" s="29">
        <v>0</v>
      </c>
      <c r="AV583" s="29"/>
      <c r="AW583" s="88"/>
      <c r="AX583" s="88">
        <v>0</v>
      </c>
      <c r="AY583" s="29"/>
      <c r="AZ583" s="88">
        <v>0</v>
      </c>
      <c r="BA583" s="88">
        <v>0</v>
      </c>
      <c r="BB583" s="48"/>
      <c r="BC583" s="85">
        <v>0</v>
      </c>
      <c r="BD583" s="85">
        <v>0</v>
      </c>
      <c r="BE583" s="85">
        <v>0</v>
      </c>
      <c r="BF583" s="85">
        <v>0</v>
      </c>
      <c r="BG583" s="85"/>
      <c r="BH583" s="46"/>
      <c r="BI583" s="85">
        <v>0</v>
      </c>
      <c r="BJ583" s="85">
        <v>0</v>
      </c>
      <c r="BK583" s="85"/>
      <c r="BL583" s="85"/>
      <c r="BM583" s="85">
        <v>0</v>
      </c>
      <c r="BN583" s="85"/>
      <c r="BO583" s="85"/>
      <c r="BP583" s="46"/>
      <c r="BQ583" s="29"/>
      <c r="BR583" s="88">
        <v>0</v>
      </c>
      <c r="BS583" s="88">
        <v>0</v>
      </c>
    </row>
    <row r="584" spans="2:71" x14ac:dyDescent="0.2">
      <c r="B584" s="1" t="s">
        <v>64</v>
      </c>
      <c r="C584" s="61"/>
      <c r="D584" s="61">
        <v>0</v>
      </c>
      <c r="E584" s="61">
        <v>0</v>
      </c>
      <c r="F584" s="61">
        <v>0</v>
      </c>
      <c r="G584" s="61"/>
      <c r="H584" s="61">
        <v>0</v>
      </c>
      <c r="I584" s="61">
        <v>0</v>
      </c>
      <c r="J584" s="61">
        <v>0</v>
      </c>
      <c r="K584" s="61"/>
      <c r="L584" s="61"/>
      <c r="M584" s="61">
        <v>0</v>
      </c>
      <c r="N584" s="61">
        <v>0</v>
      </c>
      <c r="O584" s="61">
        <v>0</v>
      </c>
      <c r="P584" s="61"/>
      <c r="Q584" s="61"/>
      <c r="R584" s="61">
        <v>0</v>
      </c>
      <c r="S584" s="61">
        <v>0</v>
      </c>
      <c r="T584" s="49"/>
      <c r="U584" s="49"/>
      <c r="V584" s="85"/>
      <c r="W584" s="85"/>
      <c r="X584" s="85"/>
      <c r="Y584" s="85">
        <v>0</v>
      </c>
      <c r="Z584" s="85">
        <v>0</v>
      </c>
      <c r="AA584" s="85"/>
      <c r="AB584" s="45"/>
      <c r="AC584" s="85"/>
      <c r="AD584" s="86"/>
      <c r="AE584" s="86">
        <v>0</v>
      </c>
      <c r="AF584" s="29">
        <v>0</v>
      </c>
      <c r="AG584" s="88">
        <v>0</v>
      </c>
      <c r="AH584" s="88">
        <v>0</v>
      </c>
      <c r="AI584" s="88"/>
      <c r="AJ584" s="29">
        <v>0</v>
      </c>
      <c r="AK584" s="88">
        <v>0</v>
      </c>
      <c r="AL584" s="88">
        <v>0</v>
      </c>
      <c r="AM584" s="29">
        <v>0</v>
      </c>
      <c r="AN584" s="88">
        <v>0</v>
      </c>
      <c r="AO584" s="88">
        <v>0</v>
      </c>
      <c r="AP584" s="29">
        <v>0</v>
      </c>
      <c r="AQ584" s="88">
        <v>0</v>
      </c>
      <c r="AR584" s="88">
        <v>0</v>
      </c>
      <c r="AS584" s="88"/>
      <c r="AT584" s="88"/>
      <c r="AU584" s="29">
        <v>0</v>
      </c>
      <c r="AV584" s="29"/>
      <c r="AW584" s="88"/>
      <c r="AX584" s="88">
        <v>0</v>
      </c>
      <c r="AY584" s="29"/>
      <c r="AZ584" s="88">
        <v>0</v>
      </c>
      <c r="BA584" s="88">
        <v>0</v>
      </c>
      <c r="BB584" s="48"/>
      <c r="BC584" s="85">
        <v>0</v>
      </c>
      <c r="BD584" s="85">
        <v>0</v>
      </c>
      <c r="BE584" s="85">
        <v>0</v>
      </c>
      <c r="BF584" s="85">
        <v>0</v>
      </c>
      <c r="BG584" s="85"/>
      <c r="BH584" s="46"/>
      <c r="BI584" s="85">
        <v>0</v>
      </c>
      <c r="BJ584" s="85">
        <v>0</v>
      </c>
      <c r="BK584" s="85"/>
      <c r="BL584" s="85"/>
      <c r="BM584" s="85">
        <v>0</v>
      </c>
      <c r="BN584" s="85"/>
      <c r="BO584" s="85"/>
      <c r="BP584" s="46"/>
      <c r="BQ584" s="29"/>
      <c r="BR584" s="88">
        <v>0</v>
      </c>
      <c r="BS584" s="88">
        <v>0</v>
      </c>
    </row>
    <row r="585" spans="2:71" x14ac:dyDescent="0.2">
      <c r="B585" s="1" t="s">
        <v>64</v>
      </c>
      <c r="C585" s="61"/>
      <c r="D585" s="61">
        <v>0</v>
      </c>
      <c r="E585" s="61">
        <v>0</v>
      </c>
      <c r="F585" s="61">
        <v>0</v>
      </c>
      <c r="G585" s="61"/>
      <c r="H585" s="61">
        <v>0</v>
      </c>
      <c r="I585" s="61">
        <v>0</v>
      </c>
      <c r="J585" s="61">
        <v>0</v>
      </c>
      <c r="K585" s="61"/>
      <c r="L585" s="61"/>
      <c r="M585" s="61">
        <v>0</v>
      </c>
      <c r="N585" s="61">
        <v>0</v>
      </c>
      <c r="O585" s="61">
        <v>0</v>
      </c>
      <c r="P585" s="61"/>
      <c r="Q585" s="61"/>
      <c r="R585" s="61">
        <v>0</v>
      </c>
      <c r="S585" s="61">
        <v>0</v>
      </c>
      <c r="T585" s="49"/>
      <c r="U585" s="49"/>
      <c r="V585" s="85"/>
      <c r="W585" s="85"/>
      <c r="X585" s="85"/>
      <c r="Y585" s="85">
        <v>0</v>
      </c>
      <c r="Z585" s="85">
        <v>0</v>
      </c>
      <c r="AA585" s="85"/>
      <c r="AB585" s="45"/>
      <c r="AC585" s="85"/>
      <c r="AD585" s="86"/>
      <c r="AE585" s="86">
        <v>0</v>
      </c>
      <c r="AF585" s="29">
        <v>0</v>
      </c>
      <c r="AG585" s="88">
        <v>0</v>
      </c>
      <c r="AH585" s="88">
        <v>0</v>
      </c>
      <c r="AI585" s="88"/>
      <c r="AJ585" s="29">
        <v>0</v>
      </c>
      <c r="AK585" s="88">
        <v>0</v>
      </c>
      <c r="AL585" s="88">
        <v>0</v>
      </c>
      <c r="AM585" s="29">
        <v>0</v>
      </c>
      <c r="AN585" s="88">
        <v>0</v>
      </c>
      <c r="AO585" s="88">
        <v>0</v>
      </c>
      <c r="AP585" s="29">
        <v>0</v>
      </c>
      <c r="AQ585" s="88">
        <v>0</v>
      </c>
      <c r="AR585" s="88">
        <v>0</v>
      </c>
      <c r="AS585" s="88"/>
      <c r="AT585" s="88"/>
      <c r="AU585" s="29">
        <v>0</v>
      </c>
      <c r="AV585" s="29"/>
      <c r="AW585" s="88"/>
      <c r="AX585" s="88">
        <v>0</v>
      </c>
      <c r="AY585" s="29"/>
      <c r="AZ585" s="88">
        <v>0</v>
      </c>
      <c r="BA585" s="88">
        <v>0</v>
      </c>
      <c r="BB585" s="48"/>
      <c r="BC585" s="85">
        <v>0</v>
      </c>
      <c r="BD585" s="85">
        <v>0</v>
      </c>
      <c r="BE585" s="85">
        <v>0</v>
      </c>
      <c r="BF585" s="85">
        <v>0</v>
      </c>
      <c r="BG585" s="85"/>
      <c r="BH585" s="46"/>
      <c r="BI585" s="85">
        <v>0</v>
      </c>
      <c r="BJ585" s="85">
        <v>0</v>
      </c>
      <c r="BK585" s="85"/>
      <c r="BL585" s="85"/>
      <c r="BM585" s="85">
        <v>0</v>
      </c>
      <c r="BN585" s="85"/>
      <c r="BO585" s="85"/>
      <c r="BP585" s="46"/>
      <c r="BQ585" s="29"/>
      <c r="BR585" s="88">
        <v>0</v>
      </c>
      <c r="BS585" s="88">
        <v>0</v>
      </c>
    </row>
    <row r="586" spans="2:71" x14ac:dyDescent="0.2">
      <c r="B586" s="1" t="s">
        <v>64</v>
      </c>
      <c r="C586" s="61"/>
      <c r="D586" s="61">
        <v>0</v>
      </c>
      <c r="E586" s="61">
        <v>0</v>
      </c>
      <c r="F586" s="61">
        <v>0</v>
      </c>
      <c r="G586" s="61"/>
      <c r="H586" s="61">
        <v>0</v>
      </c>
      <c r="I586" s="61">
        <v>0</v>
      </c>
      <c r="J586" s="61">
        <v>0</v>
      </c>
      <c r="K586" s="61"/>
      <c r="L586" s="61"/>
      <c r="M586" s="61">
        <v>0</v>
      </c>
      <c r="N586" s="61">
        <v>0</v>
      </c>
      <c r="O586" s="61">
        <v>0</v>
      </c>
      <c r="P586" s="61"/>
      <c r="Q586" s="61"/>
      <c r="R586" s="61">
        <v>0</v>
      </c>
      <c r="S586" s="61">
        <v>0</v>
      </c>
      <c r="T586" s="49"/>
      <c r="U586" s="49"/>
      <c r="V586" s="85"/>
      <c r="W586" s="85"/>
      <c r="X586" s="85"/>
      <c r="Y586" s="85">
        <v>0</v>
      </c>
      <c r="Z586" s="85">
        <v>0</v>
      </c>
      <c r="AA586" s="85"/>
      <c r="AB586" s="45"/>
      <c r="AC586" s="85"/>
      <c r="AD586" s="86"/>
      <c r="AE586" s="86">
        <v>0</v>
      </c>
      <c r="AF586" s="29">
        <v>0</v>
      </c>
      <c r="AG586" s="88">
        <v>0</v>
      </c>
      <c r="AH586" s="88">
        <v>0</v>
      </c>
      <c r="AI586" s="88"/>
      <c r="AJ586" s="29">
        <v>0</v>
      </c>
      <c r="AK586" s="88">
        <v>0</v>
      </c>
      <c r="AL586" s="88">
        <v>0</v>
      </c>
      <c r="AM586" s="29">
        <v>0</v>
      </c>
      <c r="AN586" s="88">
        <v>0</v>
      </c>
      <c r="AO586" s="88">
        <v>0</v>
      </c>
      <c r="AP586" s="29">
        <v>0</v>
      </c>
      <c r="AQ586" s="88">
        <v>0</v>
      </c>
      <c r="AR586" s="88">
        <v>0</v>
      </c>
      <c r="AS586" s="88"/>
      <c r="AT586" s="88"/>
      <c r="AU586" s="29">
        <v>0</v>
      </c>
      <c r="AV586" s="29"/>
      <c r="AW586" s="88"/>
      <c r="AX586" s="88">
        <v>0</v>
      </c>
      <c r="AY586" s="29"/>
      <c r="AZ586" s="88">
        <v>0</v>
      </c>
      <c r="BA586" s="88">
        <v>0</v>
      </c>
      <c r="BB586" s="48"/>
      <c r="BC586" s="85">
        <v>0</v>
      </c>
      <c r="BD586" s="85">
        <v>0</v>
      </c>
      <c r="BE586" s="85">
        <v>0</v>
      </c>
      <c r="BF586" s="85">
        <v>0</v>
      </c>
      <c r="BG586" s="85"/>
      <c r="BH586" s="46"/>
      <c r="BI586" s="85">
        <v>0</v>
      </c>
      <c r="BJ586" s="85">
        <v>0</v>
      </c>
      <c r="BK586" s="85"/>
      <c r="BL586" s="85"/>
      <c r="BM586" s="85">
        <v>0</v>
      </c>
      <c r="BN586" s="85"/>
      <c r="BO586" s="85"/>
      <c r="BP586" s="46"/>
      <c r="BQ586" s="29"/>
      <c r="BR586" s="88">
        <v>0</v>
      </c>
      <c r="BS586" s="88">
        <v>0</v>
      </c>
    </row>
    <row r="587" spans="2:71" x14ac:dyDescent="0.2">
      <c r="B587" s="1" t="s">
        <v>64</v>
      </c>
      <c r="C587" s="61"/>
      <c r="D587" s="61">
        <v>0</v>
      </c>
      <c r="E587" s="61">
        <v>0</v>
      </c>
      <c r="F587" s="61">
        <v>0</v>
      </c>
      <c r="G587" s="61"/>
      <c r="H587" s="61">
        <v>0</v>
      </c>
      <c r="I587" s="61">
        <v>0</v>
      </c>
      <c r="J587" s="61">
        <v>0</v>
      </c>
      <c r="K587" s="61"/>
      <c r="L587" s="61"/>
      <c r="M587" s="61">
        <v>0</v>
      </c>
      <c r="N587" s="61">
        <v>0</v>
      </c>
      <c r="O587" s="61">
        <v>0</v>
      </c>
      <c r="P587" s="61"/>
      <c r="Q587" s="61"/>
      <c r="R587" s="61">
        <v>0</v>
      </c>
      <c r="S587" s="61">
        <v>0</v>
      </c>
      <c r="T587" s="49"/>
      <c r="U587" s="49"/>
      <c r="V587" s="85"/>
      <c r="W587" s="85"/>
      <c r="X587" s="85"/>
      <c r="Y587" s="85">
        <v>0</v>
      </c>
      <c r="Z587" s="85">
        <v>0</v>
      </c>
      <c r="AA587" s="85"/>
      <c r="AB587" s="45"/>
      <c r="AC587" s="85"/>
      <c r="AD587" s="86"/>
      <c r="AE587" s="86">
        <v>0</v>
      </c>
      <c r="AF587" s="29">
        <v>0</v>
      </c>
      <c r="AG587" s="88">
        <v>0</v>
      </c>
      <c r="AH587" s="88">
        <v>0</v>
      </c>
      <c r="AI587" s="88"/>
      <c r="AJ587" s="29">
        <v>0</v>
      </c>
      <c r="AK587" s="88">
        <v>0</v>
      </c>
      <c r="AL587" s="88">
        <v>0</v>
      </c>
      <c r="AM587" s="29">
        <v>0</v>
      </c>
      <c r="AN587" s="88">
        <v>0</v>
      </c>
      <c r="AO587" s="88">
        <v>0</v>
      </c>
      <c r="AP587" s="29">
        <v>0</v>
      </c>
      <c r="AQ587" s="88">
        <v>0</v>
      </c>
      <c r="AR587" s="88">
        <v>0</v>
      </c>
      <c r="AS587" s="88"/>
      <c r="AT587" s="88"/>
      <c r="AU587" s="29">
        <v>0</v>
      </c>
      <c r="AV587" s="29"/>
      <c r="AW587" s="88"/>
      <c r="AX587" s="88">
        <v>0</v>
      </c>
      <c r="AY587" s="29"/>
      <c r="AZ587" s="88">
        <v>0</v>
      </c>
      <c r="BA587" s="88">
        <v>0</v>
      </c>
      <c r="BB587" s="48"/>
      <c r="BC587" s="85">
        <v>0</v>
      </c>
      <c r="BD587" s="85">
        <v>0</v>
      </c>
      <c r="BE587" s="85">
        <v>0</v>
      </c>
      <c r="BF587" s="85">
        <v>0</v>
      </c>
      <c r="BG587" s="85"/>
      <c r="BH587" s="46"/>
      <c r="BI587" s="85">
        <v>0</v>
      </c>
      <c r="BJ587" s="85">
        <v>0</v>
      </c>
      <c r="BK587" s="85"/>
      <c r="BL587" s="85"/>
      <c r="BM587" s="85">
        <v>0</v>
      </c>
      <c r="BN587" s="85"/>
      <c r="BO587" s="85"/>
      <c r="BP587" s="46"/>
      <c r="BQ587" s="29"/>
      <c r="BR587" s="88">
        <v>0</v>
      </c>
      <c r="BS587" s="88">
        <v>0</v>
      </c>
    </row>
    <row r="588" spans="2:71" x14ac:dyDescent="0.2">
      <c r="B588" s="1" t="s">
        <v>64</v>
      </c>
      <c r="C588" s="61"/>
      <c r="D588" s="61">
        <v>0</v>
      </c>
      <c r="E588" s="61">
        <v>0</v>
      </c>
      <c r="F588" s="61">
        <v>0</v>
      </c>
      <c r="G588" s="61"/>
      <c r="H588" s="61">
        <v>0</v>
      </c>
      <c r="I588" s="61">
        <v>0</v>
      </c>
      <c r="J588" s="61">
        <v>0</v>
      </c>
      <c r="K588" s="61"/>
      <c r="L588" s="61"/>
      <c r="M588" s="61">
        <v>0</v>
      </c>
      <c r="N588" s="61">
        <v>0</v>
      </c>
      <c r="O588" s="61">
        <v>0</v>
      </c>
      <c r="P588" s="61"/>
      <c r="Q588" s="61"/>
      <c r="R588" s="61">
        <v>0</v>
      </c>
      <c r="S588" s="61">
        <v>0</v>
      </c>
      <c r="T588" s="49"/>
      <c r="U588" s="49"/>
      <c r="V588" s="85"/>
      <c r="W588" s="85"/>
      <c r="X588" s="85"/>
      <c r="Y588" s="85">
        <v>0</v>
      </c>
      <c r="Z588" s="85">
        <v>0</v>
      </c>
      <c r="AA588" s="85"/>
      <c r="AB588" s="45"/>
      <c r="AC588" s="85"/>
      <c r="AD588" s="86"/>
      <c r="AE588" s="86">
        <v>0</v>
      </c>
      <c r="AF588" s="29">
        <v>0</v>
      </c>
      <c r="AG588" s="88">
        <v>0</v>
      </c>
      <c r="AH588" s="88">
        <v>0</v>
      </c>
      <c r="AI588" s="88"/>
      <c r="AJ588" s="29">
        <v>0</v>
      </c>
      <c r="AK588" s="88">
        <v>0</v>
      </c>
      <c r="AL588" s="88">
        <v>0</v>
      </c>
      <c r="AM588" s="29">
        <v>0</v>
      </c>
      <c r="AN588" s="88">
        <v>0</v>
      </c>
      <c r="AO588" s="88">
        <v>0</v>
      </c>
      <c r="AP588" s="29">
        <v>0</v>
      </c>
      <c r="AQ588" s="88">
        <v>0</v>
      </c>
      <c r="AR588" s="88">
        <v>0</v>
      </c>
      <c r="AS588" s="88"/>
      <c r="AT588" s="88"/>
      <c r="AU588" s="29">
        <v>0</v>
      </c>
      <c r="AV588" s="29"/>
      <c r="AW588" s="88"/>
      <c r="AX588" s="88">
        <v>0</v>
      </c>
      <c r="AY588" s="29"/>
      <c r="AZ588" s="88">
        <v>0</v>
      </c>
      <c r="BA588" s="88">
        <v>0</v>
      </c>
      <c r="BB588" s="48"/>
      <c r="BC588" s="85">
        <v>0</v>
      </c>
      <c r="BD588" s="85">
        <v>0</v>
      </c>
      <c r="BE588" s="85">
        <v>0</v>
      </c>
      <c r="BF588" s="85">
        <v>0</v>
      </c>
      <c r="BG588" s="85"/>
      <c r="BH588" s="46"/>
      <c r="BI588" s="85">
        <v>0</v>
      </c>
      <c r="BJ588" s="85">
        <v>0</v>
      </c>
      <c r="BK588" s="85"/>
      <c r="BL588" s="85"/>
      <c r="BM588" s="85">
        <v>0</v>
      </c>
      <c r="BN588" s="85"/>
      <c r="BO588" s="85"/>
      <c r="BP588" s="46"/>
      <c r="BQ588" s="29"/>
      <c r="BR588" s="88">
        <v>0</v>
      </c>
      <c r="BS588" s="88">
        <v>0</v>
      </c>
    </row>
    <row r="589" spans="2:71" x14ac:dyDescent="0.2">
      <c r="B589" s="1" t="s">
        <v>64</v>
      </c>
      <c r="C589" s="61"/>
      <c r="D589" s="61">
        <v>0</v>
      </c>
      <c r="E589" s="61">
        <v>0</v>
      </c>
      <c r="F589" s="61">
        <v>0</v>
      </c>
      <c r="G589" s="61"/>
      <c r="H589" s="61">
        <v>0</v>
      </c>
      <c r="I589" s="61">
        <v>0</v>
      </c>
      <c r="J589" s="61">
        <v>0</v>
      </c>
      <c r="K589" s="61"/>
      <c r="L589" s="61"/>
      <c r="M589" s="61">
        <v>0</v>
      </c>
      <c r="N589" s="61">
        <v>0</v>
      </c>
      <c r="O589" s="61">
        <v>0</v>
      </c>
      <c r="P589" s="61"/>
      <c r="Q589" s="61"/>
      <c r="R589" s="61">
        <v>0</v>
      </c>
      <c r="S589" s="61">
        <v>0</v>
      </c>
      <c r="T589" s="49"/>
      <c r="U589" s="49"/>
      <c r="V589" s="85"/>
      <c r="W589" s="85"/>
      <c r="X589" s="85"/>
      <c r="Y589" s="85">
        <v>0</v>
      </c>
      <c r="Z589" s="85">
        <v>0</v>
      </c>
      <c r="AA589" s="85"/>
      <c r="AB589" s="45"/>
      <c r="AC589" s="85"/>
      <c r="AD589" s="86"/>
      <c r="AE589" s="86">
        <v>0</v>
      </c>
      <c r="AF589" s="29">
        <v>0</v>
      </c>
      <c r="AG589" s="88">
        <v>0</v>
      </c>
      <c r="AH589" s="88">
        <v>0</v>
      </c>
      <c r="AI589" s="88"/>
      <c r="AJ589" s="29">
        <v>0</v>
      </c>
      <c r="AK589" s="88">
        <v>0</v>
      </c>
      <c r="AL589" s="88">
        <v>0</v>
      </c>
      <c r="AM589" s="29">
        <v>0</v>
      </c>
      <c r="AN589" s="88">
        <v>0</v>
      </c>
      <c r="AO589" s="88">
        <v>0</v>
      </c>
      <c r="AP589" s="29">
        <v>0</v>
      </c>
      <c r="AQ589" s="88">
        <v>0</v>
      </c>
      <c r="AR589" s="88">
        <v>0</v>
      </c>
      <c r="AS589" s="88"/>
      <c r="AT589" s="88"/>
      <c r="AU589" s="29">
        <v>0</v>
      </c>
      <c r="AV589" s="29"/>
      <c r="AW589" s="88"/>
      <c r="AX589" s="88">
        <v>0</v>
      </c>
      <c r="AY589" s="29"/>
      <c r="AZ589" s="88">
        <v>0</v>
      </c>
      <c r="BA589" s="88">
        <v>0</v>
      </c>
      <c r="BB589" s="48"/>
      <c r="BC589" s="85">
        <v>0</v>
      </c>
      <c r="BD589" s="85">
        <v>0</v>
      </c>
      <c r="BE589" s="85">
        <v>0</v>
      </c>
      <c r="BF589" s="85">
        <v>0</v>
      </c>
      <c r="BG589" s="85"/>
      <c r="BH589" s="46"/>
      <c r="BI589" s="85">
        <v>0</v>
      </c>
      <c r="BJ589" s="85">
        <v>0</v>
      </c>
      <c r="BK589" s="85"/>
      <c r="BL589" s="85"/>
      <c r="BM589" s="85">
        <v>0</v>
      </c>
      <c r="BN589" s="85"/>
      <c r="BO589" s="85"/>
      <c r="BP589" s="46"/>
      <c r="BQ589" s="29"/>
      <c r="BR589" s="88">
        <v>0</v>
      </c>
      <c r="BS589" s="88">
        <v>0</v>
      </c>
    </row>
    <row r="590" spans="2:71" x14ac:dyDescent="0.2">
      <c r="B590" s="1" t="s">
        <v>64</v>
      </c>
      <c r="C590" s="61"/>
      <c r="D590" s="61">
        <v>0</v>
      </c>
      <c r="E590" s="61">
        <v>0</v>
      </c>
      <c r="F590" s="61">
        <v>0</v>
      </c>
      <c r="G590" s="61"/>
      <c r="H590" s="61">
        <v>0</v>
      </c>
      <c r="I590" s="61">
        <v>0</v>
      </c>
      <c r="J590" s="61">
        <v>0</v>
      </c>
      <c r="K590" s="61"/>
      <c r="L590" s="61"/>
      <c r="M590" s="61">
        <v>0</v>
      </c>
      <c r="N590" s="61">
        <v>0</v>
      </c>
      <c r="O590" s="61">
        <v>0</v>
      </c>
      <c r="P590" s="61"/>
      <c r="Q590" s="61"/>
      <c r="R590" s="61">
        <v>0</v>
      </c>
      <c r="S590" s="61">
        <v>0</v>
      </c>
      <c r="T590" s="49"/>
      <c r="U590" s="49"/>
      <c r="V590" s="85"/>
      <c r="W590" s="85"/>
      <c r="X590" s="85"/>
      <c r="Y590" s="85">
        <v>0</v>
      </c>
      <c r="Z590" s="85">
        <v>0</v>
      </c>
      <c r="AA590" s="85"/>
      <c r="AB590" s="45"/>
      <c r="AC590" s="85"/>
      <c r="AD590" s="86"/>
      <c r="AE590" s="86">
        <v>0</v>
      </c>
      <c r="AF590" s="29">
        <v>0</v>
      </c>
      <c r="AG590" s="88">
        <v>0</v>
      </c>
      <c r="AH590" s="88">
        <v>0</v>
      </c>
      <c r="AI590" s="88"/>
      <c r="AJ590" s="29">
        <v>0</v>
      </c>
      <c r="AK590" s="88">
        <v>0</v>
      </c>
      <c r="AL590" s="88">
        <v>0</v>
      </c>
      <c r="AM590" s="29">
        <v>0</v>
      </c>
      <c r="AN590" s="88">
        <v>0</v>
      </c>
      <c r="AO590" s="88">
        <v>0</v>
      </c>
      <c r="AP590" s="29">
        <v>0</v>
      </c>
      <c r="AQ590" s="88">
        <v>0</v>
      </c>
      <c r="AR590" s="88">
        <v>0</v>
      </c>
      <c r="AS590" s="88"/>
      <c r="AT590" s="88"/>
      <c r="AU590" s="29">
        <v>0</v>
      </c>
      <c r="AV590" s="29"/>
      <c r="AW590" s="88"/>
      <c r="AX590" s="88">
        <v>0</v>
      </c>
      <c r="AY590" s="29"/>
      <c r="AZ590" s="88">
        <v>0</v>
      </c>
      <c r="BA590" s="88">
        <v>0</v>
      </c>
      <c r="BB590" s="48"/>
      <c r="BC590" s="85">
        <v>0</v>
      </c>
      <c r="BD590" s="85">
        <v>0</v>
      </c>
      <c r="BE590" s="85">
        <v>0</v>
      </c>
      <c r="BF590" s="85">
        <v>0</v>
      </c>
      <c r="BG590" s="85"/>
      <c r="BH590" s="46"/>
      <c r="BI590" s="85">
        <v>0</v>
      </c>
      <c r="BJ590" s="85">
        <v>0</v>
      </c>
      <c r="BK590" s="85"/>
      <c r="BL590" s="85"/>
      <c r="BM590" s="85">
        <v>0</v>
      </c>
      <c r="BN590" s="85"/>
      <c r="BO590" s="85"/>
      <c r="BP590" s="46"/>
      <c r="BQ590" s="29"/>
      <c r="BR590" s="88">
        <v>0</v>
      </c>
      <c r="BS590" s="88">
        <v>0</v>
      </c>
    </row>
    <row r="591" spans="2:71" x14ac:dyDescent="0.2">
      <c r="B591" s="1" t="s">
        <v>64</v>
      </c>
      <c r="C591" s="61"/>
      <c r="D591" s="61">
        <v>0</v>
      </c>
      <c r="E591" s="61">
        <v>0</v>
      </c>
      <c r="F591" s="61">
        <v>0</v>
      </c>
      <c r="G591" s="61"/>
      <c r="H591" s="61">
        <v>0</v>
      </c>
      <c r="I591" s="61">
        <v>0</v>
      </c>
      <c r="J591" s="61">
        <v>0</v>
      </c>
      <c r="K591" s="61"/>
      <c r="L591" s="61"/>
      <c r="M591" s="61">
        <v>0</v>
      </c>
      <c r="N591" s="61">
        <v>0</v>
      </c>
      <c r="O591" s="61">
        <v>0</v>
      </c>
      <c r="P591" s="61"/>
      <c r="Q591" s="61"/>
      <c r="R591" s="61">
        <v>0</v>
      </c>
      <c r="S591" s="61">
        <v>0</v>
      </c>
      <c r="T591" s="49"/>
      <c r="U591" s="49"/>
      <c r="V591" s="85"/>
      <c r="W591" s="85"/>
      <c r="X591" s="85"/>
      <c r="Y591" s="85">
        <v>0</v>
      </c>
      <c r="Z591" s="85">
        <v>0</v>
      </c>
      <c r="AA591" s="85"/>
      <c r="AB591" s="45"/>
      <c r="AC591" s="85"/>
      <c r="AD591" s="86"/>
      <c r="AE591" s="86">
        <v>0</v>
      </c>
      <c r="AF591" s="29">
        <v>0</v>
      </c>
      <c r="AG591" s="88">
        <v>0</v>
      </c>
      <c r="AH591" s="88">
        <v>0</v>
      </c>
      <c r="AI591" s="88"/>
      <c r="AJ591" s="29">
        <v>0</v>
      </c>
      <c r="AK591" s="88">
        <v>0</v>
      </c>
      <c r="AL591" s="88">
        <v>0</v>
      </c>
      <c r="AM591" s="29">
        <v>0</v>
      </c>
      <c r="AN591" s="88">
        <v>0</v>
      </c>
      <c r="AO591" s="88">
        <v>0</v>
      </c>
      <c r="AP591" s="29">
        <v>0</v>
      </c>
      <c r="AQ591" s="88">
        <v>0</v>
      </c>
      <c r="AR591" s="88">
        <v>0</v>
      </c>
      <c r="AS591" s="88"/>
      <c r="AT591" s="88"/>
      <c r="AU591" s="29">
        <v>0</v>
      </c>
      <c r="AV591" s="29"/>
      <c r="AW591" s="88"/>
      <c r="AX591" s="88">
        <v>0</v>
      </c>
      <c r="AY591" s="29"/>
      <c r="AZ591" s="88">
        <v>0</v>
      </c>
      <c r="BA591" s="88">
        <v>0</v>
      </c>
      <c r="BB591" s="48"/>
      <c r="BC591" s="85">
        <v>0</v>
      </c>
      <c r="BD591" s="85">
        <v>0</v>
      </c>
      <c r="BE591" s="85">
        <v>0</v>
      </c>
      <c r="BF591" s="85">
        <v>0</v>
      </c>
      <c r="BG591" s="85"/>
      <c r="BH591" s="46"/>
      <c r="BI591" s="85">
        <v>0</v>
      </c>
      <c r="BJ591" s="85">
        <v>0</v>
      </c>
      <c r="BK591" s="85"/>
      <c r="BL591" s="85"/>
      <c r="BM591" s="85">
        <v>0</v>
      </c>
      <c r="BN591" s="85"/>
      <c r="BO591" s="85"/>
      <c r="BP591" s="46"/>
      <c r="BQ591" s="29"/>
      <c r="BR591" s="88">
        <v>0</v>
      </c>
      <c r="BS591" s="88">
        <v>0</v>
      </c>
    </row>
    <row r="592" spans="2:71" x14ac:dyDescent="0.2">
      <c r="B592" s="1" t="s">
        <v>64</v>
      </c>
      <c r="C592" s="61"/>
      <c r="D592" s="61">
        <v>0</v>
      </c>
      <c r="E592" s="61">
        <v>0</v>
      </c>
      <c r="F592" s="61">
        <v>0</v>
      </c>
      <c r="G592" s="61"/>
      <c r="H592" s="61">
        <v>0</v>
      </c>
      <c r="I592" s="61">
        <v>0</v>
      </c>
      <c r="J592" s="61">
        <v>0</v>
      </c>
      <c r="K592" s="61"/>
      <c r="L592" s="61"/>
      <c r="M592" s="61">
        <v>0</v>
      </c>
      <c r="N592" s="61">
        <v>0</v>
      </c>
      <c r="O592" s="61">
        <v>0</v>
      </c>
      <c r="P592" s="61"/>
      <c r="Q592" s="61"/>
      <c r="R592" s="61">
        <v>0</v>
      </c>
      <c r="S592" s="61">
        <v>0</v>
      </c>
      <c r="T592" s="49"/>
      <c r="U592" s="49"/>
      <c r="V592" s="85"/>
      <c r="W592" s="85"/>
      <c r="X592" s="85"/>
      <c r="Y592" s="85">
        <v>0</v>
      </c>
      <c r="Z592" s="85">
        <v>0</v>
      </c>
      <c r="AA592" s="85"/>
      <c r="AB592" s="45"/>
      <c r="AC592" s="85"/>
      <c r="AD592" s="86"/>
      <c r="AE592" s="86">
        <v>0</v>
      </c>
      <c r="AF592" s="29">
        <v>0</v>
      </c>
      <c r="AG592" s="88">
        <v>0</v>
      </c>
      <c r="AH592" s="88">
        <v>0</v>
      </c>
      <c r="AI592" s="88"/>
      <c r="AJ592" s="29">
        <v>0</v>
      </c>
      <c r="AK592" s="88">
        <v>0</v>
      </c>
      <c r="AL592" s="88">
        <v>0</v>
      </c>
      <c r="AM592" s="29">
        <v>0</v>
      </c>
      <c r="AN592" s="88">
        <v>0</v>
      </c>
      <c r="AO592" s="88">
        <v>0</v>
      </c>
      <c r="AP592" s="29">
        <v>0</v>
      </c>
      <c r="AQ592" s="88">
        <v>0</v>
      </c>
      <c r="AR592" s="88">
        <v>0</v>
      </c>
      <c r="AS592" s="88"/>
      <c r="AT592" s="88"/>
      <c r="AU592" s="29">
        <v>0</v>
      </c>
      <c r="AV592" s="29"/>
      <c r="AW592" s="88"/>
      <c r="AX592" s="88">
        <v>0</v>
      </c>
      <c r="AY592" s="29"/>
      <c r="AZ592" s="88">
        <v>0</v>
      </c>
      <c r="BA592" s="88">
        <v>0</v>
      </c>
      <c r="BB592" s="48"/>
      <c r="BC592" s="85">
        <v>0</v>
      </c>
      <c r="BD592" s="85">
        <v>0</v>
      </c>
      <c r="BE592" s="85">
        <v>0</v>
      </c>
      <c r="BF592" s="85">
        <v>0</v>
      </c>
      <c r="BG592" s="85"/>
      <c r="BH592" s="46"/>
      <c r="BI592" s="85">
        <v>0</v>
      </c>
      <c r="BJ592" s="85">
        <v>0</v>
      </c>
      <c r="BK592" s="85"/>
      <c r="BL592" s="85"/>
      <c r="BM592" s="85">
        <v>0</v>
      </c>
      <c r="BN592" s="85"/>
      <c r="BO592" s="85"/>
      <c r="BP592" s="46"/>
      <c r="BQ592" s="29"/>
      <c r="BR592" s="88">
        <v>0</v>
      </c>
      <c r="BS592" s="88">
        <v>0</v>
      </c>
    </row>
    <row r="593" spans="2:71" x14ac:dyDescent="0.2">
      <c r="B593" s="1" t="s">
        <v>64</v>
      </c>
      <c r="C593" s="61"/>
      <c r="D593" s="61">
        <v>0</v>
      </c>
      <c r="E593" s="61">
        <v>0</v>
      </c>
      <c r="F593" s="61">
        <v>0</v>
      </c>
      <c r="G593" s="61"/>
      <c r="H593" s="61">
        <v>0</v>
      </c>
      <c r="I593" s="61">
        <v>0</v>
      </c>
      <c r="J593" s="61">
        <v>0</v>
      </c>
      <c r="K593" s="61"/>
      <c r="L593" s="61"/>
      <c r="M593" s="61">
        <v>0</v>
      </c>
      <c r="N593" s="61">
        <v>0</v>
      </c>
      <c r="O593" s="61">
        <v>0</v>
      </c>
      <c r="P593" s="61"/>
      <c r="Q593" s="61"/>
      <c r="R593" s="61">
        <v>0</v>
      </c>
      <c r="S593" s="61">
        <v>0</v>
      </c>
      <c r="T593" s="49"/>
      <c r="U593" s="49"/>
      <c r="V593" s="85"/>
      <c r="W593" s="85"/>
      <c r="X593" s="85"/>
      <c r="Y593" s="85">
        <v>0</v>
      </c>
      <c r="Z593" s="85">
        <v>0</v>
      </c>
      <c r="AA593" s="85"/>
      <c r="AB593" s="45"/>
      <c r="AC593" s="85"/>
      <c r="AD593" s="86"/>
      <c r="AE593" s="86">
        <v>0</v>
      </c>
      <c r="AF593" s="29">
        <v>0</v>
      </c>
      <c r="AG593" s="88">
        <v>0</v>
      </c>
      <c r="AH593" s="88">
        <v>0</v>
      </c>
      <c r="AI593" s="88"/>
      <c r="AJ593" s="29">
        <v>0</v>
      </c>
      <c r="AK593" s="88">
        <v>0</v>
      </c>
      <c r="AL593" s="88">
        <v>0</v>
      </c>
      <c r="AM593" s="29">
        <v>0</v>
      </c>
      <c r="AN593" s="88">
        <v>0</v>
      </c>
      <c r="AO593" s="88">
        <v>0</v>
      </c>
      <c r="AP593" s="29">
        <v>0</v>
      </c>
      <c r="AQ593" s="88">
        <v>0</v>
      </c>
      <c r="AR593" s="88">
        <v>0</v>
      </c>
      <c r="AS593" s="88"/>
      <c r="AT593" s="88"/>
      <c r="AU593" s="29">
        <v>0</v>
      </c>
      <c r="AV593" s="29"/>
      <c r="AW593" s="88"/>
      <c r="AX593" s="88">
        <v>0</v>
      </c>
      <c r="AY593" s="29"/>
      <c r="AZ593" s="88">
        <v>0</v>
      </c>
      <c r="BA593" s="88">
        <v>0</v>
      </c>
      <c r="BB593" s="48"/>
      <c r="BC593" s="85">
        <v>0</v>
      </c>
      <c r="BD593" s="85">
        <v>0</v>
      </c>
      <c r="BE593" s="85">
        <v>0</v>
      </c>
      <c r="BF593" s="85">
        <v>0</v>
      </c>
      <c r="BG593" s="85"/>
      <c r="BH593" s="46"/>
      <c r="BI593" s="85">
        <v>0</v>
      </c>
      <c r="BJ593" s="85">
        <v>0</v>
      </c>
      <c r="BK593" s="85"/>
      <c r="BL593" s="85"/>
      <c r="BM593" s="85">
        <v>0</v>
      </c>
      <c r="BN593" s="85"/>
      <c r="BO593" s="85"/>
      <c r="BP593" s="46"/>
      <c r="BQ593" s="29"/>
      <c r="BR593" s="88">
        <v>0</v>
      </c>
      <c r="BS593" s="88">
        <v>0</v>
      </c>
    </row>
    <row r="594" spans="2:71" x14ac:dyDescent="0.2">
      <c r="B594" s="1" t="s">
        <v>64</v>
      </c>
      <c r="C594" s="61"/>
      <c r="D594" s="61">
        <v>0</v>
      </c>
      <c r="E594" s="61">
        <v>0</v>
      </c>
      <c r="F594" s="61">
        <v>0</v>
      </c>
      <c r="G594" s="61"/>
      <c r="H594" s="61">
        <v>0</v>
      </c>
      <c r="I594" s="61">
        <v>0</v>
      </c>
      <c r="J594" s="61">
        <v>0</v>
      </c>
      <c r="K594" s="61"/>
      <c r="L594" s="61"/>
      <c r="M594" s="61">
        <v>0</v>
      </c>
      <c r="N594" s="61">
        <v>0</v>
      </c>
      <c r="O594" s="61">
        <v>0</v>
      </c>
      <c r="P594" s="61"/>
      <c r="Q594" s="61"/>
      <c r="R594" s="61">
        <v>0</v>
      </c>
      <c r="S594" s="61">
        <v>0</v>
      </c>
      <c r="T594" s="49"/>
      <c r="U594" s="49"/>
      <c r="V594" s="85"/>
      <c r="W594" s="85"/>
      <c r="X594" s="85"/>
      <c r="Y594" s="85">
        <v>0</v>
      </c>
      <c r="Z594" s="85">
        <v>0</v>
      </c>
      <c r="AA594" s="85"/>
      <c r="AB594" s="45"/>
      <c r="AC594" s="85"/>
      <c r="AD594" s="86"/>
      <c r="AE594" s="86">
        <v>0</v>
      </c>
      <c r="AF594" s="29">
        <v>0</v>
      </c>
      <c r="AG594" s="88">
        <v>0</v>
      </c>
      <c r="AH594" s="88">
        <v>0</v>
      </c>
      <c r="AI594" s="88"/>
      <c r="AJ594" s="29">
        <v>0</v>
      </c>
      <c r="AK594" s="88">
        <v>0</v>
      </c>
      <c r="AL594" s="88">
        <v>0</v>
      </c>
      <c r="AM594" s="29">
        <v>0</v>
      </c>
      <c r="AN594" s="88">
        <v>0</v>
      </c>
      <c r="AO594" s="88">
        <v>0</v>
      </c>
      <c r="AP594" s="29">
        <v>0</v>
      </c>
      <c r="AQ594" s="88">
        <v>0</v>
      </c>
      <c r="AR594" s="88">
        <v>0</v>
      </c>
      <c r="AS594" s="88"/>
      <c r="AT594" s="88"/>
      <c r="AU594" s="29">
        <v>0</v>
      </c>
      <c r="AV594" s="29"/>
      <c r="AW594" s="88"/>
      <c r="AX594" s="88">
        <v>0</v>
      </c>
      <c r="AY594" s="29"/>
      <c r="AZ594" s="88">
        <v>0</v>
      </c>
      <c r="BA594" s="88">
        <v>0</v>
      </c>
      <c r="BB594" s="48"/>
      <c r="BC594" s="85">
        <v>0</v>
      </c>
      <c r="BD594" s="85">
        <v>0</v>
      </c>
      <c r="BE594" s="85">
        <v>0</v>
      </c>
      <c r="BF594" s="85">
        <v>0</v>
      </c>
      <c r="BG594" s="85"/>
      <c r="BH594" s="46"/>
      <c r="BI594" s="85">
        <v>0</v>
      </c>
      <c r="BJ594" s="85">
        <v>0</v>
      </c>
      <c r="BK594" s="85"/>
      <c r="BL594" s="85"/>
      <c r="BM594" s="85">
        <v>0</v>
      </c>
      <c r="BN594" s="85"/>
      <c r="BO594" s="85"/>
      <c r="BP594" s="46"/>
      <c r="BQ594" s="29"/>
      <c r="BR594" s="88">
        <v>0</v>
      </c>
      <c r="BS594" s="88">
        <v>0</v>
      </c>
    </row>
    <row r="595" spans="2:71" x14ac:dyDescent="0.2">
      <c r="B595" s="1" t="s">
        <v>64</v>
      </c>
      <c r="C595" s="61"/>
      <c r="D595" s="61">
        <v>0</v>
      </c>
      <c r="E595" s="61">
        <v>0</v>
      </c>
      <c r="F595" s="61">
        <v>0</v>
      </c>
      <c r="G595" s="61"/>
      <c r="H595" s="61">
        <v>0</v>
      </c>
      <c r="I595" s="61">
        <v>0</v>
      </c>
      <c r="J595" s="61">
        <v>0</v>
      </c>
      <c r="K595" s="61"/>
      <c r="L595" s="61"/>
      <c r="M595" s="61">
        <v>0</v>
      </c>
      <c r="N595" s="61">
        <v>0</v>
      </c>
      <c r="O595" s="61">
        <v>0</v>
      </c>
      <c r="P595" s="61"/>
      <c r="Q595" s="61"/>
      <c r="R595" s="61">
        <v>0</v>
      </c>
      <c r="S595" s="61">
        <v>0</v>
      </c>
      <c r="T595" s="49"/>
      <c r="U595" s="49"/>
      <c r="V595" s="85"/>
      <c r="W595" s="85"/>
      <c r="X595" s="85"/>
      <c r="Y595" s="85">
        <v>0</v>
      </c>
      <c r="Z595" s="85">
        <v>0</v>
      </c>
      <c r="AA595" s="85"/>
      <c r="AB595" s="45"/>
      <c r="AC595" s="85"/>
      <c r="AD595" s="86"/>
      <c r="AE595" s="86">
        <v>0</v>
      </c>
      <c r="AF595" s="29">
        <v>0</v>
      </c>
      <c r="AG595" s="88">
        <v>0</v>
      </c>
      <c r="AH595" s="88">
        <v>0</v>
      </c>
      <c r="AI595" s="88"/>
      <c r="AJ595" s="29">
        <v>0</v>
      </c>
      <c r="AK595" s="88">
        <v>0</v>
      </c>
      <c r="AL595" s="88">
        <v>0</v>
      </c>
      <c r="AM595" s="29">
        <v>0</v>
      </c>
      <c r="AN595" s="88">
        <v>0</v>
      </c>
      <c r="AO595" s="88">
        <v>0</v>
      </c>
      <c r="AP595" s="29">
        <v>0</v>
      </c>
      <c r="AQ595" s="88">
        <v>0</v>
      </c>
      <c r="AR595" s="88">
        <v>0</v>
      </c>
      <c r="AS595" s="88"/>
      <c r="AT595" s="88"/>
      <c r="AU595" s="29">
        <v>0</v>
      </c>
      <c r="AV595" s="29"/>
      <c r="AW595" s="88"/>
      <c r="AX595" s="88">
        <v>0</v>
      </c>
      <c r="AY595" s="29"/>
      <c r="AZ595" s="88">
        <v>0</v>
      </c>
      <c r="BA595" s="88">
        <v>0</v>
      </c>
      <c r="BB595" s="48"/>
      <c r="BC595" s="85">
        <v>0</v>
      </c>
      <c r="BD595" s="85">
        <v>0</v>
      </c>
      <c r="BE595" s="85">
        <v>0</v>
      </c>
      <c r="BF595" s="85">
        <v>0</v>
      </c>
      <c r="BG595" s="85"/>
      <c r="BH595" s="46"/>
      <c r="BI595" s="85">
        <v>0</v>
      </c>
      <c r="BJ595" s="85">
        <v>0</v>
      </c>
      <c r="BK595" s="85"/>
      <c r="BL595" s="85"/>
      <c r="BM595" s="85">
        <v>0</v>
      </c>
      <c r="BN595" s="85"/>
      <c r="BO595" s="85"/>
      <c r="BP595" s="46"/>
      <c r="BQ595" s="29"/>
      <c r="BR595" s="88">
        <v>0</v>
      </c>
      <c r="BS595" s="88">
        <v>0</v>
      </c>
    </row>
    <row r="596" spans="2:71" x14ac:dyDescent="0.2">
      <c r="B596" s="1" t="s">
        <v>64</v>
      </c>
      <c r="C596" s="61"/>
      <c r="D596" s="61">
        <v>0</v>
      </c>
      <c r="E596" s="61">
        <v>0</v>
      </c>
      <c r="F596" s="61">
        <v>0</v>
      </c>
      <c r="G596" s="61"/>
      <c r="H596" s="61">
        <v>0</v>
      </c>
      <c r="I596" s="61">
        <v>0</v>
      </c>
      <c r="J596" s="61">
        <v>0</v>
      </c>
      <c r="K596" s="61"/>
      <c r="L596" s="61"/>
      <c r="M596" s="61">
        <v>0</v>
      </c>
      <c r="N596" s="61">
        <v>0</v>
      </c>
      <c r="O596" s="61">
        <v>0</v>
      </c>
      <c r="P596" s="61"/>
      <c r="Q596" s="61"/>
      <c r="R596" s="61">
        <v>0</v>
      </c>
      <c r="S596" s="61">
        <v>0</v>
      </c>
      <c r="T596" s="49"/>
      <c r="U596" s="49"/>
      <c r="V596" s="85"/>
      <c r="W596" s="85"/>
      <c r="X596" s="85"/>
      <c r="Y596" s="85">
        <v>0</v>
      </c>
      <c r="Z596" s="85">
        <v>0</v>
      </c>
      <c r="AA596" s="85"/>
      <c r="AB596" s="45"/>
      <c r="AC596" s="85"/>
      <c r="AD596" s="86"/>
      <c r="AE596" s="86">
        <v>0</v>
      </c>
      <c r="AF596" s="29">
        <v>0</v>
      </c>
      <c r="AG596" s="88">
        <v>0</v>
      </c>
      <c r="AH596" s="88">
        <v>0</v>
      </c>
      <c r="AI596" s="88"/>
      <c r="AJ596" s="29">
        <v>0</v>
      </c>
      <c r="AK596" s="88">
        <v>0</v>
      </c>
      <c r="AL596" s="88">
        <v>0</v>
      </c>
      <c r="AM596" s="29">
        <v>0</v>
      </c>
      <c r="AN596" s="88">
        <v>0</v>
      </c>
      <c r="AO596" s="88">
        <v>0</v>
      </c>
      <c r="AP596" s="29">
        <v>0</v>
      </c>
      <c r="AQ596" s="88">
        <v>0</v>
      </c>
      <c r="AR596" s="88">
        <v>0</v>
      </c>
      <c r="AS596" s="88"/>
      <c r="AT596" s="88"/>
      <c r="AU596" s="29">
        <v>0</v>
      </c>
      <c r="AV596" s="29"/>
      <c r="AW596" s="88"/>
      <c r="AX596" s="88">
        <v>0</v>
      </c>
      <c r="AY596" s="29"/>
      <c r="AZ596" s="88">
        <v>0</v>
      </c>
      <c r="BA596" s="88">
        <v>0</v>
      </c>
      <c r="BB596" s="48"/>
      <c r="BC596" s="85">
        <v>0</v>
      </c>
      <c r="BD596" s="85">
        <v>0</v>
      </c>
      <c r="BE596" s="85">
        <v>0</v>
      </c>
      <c r="BF596" s="85">
        <v>0</v>
      </c>
      <c r="BG596" s="85"/>
      <c r="BH596" s="46"/>
      <c r="BI596" s="85">
        <v>0</v>
      </c>
      <c r="BJ596" s="85">
        <v>0</v>
      </c>
      <c r="BK596" s="85"/>
      <c r="BL596" s="85"/>
      <c r="BM596" s="85">
        <v>0</v>
      </c>
      <c r="BN596" s="85"/>
      <c r="BO596" s="85"/>
      <c r="BP596" s="46"/>
      <c r="BQ596" s="29"/>
      <c r="BR596" s="88">
        <v>0</v>
      </c>
      <c r="BS596" s="88">
        <v>0</v>
      </c>
    </row>
    <row r="597" spans="2:71" x14ac:dyDescent="0.2">
      <c r="B597" s="1" t="s">
        <v>64</v>
      </c>
      <c r="C597" s="61"/>
      <c r="D597" s="61">
        <v>0</v>
      </c>
      <c r="E597" s="61">
        <v>0</v>
      </c>
      <c r="F597" s="61">
        <v>0</v>
      </c>
      <c r="G597" s="61"/>
      <c r="H597" s="61">
        <v>0</v>
      </c>
      <c r="I597" s="61">
        <v>0</v>
      </c>
      <c r="J597" s="61">
        <v>0</v>
      </c>
      <c r="K597" s="61"/>
      <c r="L597" s="61"/>
      <c r="M597" s="61">
        <v>0</v>
      </c>
      <c r="N597" s="61">
        <v>0</v>
      </c>
      <c r="O597" s="61">
        <v>0</v>
      </c>
      <c r="P597" s="61"/>
      <c r="Q597" s="61"/>
      <c r="R597" s="61">
        <v>0</v>
      </c>
      <c r="S597" s="61">
        <v>0</v>
      </c>
      <c r="T597" s="49"/>
      <c r="U597" s="49"/>
      <c r="V597" s="85"/>
      <c r="W597" s="85"/>
      <c r="X597" s="85"/>
      <c r="Y597" s="85">
        <v>0</v>
      </c>
      <c r="Z597" s="85">
        <v>0</v>
      </c>
      <c r="AA597" s="85"/>
      <c r="AB597" s="45"/>
      <c r="AC597" s="85"/>
      <c r="AD597" s="86"/>
      <c r="AE597" s="86">
        <v>0</v>
      </c>
      <c r="AF597" s="29">
        <v>0</v>
      </c>
      <c r="AG597" s="88">
        <v>0</v>
      </c>
      <c r="AH597" s="88">
        <v>0</v>
      </c>
      <c r="AI597" s="88"/>
      <c r="AJ597" s="29">
        <v>0</v>
      </c>
      <c r="AK597" s="88">
        <v>0</v>
      </c>
      <c r="AL597" s="88">
        <v>0</v>
      </c>
      <c r="AM597" s="29">
        <v>0</v>
      </c>
      <c r="AN597" s="88">
        <v>0</v>
      </c>
      <c r="AO597" s="88">
        <v>0</v>
      </c>
      <c r="AP597" s="29">
        <v>0</v>
      </c>
      <c r="AQ597" s="88">
        <v>0</v>
      </c>
      <c r="AR597" s="88">
        <v>0</v>
      </c>
      <c r="AS597" s="88"/>
      <c r="AT597" s="88"/>
      <c r="AU597" s="29">
        <v>0</v>
      </c>
      <c r="AV597" s="29"/>
      <c r="AW597" s="88"/>
      <c r="AX597" s="88">
        <v>0</v>
      </c>
      <c r="AY597" s="29"/>
      <c r="AZ597" s="88">
        <v>0</v>
      </c>
      <c r="BA597" s="88">
        <v>0</v>
      </c>
      <c r="BB597" s="48"/>
      <c r="BC597" s="85">
        <v>0</v>
      </c>
      <c r="BD597" s="85">
        <v>0</v>
      </c>
      <c r="BE597" s="85">
        <v>0</v>
      </c>
      <c r="BF597" s="85">
        <v>0</v>
      </c>
      <c r="BG597" s="85"/>
      <c r="BH597" s="46"/>
      <c r="BI597" s="85">
        <v>0</v>
      </c>
      <c r="BJ597" s="85">
        <v>0</v>
      </c>
      <c r="BK597" s="85"/>
      <c r="BL597" s="85"/>
      <c r="BM597" s="85">
        <v>0</v>
      </c>
      <c r="BN597" s="85"/>
      <c r="BO597" s="85"/>
      <c r="BP597" s="46"/>
      <c r="BQ597" s="29"/>
      <c r="BR597" s="88">
        <v>0</v>
      </c>
      <c r="BS597" s="88">
        <v>0</v>
      </c>
    </row>
    <row r="598" spans="2:71" x14ac:dyDescent="0.2">
      <c r="B598" s="1" t="s">
        <v>64</v>
      </c>
      <c r="C598" s="61"/>
      <c r="D598" s="61">
        <v>0</v>
      </c>
      <c r="E598" s="61">
        <v>0</v>
      </c>
      <c r="F598" s="61">
        <v>0</v>
      </c>
      <c r="G598" s="61"/>
      <c r="H598" s="61">
        <v>0</v>
      </c>
      <c r="I598" s="61">
        <v>0</v>
      </c>
      <c r="J598" s="61">
        <v>0</v>
      </c>
      <c r="K598" s="61"/>
      <c r="L598" s="61"/>
      <c r="M598" s="61">
        <v>0</v>
      </c>
      <c r="N598" s="61">
        <v>0</v>
      </c>
      <c r="O598" s="61">
        <v>0</v>
      </c>
      <c r="P598" s="61"/>
      <c r="Q598" s="61"/>
      <c r="R598" s="61">
        <v>0</v>
      </c>
      <c r="S598" s="61">
        <v>0</v>
      </c>
      <c r="T598" s="49"/>
      <c r="U598" s="49"/>
      <c r="V598" s="85"/>
      <c r="W598" s="85"/>
      <c r="X598" s="85"/>
      <c r="Y598" s="85">
        <v>0</v>
      </c>
      <c r="Z598" s="85">
        <v>0</v>
      </c>
      <c r="AA598" s="85"/>
      <c r="AB598" s="45"/>
      <c r="AC598" s="85"/>
      <c r="AD598" s="86"/>
      <c r="AE598" s="86">
        <v>0</v>
      </c>
      <c r="AF598" s="29">
        <v>0</v>
      </c>
      <c r="AG598" s="88">
        <v>0</v>
      </c>
      <c r="AH598" s="88">
        <v>0</v>
      </c>
      <c r="AI598" s="88"/>
      <c r="AJ598" s="29">
        <v>0</v>
      </c>
      <c r="AK598" s="88">
        <v>0</v>
      </c>
      <c r="AL598" s="88">
        <v>0</v>
      </c>
      <c r="AM598" s="29">
        <v>0</v>
      </c>
      <c r="AN598" s="88">
        <v>0</v>
      </c>
      <c r="AO598" s="88">
        <v>0</v>
      </c>
      <c r="AP598" s="29">
        <v>0</v>
      </c>
      <c r="AQ598" s="88">
        <v>0</v>
      </c>
      <c r="AR598" s="88">
        <v>0</v>
      </c>
      <c r="AS598" s="88"/>
      <c r="AT598" s="88"/>
      <c r="AU598" s="29">
        <v>0</v>
      </c>
      <c r="AV598" s="29"/>
      <c r="AW598" s="88"/>
      <c r="AX598" s="88">
        <v>0</v>
      </c>
      <c r="AY598" s="29"/>
      <c r="AZ598" s="88">
        <v>0</v>
      </c>
      <c r="BA598" s="88">
        <v>0</v>
      </c>
      <c r="BB598" s="48"/>
      <c r="BC598" s="85">
        <v>0</v>
      </c>
      <c r="BD598" s="85">
        <v>0</v>
      </c>
      <c r="BE598" s="85">
        <v>0</v>
      </c>
      <c r="BF598" s="85">
        <v>0</v>
      </c>
      <c r="BG598" s="85"/>
      <c r="BH598" s="46"/>
      <c r="BI598" s="85">
        <v>0</v>
      </c>
      <c r="BJ598" s="85">
        <v>0</v>
      </c>
      <c r="BK598" s="85"/>
      <c r="BL598" s="85"/>
      <c r="BM598" s="85">
        <v>0</v>
      </c>
      <c r="BN598" s="85"/>
      <c r="BO598" s="85"/>
      <c r="BP598" s="46"/>
      <c r="BQ598" s="29"/>
      <c r="BR598" s="88">
        <v>0</v>
      </c>
      <c r="BS598" s="88">
        <v>0</v>
      </c>
    </row>
    <row r="599" spans="2:71" x14ac:dyDescent="0.2">
      <c r="B599" s="1" t="s">
        <v>64</v>
      </c>
      <c r="C599" s="61"/>
      <c r="D599" s="61">
        <v>0</v>
      </c>
      <c r="E599" s="61">
        <v>0</v>
      </c>
      <c r="F599" s="61">
        <v>0</v>
      </c>
      <c r="G599" s="61"/>
      <c r="H599" s="61">
        <v>0</v>
      </c>
      <c r="I599" s="61">
        <v>0</v>
      </c>
      <c r="J599" s="61">
        <v>0</v>
      </c>
      <c r="K599" s="61"/>
      <c r="L599" s="61"/>
      <c r="M599" s="61">
        <v>0</v>
      </c>
      <c r="N599" s="61">
        <v>0</v>
      </c>
      <c r="O599" s="61">
        <v>0</v>
      </c>
      <c r="P599" s="61"/>
      <c r="Q599" s="61"/>
      <c r="R599" s="61">
        <v>0</v>
      </c>
      <c r="S599" s="61">
        <v>0</v>
      </c>
      <c r="T599" s="49"/>
      <c r="U599" s="49"/>
      <c r="V599" s="85"/>
      <c r="W599" s="85"/>
      <c r="X599" s="85"/>
      <c r="Y599" s="85">
        <v>0</v>
      </c>
      <c r="Z599" s="85">
        <v>0</v>
      </c>
      <c r="AA599" s="85"/>
      <c r="AB599" s="45"/>
      <c r="AC599" s="85"/>
      <c r="AD599" s="86"/>
      <c r="AE599" s="86">
        <v>0</v>
      </c>
      <c r="AF599" s="29">
        <v>0</v>
      </c>
      <c r="AG599" s="88">
        <v>0</v>
      </c>
      <c r="AH599" s="88">
        <v>0</v>
      </c>
      <c r="AI599" s="88"/>
      <c r="AJ599" s="29">
        <v>0</v>
      </c>
      <c r="AK599" s="88">
        <v>0</v>
      </c>
      <c r="AL599" s="88">
        <v>0</v>
      </c>
      <c r="AM599" s="29">
        <v>0</v>
      </c>
      <c r="AN599" s="88">
        <v>0</v>
      </c>
      <c r="AO599" s="88">
        <v>0</v>
      </c>
      <c r="AP599" s="29">
        <v>0</v>
      </c>
      <c r="AQ599" s="88">
        <v>0</v>
      </c>
      <c r="AR599" s="88">
        <v>0</v>
      </c>
      <c r="AS599" s="88"/>
      <c r="AT599" s="88"/>
      <c r="AU599" s="29">
        <v>0</v>
      </c>
      <c r="AV599" s="29"/>
      <c r="AW599" s="88"/>
      <c r="AX599" s="88">
        <v>0</v>
      </c>
      <c r="AY599" s="29"/>
      <c r="AZ599" s="88">
        <v>0</v>
      </c>
      <c r="BA599" s="88">
        <v>0</v>
      </c>
      <c r="BB599" s="48"/>
      <c r="BC599" s="85">
        <v>0</v>
      </c>
      <c r="BD599" s="85">
        <v>0</v>
      </c>
      <c r="BE599" s="85">
        <v>0</v>
      </c>
      <c r="BF599" s="85">
        <v>0</v>
      </c>
      <c r="BG599" s="85"/>
      <c r="BH599" s="46"/>
      <c r="BI599" s="85">
        <v>0</v>
      </c>
      <c r="BJ599" s="85">
        <v>0</v>
      </c>
      <c r="BK599" s="85"/>
      <c r="BL599" s="85"/>
      <c r="BM599" s="85">
        <v>0</v>
      </c>
      <c r="BN599" s="85"/>
      <c r="BO599" s="85"/>
      <c r="BP599" s="46"/>
      <c r="BQ599" s="29"/>
      <c r="BR599" s="88">
        <v>0</v>
      </c>
      <c r="BS599" s="88">
        <v>0</v>
      </c>
    </row>
    <row r="600" spans="2:71" x14ac:dyDescent="0.2">
      <c r="B600" s="1" t="s">
        <v>64</v>
      </c>
      <c r="C600" s="61"/>
      <c r="D600" s="61">
        <v>0</v>
      </c>
      <c r="E600" s="61">
        <v>0</v>
      </c>
      <c r="F600" s="61">
        <v>0</v>
      </c>
      <c r="G600" s="61"/>
      <c r="H600" s="61">
        <v>0</v>
      </c>
      <c r="I600" s="61">
        <v>0</v>
      </c>
      <c r="J600" s="61">
        <v>0</v>
      </c>
      <c r="K600" s="61"/>
      <c r="L600" s="61"/>
      <c r="M600" s="61">
        <v>0</v>
      </c>
      <c r="N600" s="61">
        <v>0</v>
      </c>
      <c r="O600" s="61">
        <v>0</v>
      </c>
      <c r="P600" s="61"/>
      <c r="Q600" s="61"/>
      <c r="R600" s="61">
        <v>0</v>
      </c>
      <c r="S600" s="61">
        <v>0</v>
      </c>
      <c r="T600" s="49"/>
      <c r="U600" s="49"/>
      <c r="V600" s="85"/>
      <c r="W600" s="85"/>
      <c r="X600" s="85"/>
      <c r="Y600" s="85">
        <v>0</v>
      </c>
      <c r="Z600" s="85">
        <v>0</v>
      </c>
      <c r="AA600" s="85"/>
      <c r="AB600" s="45"/>
      <c r="AC600" s="85"/>
      <c r="AD600" s="86"/>
      <c r="AE600" s="86">
        <v>0</v>
      </c>
      <c r="AF600" s="29">
        <v>0</v>
      </c>
      <c r="AG600" s="88">
        <v>0</v>
      </c>
      <c r="AH600" s="88">
        <v>0</v>
      </c>
      <c r="AI600" s="88"/>
      <c r="AJ600" s="29">
        <v>0</v>
      </c>
      <c r="AK600" s="88">
        <v>0</v>
      </c>
      <c r="AL600" s="88">
        <v>0</v>
      </c>
      <c r="AM600" s="29">
        <v>0</v>
      </c>
      <c r="AN600" s="88">
        <v>0</v>
      </c>
      <c r="AO600" s="88">
        <v>0</v>
      </c>
      <c r="AP600" s="29">
        <v>0</v>
      </c>
      <c r="AQ600" s="88">
        <v>0</v>
      </c>
      <c r="AR600" s="88">
        <v>0</v>
      </c>
      <c r="AS600" s="88"/>
      <c r="AT600" s="88"/>
      <c r="AU600" s="29">
        <v>0</v>
      </c>
      <c r="AV600" s="29"/>
      <c r="AW600" s="88"/>
      <c r="AX600" s="88">
        <v>0</v>
      </c>
      <c r="AY600" s="29"/>
      <c r="AZ600" s="88"/>
      <c r="BA600" s="88"/>
      <c r="BB600" s="61"/>
      <c r="BC600" s="85"/>
      <c r="BD600" s="85"/>
      <c r="BE600" s="85"/>
      <c r="BF600" s="85"/>
      <c r="BG600" s="85"/>
      <c r="BH600" s="61"/>
      <c r="BI600" s="85"/>
      <c r="BJ600" s="85"/>
      <c r="BK600" s="85"/>
      <c r="BL600" s="85"/>
      <c r="BM600" s="85"/>
      <c r="BN600" s="85"/>
      <c r="BO600" s="85"/>
      <c r="BP600" s="61"/>
      <c r="BQ600" s="29"/>
      <c r="BR600" s="88"/>
      <c r="BS600" s="88"/>
    </row>
  </sheetData>
  <autoFilter ref="A6:B132" xr:uid="{00000000-0009-0000-0000-000006000000}"/>
  <sortState xmlns:xlrd2="http://schemas.microsoft.com/office/spreadsheetml/2017/richdata2" ref="D233:D243">
    <sortCondition ref="D233"/>
  </sortState>
  <mergeCells count="9">
    <mergeCell ref="BS5:BS6"/>
    <mergeCell ref="AJ3:AR3"/>
    <mergeCell ref="BC5:BG5"/>
    <mergeCell ref="BI5:BO5"/>
    <mergeCell ref="U5:AA5"/>
    <mergeCell ref="C5:S5"/>
    <mergeCell ref="AC5:BA5"/>
    <mergeCell ref="BQ5:BQ6"/>
    <mergeCell ref="BR5:BR6"/>
  </mergeCells>
  <conditionalFormatting sqref="A7:B1000">
    <cfRule type="expression" dxfId="25" priority="89">
      <formula>IF($B7="total",TRUE,FALSE)</formula>
    </cfRule>
    <cfRule type="expression" dxfId="24" priority="90">
      <formula>IF(AND($A7&gt;0,ISEVEN($A7)),TRUE,FALSE)</formula>
    </cfRule>
    <cfRule type="expression" dxfId="23" priority="91">
      <formula>IF(AND($A7&gt;0,ISODD($A7)),TRUE,FALSE)</formula>
    </cfRule>
  </conditionalFormatting>
  <conditionalFormatting sqref="A7:S1000">
    <cfRule type="cellIs" dxfId="22" priority="5" operator="equal">
      <formula>0</formula>
    </cfRule>
    <cfRule type="expression" dxfId="21" priority="6">
      <formula>IF($B7="total",TRUE,FALSE)</formula>
    </cfRule>
  </conditionalFormatting>
  <conditionalFormatting sqref="C7:S1000">
    <cfRule type="cellIs" dxfId="20" priority="7" operator="between">
      <formula>0.0000000000001</formula>
      <formula>0.499999999999</formula>
    </cfRule>
    <cfRule type="cellIs" dxfId="19" priority="8" operator="between">
      <formula>-0.0000000000000001</formula>
      <formula>-0.49999999999999</formula>
    </cfRule>
  </conditionalFormatting>
  <conditionalFormatting sqref="U7:AA305 BC7:BG1000 BI7:BO1000 AI284:AI292 U306:U432 AI306:AI507 V306:AA993">
    <cfRule type="cellIs" dxfId="18" priority="73" operator="equal">
      <formula>0</formula>
    </cfRule>
    <cfRule type="expression" dxfId="17" priority="74">
      <formula>IF($B7="total",TRUE,FALSE)</formula>
    </cfRule>
    <cfRule type="cellIs" dxfId="16" priority="75" operator="between">
      <formula>0.0000000000001</formula>
      <formula>0.499999999999</formula>
    </cfRule>
    <cfRule type="cellIs" dxfId="15" priority="76" operator="between">
      <formula>-0.0000000000000001</formula>
      <formula>-0.49999999999999</formula>
    </cfRule>
  </conditionalFormatting>
  <conditionalFormatting sqref="AA7:AA993 Q7:Q1000 AY7:AY1000 BG7:BG1000 BO7:BO1000">
    <cfRule type="expression" dxfId="14" priority="94">
      <formula>IF(AND($A7&gt;0,ISEVEN($A7)),TRUE,FALSE)</formula>
    </cfRule>
    <cfRule type="expression" dxfId="13" priority="95">
      <formula>IF(AND($A7&gt;0,ISODD($A7)),TRUE,FALSE)</formula>
    </cfRule>
  </conditionalFormatting>
  <conditionalFormatting sqref="AC7:BA1000">
    <cfRule type="cellIs" dxfId="12" priority="1" operator="equal">
      <formula>0</formula>
    </cfRule>
    <cfRule type="expression" dxfId="11" priority="2">
      <formula>IF($B7="total",TRUE,FALSE)</formula>
    </cfRule>
    <cfRule type="cellIs" dxfId="10" priority="3" operator="between">
      <formula>0.0000000000001</formula>
      <formula>0.499999999999</formula>
    </cfRule>
    <cfRule type="cellIs" dxfId="9" priority="4" operator="between">
      <formula>-0.0000000000000001</formula>
      <formula>-0.49999999999999</formula>
    </cfRule>
  </conditionalFormatting>
  <conditionalFormatting sqref="BQ7:BQ1000">
    <cfRule type="expression" dxfId="8" priority="38">
      <formula>IF($B7="total",TRUE,FALSE)</formula>
    </cfRule>
    <cfRule type="expression" dxfId="7" priority="39">
      <formula>IF(AND($A7&gt;0,ISEVEN($A7)),TRUE,FALSE)</formula>
    </cfRule>
    <cfRule type="expression" dxfId="6" priority="40">
      <formula>IF(AND($A7&gt;0,ISODD($A7)),TRUE,FALSE)</formula>
    </cfRule>
  </conditionalFormatting>
  <conditionalFormatting sqref="BQ7:BS1000">
    <cfRule type="cellIs" dxfId="5" priority="21" operator="equal">
      <formula>0</formula>
    </cfRule>
    <cfRule type="cellIs" dxfId="4" priority="23" operator="between">
      <formula>0.0000000000001</formula>
      <formula>0.499999999999</formula>
    </cfRule>
    <cfRule type="cellIs" dxfId="3" priority="24" operator="between">
      <formula>-0.0000000000000001</formula>
      <formula>-0.49999999999999</formula>
    </cfRule>
  </conditionalFormatting>
  <conditionalFormatting sqref="BR7:BS251 BR252:BR253 BR254:BS1000">
    <cfRule type="expression" dxfId="2" priority="84">
      <formula>IF($B7="total",TRUE,FALSE)</formula>
    </cfRule>
  </conditionalFormatting>
  <conditionalFormatting sqref="BS252">
    <cfRule type="expression" dxfId="1" priority="22">
      <formula>IF($B252="total",TRUE,FALSE)</formula>
    </cfRule>
  </conditionalFormatting>
  <conditionalFormatting sqref="BS253">
    <cfRule type="expression" dxfId="0" priority="295">
      <formula>IF($B252="total",TRUE,FALSE)</formula>
    </cfRule>
  </conditionalFormatting>
  <printOptions horizontalCentered="1"/>
  <pageMargins left="0.31496062992125984" right="0.31496062992125984" top="0.35433070866141736" bottom="0.35433070866141736" header="0" footer="0"/>
  <pageSetup paperSize="9" scale="60" orientation="landscape" r:id="rId1"/>
  <colBreaks count="2" manualBreakCount="2">
    <brk id="27" max="1048575" man="1"/>
    <brk id="53" min="1" max="21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13</vt:i4>
      </vt:variant>
    </vt:vector>
  </HeadingPairs>
  <TitlesOfParts>
    <vt:vector size="20" baseType="lpstr">
      <vt:lpstr>Inicio</vt:lpstr>
      <vt:lpstr>África</vt:lpstr>
      <vt:lpstr>América</vt:lpstr>
      <vt:lpstr>Europa y Euroasia</vt:lpstr>
      <vt:lpstr>Oriente Medio</vt:lpstr>
      <vt:lpstr>Asia-Pacífico</vt:lpstr>
      <vt:lpstr>Todos</vt:lpstr>
      <vt:lpstr>África!Área_de_impresión</vt:lpstr>
      <vt:lpstr>América!Área_de_impresión</vt:lpstr>
      <vt:lpstr>'Asia-Pacífico'!Área_de_impresión</vt:lpstr>
      <vt:lpstr>'Europa y Euroasia'!Área_de_impresión</vt:lpstr>
      <vt:lpstr>Inicio!Área_de_impresión</vt:lpstr>
      <vt:lpstr>'Oriente Medio'!Área_de_impresión</vt:lpstr>
      <vt:lpstr>Todos!Área_de_impresión</vt:lpstr>
      <vt:lpstr>África!Títulos_a_imprimir</vt:lpstr>
      <vt:lpstr>América!Títulos_a_imprimir</vt:lpstr>
      <vt:lpstr>'Asia-Pacífico'!Títulos_a_imprimir</vt:lpstr>
      <vt:lpstr>'Europa y Euroasia'!Títulos_a_imprimir</vt:lpstr>
      <vt:lpstr>'Oriente Medio'!Títulos_a_imprimir</vt:lpstr>
      <vt:lpstr>Todos!Títulos_a_imprimir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2016-01-12T12:15:47Z</dcterms:created>
  <dcterms:modified xsi:type="dcterms:W3CDTF">2026-09-03T12:25:20Z</dcterms:modified>
</cp:coreProperties>
</file>